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rendanhorlbeck/Desktop/Code/projection/"/>
    </mc:Choice>
  </mc:AlternateContent>
  <xr:revisionPtr revIDLastSave="0" documentId="13_ncr:9_{B00A4BAE-A2C4-3448-8EAA-2035A6EF5D43}" xr6:coauthVersionLast="47" xr6:coauthVersionMax="47" xr10:uidLastSave="{00000000-0000-0000-0000-000000000000}"/>
  <bookViews>
    <workbookView xWindow="4720" yWindow="4540" windowWidth="42700" windowHeight="18620" activeTab="1" xr2:uid="{48C9852A-7DC3-A74D-A76A-1D3CFCAE8918}"/>
  </bookViews>
  <sheets>
    <sheet name="Actual" sheetId="2" r:id="rId1"/>
    <sheet name="Projection" sheetId="3" r:id="rId2"/>
    <sheet name="NHT" sheetId="1" r:id="rId3"/>
    <sheet name="FC" sheetId="4" r:id="rId4"/>
  </sheets>
  <definedNames>
    <definedName name="_xlnm._FilterDatabase" localSheetId="3" hidden="1">FC!$A$1:$AD$486</definedName>
    <definedName name="_xlnm._FilterDatabase" localSheetId="2" hidden="1">NHT!$A$1:$AI$305</definedName>
    <definedName name="_xlnm._FilterDatabase" localSheetId="1" hidden="1">Projection!$A$1:$T$287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S28" i="3" l="1"/>
  <c r="S30" i="3"/>
  <c r="S194" i="3"/>
  <c r="S157" i="3"/>
  <c r="S88" i="3"/>
  <c r="S100" i="3"/>
  <c r="S81" i="3"/>
  <c r="S211" i="3"/>
  <c r="S103" i="3"/>
  <c r="S138" i="3"/>
  <c r="S86" i="3"/>
  <c r="S105" i="3"/>
  <c r="S269" i="3"/>
  <c r="S83" i="3"/>
  <c r="S206" i="3"/>
  <c r="S123" i="3"/>
  <c r="S40" i="3"/>
  <c r="S118" i="3"/>
  <c r="S25" i="3"/>
  <c r="S143" i="3"/>
  <c r="S158" i="3"/>
  <c r="S110" i="3"/>
  <c r="S262" i="3"/>
  <c r="S228" i="3"/>
  <c r="S270" i="3"/>
  <c r="S274" i="3"/>
  <c r="S111" i="3"/>
  <c r="S98" i="3"/>
  <c r="S177" i="3"/>
  <c r="S31" i="3"/>
  <c r="S125" i="3"/>
  <c r="S131" i="3"/>
  <c r="S284" i="3"/>
  <c r="S203" i="3"/>
  <c r="S112" i="3"/>
  <c r="S238" i="3"/>
  <c r="S200" i="3"/>
  <c r="S73" i="3"/>
  <c r="S52" i="3"/>
  <c r="S69" i="3"/>
  <c r="S156" i="3"/>
  <c r="S255" i="3"/>
  <c r="S233" i="3"/>
  <c r="S217" i="3"/>
  <c r="S39" i="3"/>
  <c r="S182" i="3"/>
  <c r="S168" i="3"/>
  <c r="S258" i="3"/>
  <c r="S47" i="3"/>
  <c r="S136" i="3"/>
  <c r="S43" i="3"/>
  <c r="S78" i="3"/>
  <c r="S115" i="3"/>
  <c r="S140" i="3"/>
  <c r="S173" i="3"/>
  <c r="S163" i="3"/>
  <c r="S264" i="3"/>
  <c r="S184" i="3"/>
  <c r="S205" i="3"/>
  <c r="S212" i="3"/>
  <c r="S281" i="3"/>
  <c r="S116" i="3"/>
  <c r="S80" i="3"/>
  <c r="S236" i="3"/>
  <c r="S208" i="3"/>
  <c r="S219" i="3"/>
  <c r="S178" i="3"/>
  <c r="S2" i="3"/>
  <c r="S216" i="3"/>
  <c r="S278" i="3"/>
  <c r="S277" i="3"/>
  <c r="S60" i="3"/>
  <c r="S107" i="3"/>
  <c r="S164" i="3"/>
  <c r="S195" i="3"/>
  <c r="S213" i="3"/>
  <c r="S246" i="3"/>
  <c r="S268" i="3"/>
  <c r="S247" i="3"/>
  <c r="S241" i="3"/>
  <c r="S243" i="3"/>
  <c r="S245" i="3"/>
  <c r="S188" i="3"/>
  <c r="S235" i="3"/>
  <c r="S152" i="3"/>
  <c r="S287" i="3"/>
  <c r="S259" i="3"/>
  <c r="S75" i="3"/>
  <c r="S61" i="3"/>
  <c r="S3" i="3"/>
  <c r="S24" i="3"/>
  <c r="S44" i="3"/>
  <c r="S53" i="3"/>
  <c r="S179" i="3"/>
  <c r="S133" i="3"/>
  <c r="S23" i="3"/>
  <c r="S99" i="3"/>
  <c r="S38" i="3"/>
  <c r="S202" i="3"/>
  <c r="S94" i="3"/>
  <c r="S74" i="3"/>
  <c r="S22" i="3"/>
  <c r="S225" i="3"/>
  <c r="S45" i="3"/>
  <c r="S67" i="3"/>
  <c r="S62" i="3"/>
  <c r="S97" i="3"/>
  <c r="S85" i="3"/>
  <c r="S58" i="3"/>
  <c r="S49" i="3"/>
  <c r="S155" i="3"/>
  <c r="S41" i="3"/>
  <c r="S65" i="3"/>
  <c r="S113" i="3"/>
  <c r="S222" i="3"/>
  <c r="S204" i="3"/>
  <c r="S50" i="3"/>
  <c r="S56" i="3"/>
  <c r="S63" i="3"/>
  <c r="S54" i="3"/>
  <c r="S196" i="3"/>
  <c r="S134" i="3"/>
  <c r="S234" i="3"/>
  <c r="S96" i="3"/>
  <c r="S104" i="3"/>
  <c r="S20" i="3"/>
  <c r="S29" i="3"/>
  <c r="S93" i="3"/>
  <c r="S221" i="3"/>
  <c r="S33" i="3"/>
  <c r="S19" i="3"/>
  <c r="S183" i="3"/>
  <c r="S35" i="3"/>
  <c r="S197" i="3"/>
  <c r="S128" i="3"/>
  <c r="S32" i="3"/>
  <c r="S101" i="3"/>
  <c r="S227" i="3"/>
  <c r="S21" i="3"/>
  <c r="S90" i="3"/>
  <c r="S149" i="3"/>
  <c r="S82" i="3"/>
  <c r="S126" i="3"/>
  <c r="S147" i="3"/>
  <c r="S70" i="3"/>
  <c r="S132" i="3"/>
  <c r="S27" i="3"/>
  <c r="S59" i="3"/>
  <c r="S91" i="3"/>
  <c r="S130" i="3"/>
  <c r="S55" i="3"/>
  <c r="S26" i="3"/>
  <c r="S46" i="3"/>
  <c r="S77" i="3"/>
  <c r="S283" i="3"/>
  <c r="S124" i="3"/>
  <c r="S71" i="3"/>
  <c r="S160" i="3"/>
  <c r="S151" i="3"/>
  <c r="S161" i="3"/>
  <c r="S95" i="3"/>
  <c r="S175" i="3"/>
  <c r="S68" i="3"/>
  <c r="S34" i="3"/>
  <c r="S135" i="3"/>
  <c r="S186" i="3"/>
  <c r="S159" i="3"/>
  <c r="S257" i="3"/>
  <c r="S240" i="3"/>
  <c r="S166" i="3"/>
  <c r="S192" i="3"/>
  <c r="S48" i="3"/>
  <c r="S199" i="3"/>
  <c r="S57" i="3"/>
  <c r="S51" i="3"/>
  <c r="S229" i="3"/>
  <c r="S165" i="3"/>
  <c r="S210" i="3"/>
  <c r="S249" i="3"/>
  <c r="S226" i="3"/>
  <c r="S6" i="3"/>
  <c r="S15" i="3"/>
  <c r="S11" i="3"/>
  <c r="S4" i="3"/>
  <c r="S10" i="3"/>
  <c r="S5" i="3"/>
  <c r="S12" i="3"/>
  <c r="S7" i="3"/>
  <c r="S14" i="3"/>
  <c r="S8" i="3"/>
  <c r="S9" i="3"/>
  <c r="S13" i="3"/>
  <c r="S16" i="3"/>
  <c r="S18" i="3"/>
  <c r="S17" i="3"/>
  <c r="S141" i="3"/>
  <c r="S127" i="3"/>
  <c r="S42" i="3"/>
  <c r="S92" i="3"/>
  <c r="S84" i="3"/>
  <c r="S72" i="3"/>
  <c r="S150" i="3"/>
  <c r="S109" i="3"/>
  <c r="S129" i="3"/>
  <c r="S146" i="3"/>
  <c r="S169" i="3"/>
  <c r="S121" i="3"/>
  <c r="S37" i="3"/>
  <c r="S244" i="3"/>
  <c r="S139" i="3"/>
  <c r="S239" i="3"/>
  <c r="S190" i="3"/>
  <c r="S64" i="3"/>
  <c r="S87" i="3"/>
  <c r="S66" i="3"/>
  <c r="S148" i="3"/>
  <c r="S276" i="3"/>
  <c r="S266" i="3"/>
  <c r="S119" i="3"/>
  <c r="S122" i="3"/>
  <c r="S185" i="3"/>
  <c r="S214" i="3"/>
  <c r="S275" i="3"/>
  <c r="S172" i="3"/>
  <c r="S180" i="3"/>
  <c r="S263" i="3"/>
  <c r="S176" i="3"/>
  <c r="S108" i="3"/>
  <c r="S218" i="3"/>
  <c r="S282" i="3"/>
  <c r="S232" i="3"/>
  <c r="S267" i="3"/>
  <c r="S285" i="3"/>
  <c r="S254" i="3"/>
  <c r="S250" i="3"/>
  <c r="S181" i="3"/>
  <c r="S231" i="3"/>
  <c r="S253" i="3"/>
  <c r="S230" i="3"/>
  <c r="S162" i="3"/>
  <c r="S198" i="3"/>
  <c r="S117" i="3"/>
  <c r="S191" i="3"/>
  <c r="S142" i="3"/>
  <c r="S145" i="3"/>
  <c r="S36" i="3"/>
  <c r="S76" i="3"/>
  <c r="S224" i="3"/>
  <c r="S261" i="3"/>
  <c r="S114" i="3"/>
  <c r="S120" i="3"/>
  <c r="S102" i="3"/>
  <c r="S220" i="3"/>
  <c r="S153" i="3"/>
  <c r="S167" i="3"/>
  <c r="S187" i="3"/>
  <c r="S144" i="3"/>
  <c r="S89" i="3"/>
  <c r="S106" i="3"/>
  <c r="S201" i="3"/>
  <c r="S265" i="3"/>
  <c r="S279" i="3"/>
  <c r="S280" i="3"/>
  <c r="S171" i="3"/>
  <c r="S223" i="3"/>
  <c r="S242" i="3"/>
  <c r="S193" i="3"/>
  <c r="S271" i="3"/>
  <c r="S207" i="3"/>
  <c r="S79" i="3"/>
  <c r="S154" i="3"/>
  <c r="S256" i="3"/>
  <c r="S215" i="3"/>
  <c r="S286" i="3"/>
  <c r="S272" i="3"/>
  <c r="S137" i="3"/>
  <c r="S209" i="3"/>
  <c r="S189" i="3"/>
  <c r="S170" i="3"/>
  <c r="S248" i="3"/>
  <c r="S174" i="3"/>
  <c r="S273" i="3"/>
  <c r="S251" i="3"/>
  <c r="S252" i="3"/>
  <c r="S260" i="3"/>
  <c r="S237" i="3"/>
  <c r="R100" i="3"/>
  <c r="R30" i="3"/>
  <c r="R60" i="3"/>
  <c r="R39" i="3"/>
  <c r="R110" i="3"/>
  <c r="R28" i="3"/>
  <c r="R52" i="3"/>
  <c r="R40" i="3"/>
  <c r="R136" i="3"/>
  <c r="R157" i="3"/>
  <c r="R47" i="3"/>
  <c r="R86" i="3"/>
  <c r="R105" i="3"/>
  <c r="R88" i="3"/>
  <c r="R116" i="3"/>
  <c r="R184" i="3"/>
  <c r="R43" i="3"/>
  <c r="R83" i="3"/>
  <c r="R80" i="3"/>
  <c r="R78" i="3"/>
  <c r="R158" i="3"/>
  <c r="R115" i="3"/>
  <c r="R111" i="3"/>
  <c r="R203" i="3"/>
  <c r="R98" i="3"/>
  <c r="R123" i="3"/>
  <c r="R103" i="3"/>
  <c r="R107" i="3"/>
  <c r="R69" i="3"/>
  <c r="R125" i="3"/>
  <c r="R138" i="3"/>
  <c r="R73" i="3"/>
  <c r="R81" i="3"/>
  <c r="R164" i="3"/>
  <c r="R31" i="3"/>
  <c r="R262" i="3"/>
  <c r="R237" i="3"/>
  <c r="R236" i="3"/>
  <c r="R212" i="3"/>
  <c r="R194" i="3"/>
  <c r="R112" i="3"/>
  <c r="R131" i="3"/>
  <c r="R200" i="3"/>
  <c r="R245" i="3"/>
  <c r="R208" i="3"/>
  <c r="R238" i="3"/>
  <c r="R206" i="3"/>
  <c r="R228" i="3"/>
  <c r="R177" i="3"/>
  <c r="R140" i="3"/>
  <c r="R156" i="3"/>
  <c r="R219" i="3"/>
  <c r="R195" i="3"/>
  <c r="R270" i="3"/>
  <c r="R255" i="3"/>
  <c r="R143" i="3"/>
  <c r="R217" i="3"/>
  <c r="R173" i="3"/>
  <c r="R118" i="3"/>
  <c r="R178" i="3"/>
  <c r="R2" i="3"/>
  <c r="R213" i="3"/>
  <c r="R163" i="3"/>
  <c r="R211" i="3"/>
  <c r="R233" i="3"/>
  <c r="R246" i="3"/>
  <c r="R268" i="3"/>
  <c r="R182" i="3"/>
  <c r="R264" i="3"/>
  <c r="R216" i="3"/>
  <c r="R188" i="3"/>
  <c r="R168" i="3"/>
  <c r="R247" i="3"/>
  <c r="R278" i="3"/>
  <c r="R241" i="3"/>
  <c r="R243" i="3"/>
  <c r="R235" i="3"/>
  <c r="R152" i="3"/>
  <c r="R281" i="3"/>
  <c r="R274" i="3"/>
  <c r="R277" i="3"/>
  <c r="R284" i="3"/>
  <c r="R287" i="3"/>
  <c r="R259" i="3"/>
  <c r="R258" i="3"/>
  <c r="R205" i="3"/>
  <c r="R269" i="3"/>
  <c r="R24" i="3"/>
  <c r="R23" i="3"/>
  <c r="R104" i="3"/>
  <c r="R55" i="3"/>
  <c r="R61" i="3"/>
  <c r="R20" i="3"/>
  <c r="R74" i="3"/>
  <c r="R124" i="3"/>
  <c r="R22" i="3"/>
  <c r="R41" i="3"/>
  <c r="R33" i="3"/>
  <c r="R65" i="3"/>
  <c r="R50" i="3"/>
  <c r="R67" i="3"/>
  <c r="R128" i="3"/>
  <c r="R225" i="3"/>
  <c r="R48" i="3"/>
  <c r="R82" i="3"/>
  <c r="R44" i="3"/>
  <c r="R32" i="3"/>
  <c r="R97" i="3"/>
  <c r="R126" i="3"/>
  <c r="R147" i="3"/>
  <c r="R21" i="3"/>
  <c r="R26" i="3"/>
  <c r="R19" i="3"/>
  <c r="R29" i="3"/>
  <c r="R62" i="3"/>
  <c r="R68" i="3"/>
  <c r="R56" i="3"/>
  <c r="R199" i="3"/>
  <c r="R71" i="3"/>
  <c r="R57" i="3"/>
  <c r="R70" i="3"/>
  <c r="R183" i="3"/>
  <c r="R49" i="3"/>
  <c r="R34" i="3"/>
  <c r="R53" i="3"/>
  <c r="R96" i="3"/>
  <c r="R132" i="3"/>
  <c r="R90" i="3"/>
  <c r="R160" i="3"/>
  <c r="R75" i="3"/>
  <c r="R35" i="3"/>
  <c r="R85" i="3"/>
  <c r="R94" i="3"/>
  <c r="R46" i="3"/>
  <c r="R135" i="3"/>
  <c r="R51" i="3"/>
  <c r="R222" i="3"/>
  <c r="R186" i="3"/>
  <c r="R91" i="3"/>
  <c r="R3" i="3"/>
  <c r="R130" i="3"/>
  <c r="R58" i="3"/>
  <c r="R27" i="3"/>
  <c r="R63" i="3"/>
  <c r="R202" i="3"/>
  <c r="R151" i="3"/>
  <c r="R159" i="3"/>
  <c r="R77" i="3"/>
  <c r="R59" i="3"/>
  <c r="R54" i="3"/>
  <c r="R101" i="3"/>
  <c r="R99" i="3"/>
  <c r="R113" i="3"/>
  <c r="R197" i="3"/>
  <c r="R38" i="3"/>
  <c r="R229" i="3"/>
  <c r="R161" i="3"/>
  <c r="R165" i="3"/>
  <c r="R210" i="3"/>
  <c r="R93" i="3"/>
  <c r="R227" i="3"/>
  <c r="R221" i="3"/>
  <c r="R179" i="3"/>
  <c r="R133" i="3"/>
  <c r="R196" i="3"/>
  <c r="R95" i="3"/>
  <c r="R134" i="3"/>
  <c r="R45" i="3"/>
  <c r="R257" i="3"/>
  <c r="R149" i="3"/>
  <c r="R240" i="3"/>
  <c r="R283" i="3"/>
  <c r="R166" i="3"/>
  <c r="R249" i="3"/>
  <c r="R204" i="3"/>
  <c r="R226" i="3"/>
  <c r="R192" i="3"/>
  <c r="R155" i="3"/>
  <c r="R234" i="3"/>
  <c r="R175" i="3"/>
  <c r="R14" i="3"/>
  <c r="R17" i="3"/>
  <c r="R15" i="3"/>
  <c r="R5" i="3"/>
  <c r="R6" i="3"/>
  <c r="R11" i="3"/>
  <c r="R12" i="3"/>
  <c r="R7" i="3"/>
  <c r="R18" i="3"/>
  <c r="R9" i="3"/>
  <c r="R16" i="3"/>
  <c r="R4" i="3"/>
  <c r="R13" i="3"/>
  <c r="R8" i="3"/>
  <c r="R10" i="3"/>
  <c r="R42" i="3"/>
  <c r="R141" i="3"/>
  <c r="R37" i="3"/>
  <c r="R66" i="3"/>
  <c r="R181" i="3"/>
  <c r="R150" i="3"/>
  <c r="R109" i="3"/>
  <c r="R127" i="3"/>
  <c r="R119" i="3"/>
  <c r="R122" i="3"/>
  <c r="R176" i="3"/>
  <c r="R84" i="3"/>
  <c r="R231" i="3"/>
  <c r="R146" i="3"/>
  <c r="R172" i="3"/>
  <c r="R169" i="3"/>
  <c r="R129" i="3"/>
  <c r="R72" i="3"/>
  <c r="R185" i="3"/>
  <c r="R232" i="3"/>
  <c r="R108" i="3"/>
  <c r="R64" i="3"/>
  <c r="R148" i="3"/>
  <c r="R92" i="3"/>
  <c r="R139" i="3"/>
  <c r="R190" i="3"/>
  <c r="R214" i="3"/>
  <c r="R253" i="3"/>
  <c r="R121" i="3"/>
  <c r="R180" i="3"/>
  <c r="R267" i="3"/>
  <c r="R244" i="3"/>
  <c r="R87" i="3"/>
  <c r="R285" i="3"/>
  <c r="R218" i="3"/>
  <c r="R263" i="3"/>
  <c r="R254" i="3"/>
  <c r="R276" i="3"/>
  <c r="R230" i="3"/>
  <c r="R275" i="3"/>
  <c r="R266" i="3"/>
  <c r="R239" i="3"/>
  <c r="R250" i="3"/>
  <c r="R282" i="3"/>
  <c r="R36" i="3"/>
  <c r="R117" i="3"/>
  <c r="R142" i="3"/>
  <c r="R144" i="3"/>
  <c r="R153" i="3"/>
  <c r="R137" i="3"/>
  <c r="R89" i="3"/>
  <c r="R154" i="3"/>
  <c r="R209" i="3"/>
  <c r="R106" i="3"/>
  <c r="R162" i="3"/>
  <c r="R189" i="3"/>
  <c r="R167" i="3"/>
  <c r="R76" i="3"/>
  <c r="R223" i="3"/>
  <c r="R174" i="3"/>
  <c r="R120" i="3"/>
  <c r="R171" i="3"/>
  <c r="R198" i="3"/>
  <c r="R170" i="3"/>
  <c r="R224" i="3"/>
  <c r="R102" i="3"/>
  <c r="R242" i="3"/>
  <c r="R187" i="3"/>
  <c r="R261" i="3"/>
  <c r="R207" i="3"/>
  <c r="R273" i="3"/>
  <c r="R114" i="3"/>
  <c r="R256" i="3"/>
  <c r="R79" i="3"/>
  <c r="R251" i="3"/>
  <c r="R193" i="3"/>
  <c r="R145" i="3"/>
  <c r="R215" i="3"/>
  <c r="R201" i="3"/>
  <c r="R220" i="3"/>
  <c r="R265" i="3"/>
  <c r="R271" i="3"/>
  <c r="R279" i="3"/>
  <c r="R252" i="3"/>
  <c r="R260" i="3"/>
  <c r="R191" i="3"/>
  <c r="R248" i="3"/>
  <c r="R272" i="3"/>
  <c r="R286" i="3"/>
  <c r="R280" i="3"/>
  <c r="R25" i="3"/>
  <c r="T100" i="3"/>
  <c r="T36" i="3"/>
  <c r="T30" i="3"/>
  <c r="T117" i="3"/>
  <c r="T24" i="3"/>
  <c r="T42" i="3"/>
  <c r="T60" i="3"/>
  <c r="T39" i="3"/>
  <c r="T141" i="3"/>
  <c r="T37" i="3"/>
  <c r="T110" i="3"/>
  <c r="T14" i="3"/>
  <c r="T28" i="3"/>
  <c r="T17" i="3"/>
  <c r="T66" i="3"/>
  <c r="T15" i="3"/>
  <c r="T23" i="3"/>
  <c r="T52" i="3"/>
  <c r="T104" i="3"/>
  <c r="T40" i="3"/>
  <c r="T136" i="3"/>
  <c r="T157" i="3"/>
  <c r="T5" i="3"/>
  <c r="T47" i="3"/>
  <c r="T142" i="3"/>
  <c r="T144" i="3"/>
  <c r="T6" i="3"/>
  <c r="T11" i="3"/>
  <c r="T153" i="3"/>
  <c r="T181" i="3"/>
  <c r="T86" i="3"/>
  <c r="T150" i="3"/>
  <c r="T55" i="3"/>
  <c r="T105" i="3"/>
  <c r="T61" i="3"/>
  <c r="T20" i="3"/>
  <c r="T12" i="3"/>
  <c r="T137" i="3"/>
  <c r="T109" i="3"/>
  <c r="T88" i="3"/>
  <c r="T127" i="3"/>
  <c r="T116" i="3"/>
  <c r="T74" i="3"/>
  <c r="T124" i="3"/>
  <c r="T184" i="3"/>
  <c r="T89" i="3"/>
  <c r="T154" i="3"/>
  <c r="T22" i="3"/>
  <c r="T41" i="3"/>
  <c r="T33" i="3"/>
  <c r="T119" i="3"/>
  <c r="T43" i="3"/>
  <c r="T83" i="3"/>
  <c r="T122" i="3"/>
  <c r="T209" i="3"/>
  <c r="T7" i="3"/>
  <c r="T65" i="3"/>
  <c r="T80" i="3"/>
  <c r="T78" i="3"/>
  <c r="T176" i="3"/>
  <c r="T158" i="3"/>
  <c r="T50" i="3"/>
  <c r="T115" i="3"/>
  <c r="T84" i="3"/>
  <c r="T106" i="3"/>
  <c r="T67" i="3"/>
  <c r="T231" i="3"/>
  <c r="T18" i="3"/>
  <c r="T128" i="3"/>
  <c r="T162" i="3"/>
  <c r="T225" i="3"/>
  <c r="T189" i="3"/>
  <c r="T111" i="3"/>
  <c r="T48" i="3"/>
  <c r="T203" i="3"/>
  <c r="T98" i="3"/>
  <c r="T123" i="3"/>
  <c r="T103" i="3"/>
  <c r="T82" i="3"/>
  <c r="T44" i="3"/>
  <c r="T107" i="3"/>
  <c r="T9" i="3"/>
  <c r="T16" i="3"/>
  <c r="T32" i="3"/>
  <c r="T97" i="3"/>
  <c r="T167" i="3"/>
  <c r="T146" i="3"/>
  <c r="T69" i="3"/>
  <c r="T125" i="3"/>
  <c r="T172" i="3"/>
  <c r="T76" i="3"/>
  <c r="T126" i="3"/>
  <c r="T223" i="3"/>
  <c r="T174" i="3"/>
  <c r="T169" i="3"/>
  <c r="T138" i="3"/>
  <c r="T147" i="3"/>
  <c r="T21" i="3"/>
  <c r="T129" i="3"/>
  <c r="T73" i="3"/>
  <c r="T120" i="3"/>
  <c r="T72" i="3"/>
  <c r="T171" i="3"/>
  <c r="T185" i="3"/>
  <c r="T81" i="3"/>
  <c r="T26" i="3"/>
  <c r="T19" i="3"/>
  <c r="T198" i="3"/>
  <c r="T164" i="3"/>
  <c r="T31" i="3"/>
  <c r="T170" i="3"/>
  <c r="T29" i="3"/>
  <c r="T232" i="3"/>
  <c r="T108" i="3"/>
  <c r="T262" i="3"/>
  <c r="T62" i="3"/>
  <c r="T64" i="3"/>
  <c r="T68" i="3"/>
  <c r="T237" i="3"/>
  <c r="T224" i="3"/>
  <c r="T4" i="3"/>
  <c r="T56" i="3"/>
  <c r="T236" i="3"/>
  <c r="T102" i="3"/>
  <c r="T199" i="3"/>
  <c r="T148" i="3"/>
  <c r="T92" i="3"/>
  <c r="T139" i="3"/>
  <c r="T212" i="3"/>
  <c r="T242" i="3"/>
  <c r="T71" i="3"/>
  <c r="T190" i="3"/>
  <c r="T187" i="3"/>
  <c r="T57" i="3"/>
  <c r="T261" i="3"/>
  <c r="T70" i="3"/>
  <c r="T183" i="3"/>
  <c r="T49" i="3"/>
  <c r="T207" i="3"/>
  <c r="T194" i="3"/>
  <c r="T112" i="3"/>
  <c r="T214" i="3"/>
  <c r="T34" i="3"/>
  <c r="T53" i="3"/>
  <c r="T253" i="3"/>
  <c r="T273" i="3"/>
  <c r="T114" i="3"/>
  <c r="T131" i="3"/>
  <c r="T13" i="3"/>
  <c r="T256" i="3"/>
  <c r="T200" i="3"/>
  <c r="T96" i="3"/>
  <c r="T132" i="3"/>
  <c r="T90" i="3"/>
  <c r="T160" i="3"/>
  <c r="T75" i="3"/>
  <c r="T35" i="3"/>
  <c r="T85" i="3"/>
  <c r="T121" i="3"/>
  <c r="T245" i="3"/>
  <c r="T79" i="3"/>
  <c r="T180" i="3"/>
  <c r="T94" i="3"/>
  <c r="T208" i="3"/>
  <c r="T267" i="3"/>
  <c r="T46" i="3"/>
  <c r="T251" i="3"/>
  <c r="T238" i="3"/>
  <c r="T206" i="3"/>
  <c r="T135" i="3"/>
  <c r="T51" i="3"/>
  <c r="T228" i="3"/>
  <c r="T244" i="3"/>
  <c r="T87" i="3"/>
  <c r="T193" i="3"/>
  <c r="T177" i="3"/>
  <c r="T222" i="3"/>
  <c r="T186" i="3"/>
  <c r="T91" i="3"/>
  <c r="T3" i="3"/>
  <c r="T140" i="3"/>
  <c r="T145" i="3"/>
  <c r="T130" i="3"/>
  <c r="T58" i="3"/>
  <c r="T8" i="3"/>
  <c r="T27" i="3"/>
  <c r="T156" i="3"/>
  <c r="T63" i="3"/>
  <c r="T202" i="3"/>
  <c r="T219" i="3"/>
  <c r="T151" i="3"/>
  <c r="T159" i="3"/>
  <c r="T77" i="3"/>
  <c r="T59" i="3"/>
  <c r="T54" i="3"/>
  <c r="T101" i="3"/>
  <c r="T10" i="3"/>
  <c r="T99" i="3"/>
  <c r="T195" i="3"/>
  <c r="T113" i="3"/>
  <c r="T270" i="3"/>
  <c r="T197" i="3"/>
  <c r="T38" i="3"/>
  <c r="T215" i="3"/>
  <c r="T229" i="3"/>
  <c r="T161" i="3"/>
  <c r="T165" i="3"/>
  <c r="T255" i="3"/>
  <c r="T201" i="3"/>
  <c r="T210" i="3"/>
  <c r="T143" i="3"/>
  <c r="T217" i="3"/>
  <c r="T173" i="3"/>
  <c r="T118" i="3"/>
  <c r="T220" i="3"/>
  <c r="T178" i="3"/>
  <c r="T93" i="3"/>
  <c r="T227" i="3"/>
  <c r="T2" i="3"/>
  <c r="T213" i="3"/>
  <c r="T221" i="3"/>
  <c r="T179" i="3"/>
  <c r="T163" i="3"/>
  <c r="T133" i="3"/>
  <c r="T211" i="3"/>
  <c r="T196" i="3"/>
  <c r="T233" i="3"/>
  <c r="T95" i="3"/>
  <c r="T134" i="3"/>
  <c r="T246" i="3"/>
  <c r="T268" i="3"/>
  <c r="T45" i="3"/>
  <c r="T182" i="3"/>
  <c r="T264" i="3"/>
  <c r="T257" i="3"/>
  <c r="T149" i="3"/>
  <c r="T216" i="3"/>
  <c r="T188" i="3"/>
  <c r="T168" i="3"/>
  <c r="T265" i="3"/>
  <c r="T240" i="3"/>
  <c r="T283" i="3"/>
  <c r="T166" i="3"/>
  <c r="T249" i="3"/>
  <c r="T204" i="3"/>
  <c r="T226" i="3"/>
  <c r="T247" i="3"/>
  <c r="T285" i="3"/>
  <c r="T192" i="3"/>
  <c r="T278" i="3"/>
  <c r="T271" i="3"/>
  <c r="T241" i="3"/>
  <c r="T218" i="3"/>
  <c r="T155" i="3"/>
  <c r="T279" i="3"/>
  <c r="T234" i="3"/>
  <c r="T263" i="3"/>
  <c r="T175" i="3"/>
  <c r="T252" i="3"/>
  <c r="T243" i="3"/>
  <c r="T260" i="3"/>
  <c r="T235" i="3"/>
  <c r="T254" i="3"/>
  <c r="T191" i="3"/>
  <c r="T152" i="3"/>
  <c r="T281" i="3"/>
  <c r="T248" i="3"/>
  <c r="T274" i="3"/>
  <c r="T276" i="3"/>
  <c r="T277" i="3"/>
  <c r="T230" i="3"/>
  <c r="T284" i="3"/>
  <c r="T275" i="3"/>
  <c r="T287" i="3"/>
  <c r="T266" i="3"/>
  <c r="T259" i="3"/>
  <c r="T258" i="3"/>
  <c r="T239" i="3"/>
  <c r="T272" i="3"/>
  <c r="T250" i="3"/>
  <c r="T286" i="3"/>
  <c r="T205" i="3"/>
  <c r="T269" i="3"/>
  <c r="T282" i="3"/>
  <c r="T280" i="3"/>
  <c r="T25" i="3"/>
</calcChain>
</file>

<file path=xl/sharedStrings.xml><?xml version="1.0" encoding="utf-8"?>
<sst xmlns="http://purl.oclc.org/ooxml/spreadsheetml/main" count="5905" uniqueCount="633">
  <si>
    <t>Player</t>
  </si>
  <si>
    <t>Team</t>
  </si>
  <si>
    <t>Position</t>
  </si>
  <si>
    <t>GP</t>
  </si>
  <si>
    <t>TOI</t>
  </si>
  <si>
    <t>Goals</t>
  </si>
  <si>
    <t>Total Assists</t>
  </si>
  <si>
    <t>First Assists</t>
  </si>
  <si>
    <t>Second Assists</t>
  </si>
  <si>
    <t>Total Points</t>
  </si>
  <si>
    <t>IPP</t>
  </si>
  <si>
    <t>Shots</t>
  </si>
  <si>
    <t>SH%</t>
  </si>
  <si>
    <t>ixG</t>
  </si>
  <si>
    <t>iCF</t>
  </si>
  <si>
    <t>iFF</t>
  </si>
  <si>
    <t>iSCF</t>
  </si>
  <si>
    <t>iHDCF</t>
  </si>
  <si>
    <t>Rush Attempts</t>
  </si>
  <si>
    <t>Rebounds Created</t>
  </si>
  <si>
    <t>PIM</t>
  </si>
  <si>
    <t>Total Penalties</t>
  </si>
  <si>
    <t>Minor</t>
  </si>
  <si>
    <t>Major</t>
  </si>
  <si>
    <t>Misconduct</t>
  </si>
  <si>
    <t>Penalties Drawn</t>
  </si>
  <si>
    <t>Giveaways</t>
  </si>
  <si>
    <t>Takeaways</t>
  </si>
  <si>
    <t>Hits</t>
  </si>
  <si>
    <t>Hits Taken</t>
  </si>
  <si>
    <t>Shots Blocked</t>
  </si>
  <si>
    <t>Faceoffs Won</t>
  </si>
  <si>
    <t>Faceoffs Lost</t>
  </si>
  <si>
    <t>Faceoffs %</t>
  </si>
  <si>
    <t>Owen Tippett</t>
  </si>
  <si>
    <t>PHI</t>
  </si>
  <si>
    <t>R</t>
  </si>
  <si>
    <t>-</t>
  </si>
  <si>
    <t>Mark Stone</t>
  </si>
  <si>
    <t>VGK</t>
  </si>
  <si>
    <t>Cody Glass</t>
  </si>
  <si>
    <t>N.J</t>
  </si>
  <si>
    <t>C</t>
  </si>
  <si>
    <t>Matvei Michkov</t>
  </si>
  <si>
    <t>Pavel Buchnevich</t>
  </si>
  <si>
    <t>STL</t>
  </si>
  <si>
    <t>L</t>
  </si>
  <si>
    <t>Nathan MacKinnon</t>
  </si>
  <si>
    <t>COL</t>
  </si>
  <si>
    <t>Ivan Barbashev</t>
  </si>
  <si>
    <t>Jack Eichel</t>
  </si>
  <si>
    <t>Roope Hintz</t>
  </si>
  <si>
    <t>DAL</t>
  </si>
  <si>
    <t>Nico Hischier</t>
  </si>
  <si>
    <t>Jason Robertson</t>
  </si>
  <si>
    <t>Martin Necas</t>
  </si>
  <si>
    <t>WSH</t>
  </si>
  <si>
    <t>D</t>
  </si>
  <si>
    <t>Linus Karlsson</t>
  </si>
  <si>
    <t>VAN</t>
  </si>
  <si>
    <t>Matthew Knies</t>
  </si>
  <si>
    <t>TOR</t>
  </si>
  <si>
    <t>Wyatt Johnston</t>
  </si>
  <si>
    <t>Cutter Gauthier</t>
  </si>
  <si>
    <t>ANA</t>
  </si>
  <si>
    <t>Pavel Mintyukov</t>
  </si>
  <si>
    <t>Denver Barkey</t>
  </si>
  <si>
    <t>Lenni Hameenaho</t>
  </si>
  <si>
    <t>Will Smith</t>
  </si>
  <si>
    <t>S.J</t>
  </si>
  <si>
    <t>Macklin Celebrini</t>
  </si>
  <si>
    <t>Collin Graf</t>
  </si>
  <si>
    <t>Alex Ovechkin</t>
  </si>
  <si>
    <t>Jordan Eberle</t>
  </si>
  <si>
    <t>SEA</t>
  </si>
  <si>
    <t>John Carlson</t>
  </si>
  <si>
    <t>John Tavares</t>
  </si>
  <si>
    <t>Matt Duchene</t>
  </si>
  <si>
    <t>Chris Kreider</t>
  </si>
  <si>
    <t>Reilly Smith</t>
  </si>
  <si>
    <t>Tyler Toffoli</t>
  </si>
  <si>
    <t>Cam Fowler</t>
  </si>
  <si>
    <t>Jaden Schwartz</t>
  </si>
  <si>
    <t>Mikael Granlund</t>
  </si>
  <si>
    <t>Sam Carrick</t>
  </si>
  <si>
    <t>NYR</t>
  </si>
  <si>
    <t>Nikita Kucherov</t>
  </si>
  <si>
    <t>T.B</t>
  </si>
  <si>
    <t>Sean Couturier</t>
  </si>
  <si>
    <t>Dougie Hamilton</t>
  </si>
  <si>
    <t>Morgan Rielly</t>
  </si>
  <si>
    <t>Scott Laughton</t>
  </si>
  <si>
    <t>Tom Wilson</t>
  </si>
  <si>
    <t>Teddy Blueger</t>
  </si>
  <si>
    <t>Connor Brown</t>
  </si>
  <si>
    <t>Anton Blidh</t>
  </si>
  <si>
    <t>Max Domi</t>
  </si>
  <si>
    <t>Garnet Hathaway</t>
  </si>
  <si>
    <t>Jared McCann</t>
  </si>
  <si>
    <t>Marcus Pettersson</t>
  </si>
  <si>
    <t>Victor Olofsson</t>
  </si>
  <si>
    <t>Rasmus Andersson</t>
  </si>
  <si>
    <t>Jonas Siegenthaler</t>
  </si>
  <si>
    <t>Timo Meier</t>
  </si>
  <si>
    <t>Keegan Kolesar</t>
  </si>
  <si>
    <t>Travis Konecny</t>
  </si>
  <si>
    <t>Dylan Strome</t>
  </si>
  <si>
    <t>Brock Boeser</t>
  </si>
  <si>
    <t>Anthony Cirelli</t>
  </si>
  <si>
    <t>Jordan Kyrou</t>
  </si>
  <si>
    <t>Taylor Raddysh</t>
  </si>
  <si>
    <t>Brandon Hagel</t>
  </si>
  <si>
    <t>Tanner Laczynski</t>
  </si>
  <si>
    <t>Jeffrey Viel</t>
  </si>
  <si>
    <t>Jonas Rondbjerg</t>
  </si>
  <si>
    <t>Elias Pettersson</t>
  </si>
  <si>
    <t>Morgan Frost</t>
  </si>
  <si>
    <t>CGY</t>
  </si>
  <si>
    <t>Miro Heiskanen</t>
  </si>
  <si>
    <t>Ryan Poehling</t>
  </si>
  <si>
    <t>Cale Makar</t>
  </si>
  <si>
    <t>Johnathan Kovacevic</t>
  </si>
  <si>
    <t>Noah Cates</t>
  </si>
  <si>
    <t>Parker Kelly</t>
  </si>
  <si>
    <t>Nils Hoglander</t>
  </si>
  <si>
    <t>Cam York</t>
  </si>
  <si>
    <t>Bobby Brink</t>
  </si>
  <si>
    <t>Kaapo Kakko</t>
  </si>
  <si>
    <t>Jack Hughes</t>
  </si>
  <si>
    <t>Drew Helleson</t>
  </si>
  <si>
    <t>Pavel Dorofeyev</t>
  </si>
  <si>
    <t>Jackson LaCombe</t>
  </si>
  <si>
    <t>Aliaksei Protas</t>
  </si>
  <si>
    <t>Matias Maccelli</t>
  </si>
  <si>
    <t>Arseny Gritsyuk</t>
  </si>
  <si>
    <t>Drew O'Connor</t>
  </si>
  <si>
    <t>Jack Ahcan</t>
  </si>
  <si>
    <t>Connor Zary</t>
  </si>
  <si>
    <t>Justin Sourdif</t>
  </si>
  <si>
    <t>Jake Neighbours</t>
  </si>
  <si>
    <t>Alexander Holtz</t>
  </si>
  <si>
    <t>Emil Andrae</t>
  </si>
  <si>
    <t>Hendrix Lapierre</t>
  </si>
  <si>
    <t>Ian Moore</t>
  </si>
  <si>
    <t>Bobby McMann</t>
  </si>
  <si>
    <t>Matty Beniers</t>
  </si>
  <si>
    <t>Zakhar Bardakov</t>
  </si>
  <si>
    <t>Ryan Greene</t>
  </si>
  <si>
    <t>CHI</t>
  </si>
  <si>
    <t>Simon Nemec</t>
  </si>
  <si>
    <t>Shane Wright</t>
  </si>
  <si>
    <t>Pavol Regenda</t>
  </si>
  <si>
    <t>Braeden Bowman</t>
  </si>
  <si>
    <t>Dalibor Dvorsky</t>
  </si>
  <si>
    <t>Nick Lardis</t>
  </si>
  <si>
    <t>Oliver Moore</t>
  </si>
  <si>
    <t>Tom Willander</t>
  </si>
  <si>
    <t>Zeev Buium</t>
  </si>
  <si>
    <t>Michael Misa</t>
  </si>
  <si>
    <t>Brent Burns</t>
  </si>
  <si>
    <t>Ryan Reaves</t>
  </si>
  <si>
    <t>Nick Foligno</t>
  </si>
  <si>
    <t>Alex Killorn</t>
  </si>
  <si>
    <t>Jamie Benn</t>
  </si>
  <si>
    <t>Evgenii Dadonov</t>
  </si>
  <si>
    <t>Mikael Backlund</t>
  </si>
  <si>
    <t>Tyler Myers</t>
  </si>
  <si>
    <t>Evander Kane</t>
  </si>
  <si>
    <t>Brayden Schenn</t>
  </si>
  <si>
    <t>Oliver Ekman-Larsson</t>
  </si>
  <si>
    <t>Nazem Kadri</t>
  </si>
  <si>
    <t>Dmitry Orlov</t>
  </si>
  <si>
    <t>Nic Dowd</t>
  </si>
  <si>
    <t>Brenden Dillon</t>
  </si>
  <si>
    <t>Radko Gudas</t>
  </si>
  <si>
    <t>Calle Jarnkrok</t>
  </si>
  <si>
    <t>Justin Faulk</t>
  </si>
  <si>
    <t>Brock Nelson</t>
  </si>
  <si>
    <t>Nick Bjugstad</t>
  </si>
  <si>
    <t>John Klingberg</t>
  </si>
  <si>
    <t>Colin Blackwell</t>
  </si>
  <si>
    <t>Ondrej Palat</t>
  </si>
  <si>
    <t>Josh Manson</t>
  </si>
  <si>
    <t>Nick Seeler</t>
  </si>
  <si>
    <t>Vincent Trocheck</t>
  </si>
  <si>
    <t>Jonathan Huberdeau</t>
  </si>
  <si>
    <t>Adam Larsson</t>
  </si>
  <si>
    <t>Ryan Strome</t>
  </si>
  <si>
    <t>Mika Zibanejad</t>
  </si>
  <si>
    <t>Jamie Oleksiak</t>
  </si>
  <si>
    <t>J.T. Miller</t>
  </si>
  <si>
    <t>Connor Murphy</t>
  </si>
  <si>
    <t>Barclay Goodrow</t>
  </si>
  <si>
    <t>Yanni Gourde</t>
  </si>
  <si>
    <t>Zemgus Girgensons</t>
  </si>
  <si>
    <t>Tomas Hertl</t>
  </si>
  <si>
    <t>Jacob Trouba</t>
  </si>
  <si>
    <t>Radek Faksa</t>
  </si>
  <si>
    <t>Matt Grzelcyk</t>
  </si>
  <si>
    <t>Colton Parayko</t>
  </si>
  <si>
    <t>Esa Lindell</t>
  </si>
  <si>
    <t>Chandler Stephenson</t>
  </si>
  <si>
    <t>Jake McCabe</t>
  </si>
  <si>
    <t>Ben Hutton</t>
  </si>
  <si>
    <t>MacKenzie Weegar</t>
  </si>
  <si>
    <t>Carson Soucy</t>
  </si>
  <si>
    <t>Jake Guentzel</t>
  </si>
  <si>
    <t>Oliver Bjorkstrand</t>
  </si>
  <si>
    <t>Nick Paul</t>
  </si>
  <si>
    <t>Andre Burakovsky</t>
  </si>
  <si>
    <t>Shea Theodore</t>
  </si>
  <si>
    <t>Jason Dickinson</t>
  </si>
  <si>
    <t>Artturi Lehkonen</t>
  </si>
  <si>
    <t>Tyler Bertuzzi</t>
  </si>
  <si>
    <t>Brett Pesce</t>
  </si>
  <si>
    <t>Valeri Nichushkin</t>
  </si>
  <si>
    <t>Alexander Wennberg</t>
  </si>
  <si>
    <t>Ross Johnston</t>
  </si>
  <si>
    <t>Joel Hanley</t>
  </si>
  <si>
    <t>Trevor van Riemsdyk</t>
  </si>
  <si>
    <t>Travis Sanheim</t>
  </si>
  <si>
    <t>Robby Fabbri</t>
  </si>
  <si>
    <t>Brandon Montour</t>
  </si>
  <si>
    <t>Ryan Donato</t>
  </si>
  <si>
    <t>Christian Dvorak</t>
  </si>
  <si>
    <t>Darren Raddysh</t>
  </si>
  <si>
    <t>Noah Hanifin</t>
  </si>
  <si>
    <t>Vince Dunn</t>
  </si>
  <si>
    <t>Erik Cernak</t>
  </si>
  <si>
    <t>Mikko Rantanen</t>
  </si>
  <si>
    <t>Jansen Harkins</t>
  </si>
  <si>
    <t>Brandon Carlo</t>
  </si>
  <si>
    <t>Noah Juulsen</t>
  </si>
  <si>
    <t>Nicolas Roy</t>
  </si>
  <si>
    <t>Anthony Beauvillier</t>
  </si>
  <si>
    <t>Jeremy Lauzon</t>
  </si>
  <si>
    <t>Mathieu Joseph</t>
  </si>
  <si>
    <t>Kyle Capobianco</t>
  </si>
  <si>
    <t>Mitch Marner</t>
  </si>
  <si>
    <t>Jake DeBrusk</t>
  </si>
  <si>
    <t>Artemi Panarin</t>
  </si>
  <si>
    <t>Will Borgen</t>
  </si>
  <si>
    <t>Conor Garland</t>
  </si>
  <si>
    <t>Adam Gaudette</t>
  </si>
  <si>
    <t>Vladislav Gavrikov</t>
  </si>
  <si>
    <t>Steven Lorentz</t>
  </si>
  <si>
    <t>Matt Roy</t>
  </si>
  <si>
    <t>Lane Pederson</t>
  </si>
  <si>
    <t>Ryan Lomberg</t>
  </si>
  <si>
    <t>Auston Matthews</t>
  </si>
  <si>
    <t>Ryan Lindgren</t>
  </si>
  <si>
    <t>Carl Grundstrom</t>
  </si>
  <si>
    <t>Jakob Chychrun</t>
  </si>
  <si>
    <t>Sam Steel</t>
  </si>
  <si>
    <t>Samuel Girard</t>
  </si>
  <si>
    <t>Jesper Bratt</t>
  </si>
  <si>
    <t>Filip Hronek</t>
  </si>
  <si>
    <t>Troy Stecher</t>
  </si>
  <si>
    <t>Brandon Duhaime</t>
  </si>
  <si>
    <t>Vincent Desharnais</t>
  </si>
  <si>
    <t>Mario Ferraro</t>
  </si>
  <si>
    <t>Eeli Tolvanen</t>
  </si>
  <si>
    <t>Timothy Liljegren</t>
  </si>
  <si>
    <t>Filip Chytil</t>
  </si>
  <si>
    <t>David Kampf</t>
  </si>
  <si>
    <t>Alexey Toropchenko</t>
  </si>
  <si>
    <t>Charle-Edouard D'Astous</t>
  </si>
  <si>
    <t>Zach Whitecloud</t>
  </si>
  <si>
    <t>Joel Farabee</t>
  </si>
  <si>
    <t>Jack Drury</t>
  </si>
  <si>
    <t>Oskar Bäck</t>
  </si>
  <si>
    <t>Kevin Bahl</t>
  </si>
  <si>
    <t>Rasmus Sandin</t>
  </si>
  <si>
    <t>Nils Lundkvist</t>
  </si>
  <si>
    <t>Ilya Lyubushkin</t>
  </si>
  <si>
    <t>Pontus Holmberg</t>
  </si>
  <si>
    <t>Tyler Tucker</t>
  </si>
  <si>
    <t>Jonatan Berggren</t>
  </si>
  <si>
    <t>Martin Pospisil</t>
  </si>
  <si>
    <t>Paul Cotter</t>
  </si>
  <si>
    <t>Yegor Sharangovich</t>
  </si>
  <si>
    <t>Simon Benoit</t>
  </si>
  <si>
    <t>Brayden Pachal</t>
  </si>
  <si>
    <t>Matthew Robertson</t>
  </si>
  <si>
    <t>Kaedan Korczak</t>
  </si>
  <si>
    <t>Trevor Zegras</t>
  </si>
  <si>
    <t>Alex Vlasic</t>
  </si>
  <si>
    <t>Connor McMichael</t>
  </si>
  <si>
    <t>Thomas Harley</t>
  </si>
  <si>
    <t>Nicholas Robertson</t>
  </si>
  <si>
    <t>Philip Broberg</t>
  </si>
  <si>
    <t>Ilya Mikheyev</t>
  </si>
  <si>
    <t>Joel Kiviranta</t>
  </si>
  <si>
    <t>Max Crozier</t>
  </si>
  <si>
    <t>Louis Crevier</t>
  </si>
  <si>
    <t>Braden Schneider</t>
  </si>
  <si>
    <t>Jack Finley</t>
  </si>
  <si>
    <t>Alexis Lafrenière</t>
  </si>
  <si>
    <t>Dawson Mercer</t>
  </si>
  <si>
    <t>Jamie Drysdale</t>
  </si>
  <si>
    <t>Mavrik Bourque</t>
  </si>
  <si>
    <t>Will Cuylle</t>
  </si>
  <si>
    <t>Yan Kuznetsov</t>
  </si>
  <si>
    <t>Landon Slaggert</t>
  </si>
  <si>
    <t>Wyatt Kaiser</t>
  </si>
  <si>
    <t>Gage Goncalves</t>
  </si>
  <si>
    <t>J.J. Moser</t>
  </si>
  <si>
    <t>Scott Morrow</t>
  </si>
  <si>
    <t>William Eklund</t>
  </si>
  <si>
    <t>Matt Coronato</t>
  </si>
  <si>
    <t>Logan Mailloux</t>
  </si>
  <si>
    <t>Brennan Othmann</t>
  </si>
  <si>
    <t>Ryan Winterton</t>
  </si>
  <si>
    <t>Olen Zellweger</t>
  </si>
  <si>
    <t>Ryker Evans</t>
  </si>
  <si>
    <t>Zack Ostapchuk</t>
  </si>
  <si>
    <t>Jacob Melanson</t>
  </si>
  <si>
    <t>Taylor Makar</t>
  </si>
  <si>
    <t>Declan Carlile</t>
  </si>
  <si>
    <t>Frank Nazar</t>
  </si>
  <si>
    <t>Liam Ohgren</t>
  </si>
  <si>
    <t>Jimmy Snuggerud</t>
  </si>
  <si>
    <t>Ethen Frank</t>
  </si>
  <si>
    <t>Adam Klapka</t>
  </si>
  <si>
    <t>Noah Laba</t>
  </si>
  <si>
    <t>Dominic James</t>
  </si>
  <si>
    <t>Connor Bedard</t>
  </si>
  <si>
    <t>Gavin Brindley</t>
  </si>
  <si>
    <t>Easton Cowan</t>
  </si>
  <si>
    <t>Ryan Leonard</t>
  </si>
  <si>
    <t>Gabe Perreault</t>
  </si>
  <si>
    <t>Otto Stenberg</t>
  </si>
  <si>
    <t>Sam Malinski</t>
  </si>
  <si>
    <t>Beckett Sennecke</t>
  </si>
  <si>
    <t>Artyom Levshunov</t>
  </si>
  <si>
    <t>Berkly Catton</t>
  </si>
  <si>
    <t>Sam Dickinson</t>
  </si>
  <si>
    <t>Justin Hryckowian</t>
  </si>
  <si>
    <t>Matvei Gridin</t>
  </si>
  <si>
    <t>Tim Washe</t>
  </si>
  <si>
    <t>Roster Position</t>
  </si>
  <si>
    <t>%Drafted</t>
  </si>
  <si>
    <t>FPTS</t>
  </si>
  <si>
    <t>W</t>
  </si>
  <si>
    <t>UTIL</t>
  </si>
  <si>
    <t>Philipp Grubauer</t>
  </si>
  <si>
    <t>G</t>
  </si>
  <si>
    <t>Logan Thompson</t>
  </si>
  <si>
    <t>Andrei Vasilevskiy</t>
  </si>
  <si>
    <t>Anthony Stolarz</t>
  </si>
  <si>
    <t>Devin Cooley</t>
  </si>
  <si>
    <t>MacKenzie Blackwood</t>
  </si>
  <si>
    <t>Kevin Lankinen</t>
  </si>
  <si>
    <t>Jake Oettinger</t>
  </si>
  <si>
    <t>Lukas Dostal</t>
  </si>
  <si>
    <t>Jacob Markstrom</t>
  </si>
  <si>
    <t>Alex Nedeljkovic</t>
  </si>
  <si>
    <t>Alexis Lafreniere</t>
  </si>
  <si>
    <t>Spencer Martin</t>
  </si>
  <si>
    <t>Jordan Binnington</t>
  </si>
  <si>
    <t>Arvid Soderblom</t>
  </si>
  <si>
    <t>Samuel Ersson</t>
  </si>
  <si>
    <t>Adin Hill</t>
  </si>
  <si>
    <t>Igor Chernyshov</t>
  </si>
  <si>
    <t>Martin Fehervary</t>
  </si>
  <si>
    <t>Joey Daccord</t>
  </si>
  <si>
    <t>Dustin Wolf</t>
  </si>
  <si>
    <t>Charlie Lindgren</t>
  </si>
  <si>
    <t>Jeff Skinner</t>
  </si>
  <si>
    <t>Joseph Woll</t>
  </si>
  <si>
    <t>Yaroslav Askarov</t>
  </si>
  <si>
    <t>Nico Daws</t>
  </si>
  <si>
    <t>Jonathan Quick</t>
  </si>
  <si>
    <t>Freddy Gaudreau</t>
  </si>
  <si>
    <t>Joel Hofer</t>
  </si>
  <si>
    <t>Ross Colton</t>
  </si>
  <si>
    <t>Hunter Brzustewicz</t>
  </si>
  <si>
    <t>Matthew Kessel</t>
  </si>
  <si>
    <t>Casey DeSmith</t>
  </si>
  <si>
    <t>Tristen Nielsen</t>
  </si>
  <si>
    <t>Dylan Holloway</t>
  </si>
  <si>
    <t>Alexander Petrovic</t>
  </si>
  <si>
    <t>Ville Husso</t>
  </si>
  <si>
    <t>Jake Allen</t>
  </si>
  <si>
    <t>Spencer Knight</t>
  </si>
  <si>
    <t>Dan Vladar</t>
  </si>
  <si>
    <t>Carl Lindbom</t>
  </si>
  <si>
    <t>Scott Wedgewood</t>
  </si>
  <si>
    <t>Elias-Nils Pettersson</t>
  </si>
  <si>
    <t>name</t>
  </si>
  <si>
    <t>team</t>
  </si>
  <si>
    <t>position</t>
  </si>
  <si>
    <t>dk_pos</t>
  </si>
  <si>
    <t>salary</t>
  </si>
  <si>
    <t>projected_fpts</t>
  </si>
  <si>
    <t>floor</t>
  </si>
  <si>
    <t>ceiling</t>
  </si>
  <si>
    <t>dk_avg_fpts</t>
  </si>
  <si>
    <t>edge</t>
  </si>
  <si>
    <t>value</t>
  </si>
  <si>
    <t>goals_per_game</t>
  </si>
  <si>
    <t>assists_per_game</t>
  </si>
  <si>
    <t>shots_per_game</t>
  </si>
  <si>
    <t>pp_points_per_game</t>
  </si>
  <si>
    <t>projection_date</t>
  </si>
  <si>
    <t>timestamp</t>
  </si>
  <si>
    <t>20260123_190750</t>
  </si>
  <si>
    <t>TBL</t>
  </si>
  <si>
    <t>RW</t>
  </si>
  <si>
    <t>SJS</t>
  </si>
  <si>
    <t>LW</t>
  </si>
  <si>
    <t>Trent Miner</t>
  </si>
  <si>
    <t>NJD</t>
  </si>
  <si>
    <t>Mackenzie Blackwood</t>
  </si>
  <si>
    <t>Dennis Hildeby</t>
  </si>
  <si>
    <t>Akira Schmid</t>
  </si>
  <si>
    <t>Jonas Johansson</t>
  </si>
  <si>
    <t>Nikita Tolopilo</t>
  </si>
  <si>
    <t>Sam Rinzel</t>
  </si>
  <si>
    <t>Cale Fleury</t>
  </si>
  <si>
    <t>Jani Nyman</t>
  </si>
  <si>
    <t>Philippe Myers</t>
  </si>
  <si>
    <t>Nathan Walker</t>
  </si>
  <si>
    <t>Colton White</t>
  </si>
  <si>
    <t>Max Sasson</t>
  </si>
  <si>
    <t>Nikita Nesterenko</t>
  </si>
  <si>
    <t>Josh Mahura</t>
  </si>
  <si>
    <t>Declan Chisholm</t>
  </si>
  <si>
    <t>Urho Vaakanainen</t>
  </si>
  <si>
    <t>Jonny Brodzinski</t>
  </si>
  <si>
    <t>Nick Leddy</t>
  </si>
  <si>
    <t>Pierre-Olivier Joseph</t>
  </si>
  <si>
    <t>Aatu Raty</t>
  </si>
  <si>
    <t>Vincent Iorio</t>
  </si>
  <si>
    <t>Matt Luff</t>
  </si>
  <si>
    <t>Sonny Milano</t>
  </si>
  <si>
    <t>Dennis Cholowski</t>
  </si>
  <si>
    <t>Juuso Parssinen</t>
  </si>
  <si>
    <t>Scott Sabourin</t>
  </si>
  <si>
    <t>Dominic Toninato</t>
  </si>
  <si>
    <t>Adam Erne</t>
  </si>
  <si>
    <t>Ethan Cardwell</t>
  </si>
  <si>
    <t>Colton Dach</t>
  </si>
  <si>
    <t>Victor Mancini</t>
  </si>
  <si>
    <t>Nikita Grebenkin</t>
  </si>
  <si>
    <t>Tye Kartye</t>
  </si>
  <si>
    <t>Cole Reinhardt</t>
  </si>
  <si>
    <t>Conor Geekie</t>
  </si>
  <si>
    <t>Sam Colangelo</t>
  </si>
  <si>
    <t>Adam Ginning</t>
  </si>
  <si>
    <t>Nathan Bastian</t>
  </si>
  <si>
    <t>Arshdeep Bains</t>
  </si>
  <si>
    <t>Angus Crookshank</t>
  </si>
  <si>
    <t>Aleksanteri Kaskimaki</t>
  </si>
  <si>
    <t>Mitchell Chaffee</t>
  </si>
  <si>
    <t>Dylan McIlrath</t>
  </si>
  <si>
    <t>Ivan Ivan</t>
  </si>
  <si>
    <t>Brian Halonen</t>
  </si>
  <si>
    <t>Justin Kirkland</t>
  </si>
  <si>
    <t>Juho Lammikko</t>
  </si>
  <si>
    <t>Luke Glendening</t>
  </si>
  <si>
    <t>Matt Rempe</t>
  </si>
  <si>
    <t>Brett Berard</t>
  </si>
  <si>
    <t>Curtis Douglas</t>
  </si>
  <si>
    <t>Sam Lafferty</t>
  </si>
  <si>
    <t>Jaroslav Chmelar</t>
  </si>
  <si>
    <t>Nicolas Deslauriers</t>
  </si>
  <si>
    <t>Xavier Parent</t>
  </si>
  <si>
    <t>Brett Leason</t>
  </si>
  <si>
    <t>actual</t>
  </si>
  <si>
    <t>ownership</t>
  </si>
  <si>
    <t>Inj</t>
  </si>
  <si>
    <t>Likes</t>
  </si>
  <si>
    <t>Pos</t>
  </si>
  <si>
    <t>Salary</t>
  </si>
  <si>
    <t>Opp</t>
  </si>
  <si>
    <t>Time</t>
  </si>
  <si>
    <t>Fav.</t>
  </si>
  <si>
    <t>Win %</t>
  </si>
  <si>
    <t>Spread</t>
  </si>
  <si>
    <t>Total</t>
  </si>
  <si>
    <t>TeamGoal</t>
  </si>
  <si>
    <t>OppGoal</t>
  </si>
  <si>
    <t>Start/Line</t>
  </si>
  <si>
    <t>PP Unit</t>
  </si>
  <si>
    <t>avg TOI</t>
  </si>
  <si>
    <t>Avg</t>
  </si>
  <si>
    <t>STDV</t>
  </si>
  <si>
    <t>Ceiling</t>
  </si>
  <si>
    <t>FC Proj</t>
  </si>
  <si>
    <t>My Proj</t>
  </si>
  <si>
    <t>Exp.</t>
  </si>
  <si>
    <t>Used</t>
  </si>
  <si>
    <t>Con.</t>
  </si>
  <si>
    <t>Value</t>
  </si>
  <si>
    <t>Own%</t>
  </si>
  <si>
    <t>Score</t>
  </si>
  <si>
    <t>Val</t>
  </si>
  <si>
    <t>vs PHI</t>
  </si>
  <si>
    <t>Y</t>
  </si>
  <si>
    <t>SJ</t>
  </si>
  <si>
    <t>vs NYR</t>
  </si>
  <si>
    <t>vs VGK</t>
  </si>
  <si>
    <t>N</t>
  </si>
  <si>
    <t>@ TOR</t>
  </si>
  <si>
    <t>TB</t>
  </si>
  <si>
    <t>@ CHI</t>
  </si>
  <si>
    <t>@ SJ</t>
  </si>
  <si>
    <t>vs STL</t>
  </si>
  <si>
    <t>NJ</t>
  </si>
  <si>
    <t>@ VAN</t>
  </si>
  <si>
    <t>confirm</t>
  </si>
  <si>
    <t>vs TB</t>
  </si>
  <si>
    <t>@ CGY</t>
  </si>
  <si>
    <t>vs ANA</t>
  </si>
  <si>
    <t>Mitchell Marner</t>
  </si>
  <si>
    <t>@ COL</t>
  </si>
  <si>
    <t>@ SEA</t>
  </si>
  <si>
    <t>vs WSH</t>
  </si>
  <si>
    <t>Mackenzie Weegar</t>
  </si>
  <si>
    <t>Alex Wennberg</t>
  </si>
  <si>
    <t>vs NJ</t>
  </si>
  <si>
    <t>Matt Knies</t>
  </si>
  <si>
    <t>@ DAL</t>
  </si>
  <si>
    <t>Matthew Coronato</t>
  </si>
  <si>
    <t>Elias Nils Pettersson</t>
  </si>
  <si>
    <t>Dylan Coghlan</t>
  </si>
  <si>
    <t>Oskar Back</t>
  </si>
  <si>
    <t>unlikely</t>
  </si>
  <si>
    <t>Casey Desmith</t>
  </si>
  <si>
    <t>Carey Price</t>
  </si>
  <si>
    <t>Carter Hart</t>
  </si>
  <si>
    <t>Matt Murray</t>
  </si>
  <si>
    <t>Petr Mrazek</t>
  </si>
  <si>
    <t>Jiri Patera</t>
  </si>
  <si>
    <t>Igor Shesterkin</t>
  </si>
  <si>
    <t>Alexei Kolosov</t>
  </si>
  <si>
    <t>Thatcher Demko</t>
  </si>
  <si>
    <t>Adam Fox</t>
  </si>
  <si>
    <t>Vyacheslav Buteyets</t>
  </si>
  <si>
    <t>William Nylander</t>
  </si>
  <si>
    <t>!</t>
  </si>
  <si>
    <t>Brayden Point</t>
  </si>
  <si>
    <t>Leo Carlsson</t>
  </si>
  <si>
    <t>Robert Thomas</t>
  </si>
  <si>
    <t>Gabriel Landeskog</t>
  </si>
  <si>
    <t>Troy Terry</t>
  </si>
  <si>
    <t>Mason McTavish</t>
  </si>
  <si>
    <t>Victor Hedman</t>
  </si>
  <si>
    <t>Marco Rossi</t>
  </si>
  <si>
    <t>Luke Hughes</t>
  </si>
  <si>
    <t>Tyler Seguin</t>
  </si>
  <si>
    <t>Blake Coleman</t>
  </si>
  <si>
    <t>Rasmus Ristolainen</t>
  </si>
  <si>
    <t>Brayden McNabb</t>
  </si>
  <si>
    <t>Ryan McDonagh</t>
  </si>
  <si>
    <t>Devon Toews</t>
  </si>
  <si>
    <t>Tyson Foerster</t>
  </si>
  <si>
    <t>William Karlsson</t>
  </si>
  <si>
    <t>Frank Vatrano</t>
  </si>
  <si>
    <t>Teuvo Teravainen</t>
  </si>
  <si>
    <t>Pierre-luc Dubois</t>
  </si>
  <si>
    <t>Alex Pietrangelo</t>
  </si>
  <si>
    <t>Brett Howden</t>
  </si>
  <si>
    <t>Henry Thrun</t>
  </si>
  <si>
    <t>Chris Tanev</t>
  </si>
  <si>
    <t>Dakota Mermis</t>
  </si>
  <si>
    <t>Matt Benning</t>
  </si>
  <si>
    <t>Jaycob Megna</t>
  </si>
  <si>
    <t>Dakota Joshua</t>
  </si>
  <si>
    <t>Jakub Demek</t>
  </si>
  <si>
    <t>Brandon Saad</t>
  </si>
  <si>
    <t>Jacob Quillan</t>
  </si>
  <si>
    <t>Colton Sissons</t>
  </si>
  <si>
    <t>Steve Santini</t>
  </si>
  <si>
    <t>Emil Lilleberg</t>
  </si>
  <si>
    <t>Simon Lundmark</t>
  </si>
  <si>
    <t>Ethan del Mastro</t>
  </si>
  <si>
    <t>Ryan Ellis</t>
  </si>
  <si>
    <t>Boris Katchouk</t>
  </si>
  <si>
    <t>Joey Anderson</t>
  </si>
  <si>
    <t>Vladislav Kolyachonok</t>
  </si>
  <si>
    <t>Lian Bichsel</t>
  </si>
  <si>
    <t>Alex Petrovic</t>
  </si>
  <si>
    <t>Torey Krug</t>
  </si>
  <si>
    <t>Kyle McDonald</t>
  </si>
  <si>
    <t>Hugh McGing</t>
  </si>
  <si>
    <t>Pius Suter</t>
  </si>
  <si>
    <t>Oskar Sundqvist</t>
  </si>
  <si>
    <t>Ty Murchison</t>
  </si>
  <si>
    <t>Hunter McDonald</t>
  </si>
  <si>
    <t>Jacob MacDonald</t>
  </si>
  <si>
    <t>Logan O'Connor</t>
  </si>
  <si>
    <t>Jacob Gaucher</t>
  </si>
  <si>
    <t>Jett Luchanko</t>
  </si>
  <si>
    <t>Rodrigo Abols</t>
  </si>
  <si>
    <t>Daniil Miromanov</t>
  </si>
  <si>
    <t>Jake Bean</t>
  </si>
  <si>
    <t>Zayne Parekh</t>
  </si>
  <si>
    <t>William Stromgren</t>
  </si>
  <si>
    <t>Sam Morton</t>
  </si>
  <si>
    <t>Dryden Hunt</t>
  </si>
  <si>
    <t>Samuel Honzek</t>
  </si>
  <si>
    <t>Ivan Miroshnichenko</t>
  </si>
  <si>
    <t>Bogdan Trineyev</t>
  </si>
  <si>
    <t>Rory Kerins</t>
  </si>
  <si>
    <t>John Beecher</t>
  </si>
  <si>
    <t>Seamus Casey</t>
  </si>
  <si>
    <t>Guillaume Brisebois</t>
  </si>
  <si>
    <t>Derek Forbort</t>
  </si>
  <si>
    <t>Nathan Legare</t>
  </si>
  <si>
    <t>Zack MacEwen</t>
  </si>
  <si>
    <t>Stefan Noesen</t>
  </si>
  <si>
    <t>Jonathan Lekkerimaki</t>
  </si>
  <si>
    <t>Mackenzie Maceachern</t>
  </si>
  <si>
    <t>Marc McLaughlin</t>
  </si>
  <si>
    <t>Braeden Cootes</t>
  </si>
  <si>
    <t>Nils Aman</t>
  </si>
  <si>
    <t>Lukas Reichel</t>
  </si>
  <si>
    <t>Shakir Mukhamadullin</t>
  </si>
  <si>
    <t>Kiefer Sherwood</t>
  </si>
  <si>
    <t>Philipp Kurashev</t>
  </si>
  <si>
    <t>Conor Sheary</t>
  </si>
  <si>
    <t>Patrick Giles</t>
  </si>
  <si>
    <t>Logan Couture</t>
  </si>
  <si>
    <t>Ty Dellandrea</t>
  </si>
  <si>
    <t>Justin Dowling</t>
  </si>
  <si>
    <t>Adam Edstrom</t>
  </si>
  <si>
    <t>Max McCormick</t>
  </si>
  <si>
    <t>Lleyton Roed</t>
  </si>
  <si>
    <t>Oscar Fisker Molgaard</t>
  </si>
  <si>
    <t>John Hayden</t>
  </si>
  <si>
    <t>Ben Meyers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</si>
</sst>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14" fontId="0" fillId="0" borderId="0" xfId="0" applyNumberFormat="1"/>
    <xf numFmtId="18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D831-E017-3944-8AB7-7BAD93766292}">
  <dimension ref="A1:D303"/>
  <sheetViews>
    <sheetView workbookViewId="0">
      <selection sqref="A1:D1048576"/>
    </sheetView>
  </sheetViews>
  <sheetFormatPr baseColWidth="10" defaultRowHeight="16" x14ac:dyDescent="0.2"/>
  <cols>
    <col min="1" max="1" width="21.6640625" bestFit="1" customWidth="1"/>
    <col min="2" max="2" width="13.33203125" bestFit="1" customWidth="1"/>
    <col min="3" max="3" width="8.83203125" bestFit="1" customWidth="1"/>
    <col min="4" max="4" width="5.83203125" bestFit="1" customWidth="1"/>
  </cols>
  <sheetData>
    <row r="1" spans="1:4" x14ac:dyDescent="0.2">
      <c r="A1" t="s">
        <v>0</v>
      </c>
      <c r="B1" t="s">
        <v>340</v>
      </c>
      <c r="C1" t="s">
        <v>341</v>
      </c>
      <c r="D1" t="s">
        <v>342</v>
      </c>
    </row>
    <row r="2" spans="1:4" x14ac:dyDescent="0.2">
      <c r="A2" t="s">
        <v>47</v>
      </c>
      <c r="B2" t="s">
        <v>42</v>
      </c>
      <c r="C2" s="1">
        <v>0.28460000000000002</v>
      </c>
      <c r="D2">
        <v>11.5</v>
      </c>
    </row>
    <row r="3" spans="1:4" x14ac:dyDescent="0.2">
      <c r="A3" t="s">
        <v>100</v>
      </c>
      <c r="B3" t="s">
        <v>343</v>
      </c>
      <c r="C3" s="1">
        <v>0.2487</v>
      </c>
      <c r="D3">
        <v>14.3</v>
      </c>
    </row>
    <row r="4" spans="1:4" x14ac:dyDescent="0.2">
      <c r="A4" t="s">
        <v>68</v>
      </c>
      <c r="B4" t="s">
        <v>343</v>
      </c>
      <c r="C4" s="1">
        <v>0.2414</v>
      </c>
      <c r="D4">
        <v>13</v>
      </c>
    </row>
    <row r="5" spans="1:4" x14ac:dyDescent="0.2">
      <c r="A5" t="s">
        <v>70</v>
      </c>
      <c r="B5" t="s">
        <v>42</v>
      </c>
      <c r="C5" s="1">
        <v>0.2361</v>
      </c>
      <c r="D5">
        <v>23</v>
      </c>
    </row>
    <row r="6" spans="1:4" x14ac:dyDescent="0.2">
      <c r="A6" t="s">
        <v>89</v>
      </c>
      <c r="B6" t="s">
        <v>57</v>
      </c>
      <c r="C6" s="1">
        <v>0.1772</v>
      </c>
      <c r="D6">
        <v>7.8</v>
      </c>
    </row>
    <row r="7" spans="1:4" x14ac:dyDescent="0.2">
      <c r="A7" t="s">
        <v>98</v>
      </c>
      <c r="B7" t="s">
        <v>343</v>
      </c>
      <c r="C7" s="1">
        <v>0.15359999999999999</v>
      </c>
      <c r="D7">
        <v>13</v>
      </c>
    </row>
    <row r="8" spans="1:4" x14ac:dyDescent="0.2">
      <c r="A8" t="s">
        <v>145</v>
      </c>
      <c r="B8" t="s">
        <v>42</v>
      </c>
      <c r="C8" s="1">
        <v>0.15140000000000001</v>
      </c>
      <c r="D8">
        <v>7.8</v>
      </c>
    </row>
    <row r="9" spans="1:4" x14ac:dyDescent="0.2">
      <c r="A9" t="s">
        <v>55</v>
      </c>
      <c r="B9" t="s">
        <v>344</v>
      </c>
      <c r="C9" s="1">
        <v>0.15079999999999999</v>
      </c>
      <c r="D9">
        <v>26.5</v>
      </c>
    </row>
    <row r="10" spans="1:4" x14ac:dyDescent="0.2">
      <c r="A10" t="s">
        <v>345</v>
      </c>
      <c r="B10" t="s">
        <v>346</v>
      </c>
      <c r="C10" s="1">
        <v>0.14330000000000001</v>
      </c>
      <c r="D10">
        <v>8.4</v>
      </c>
    </row>
    <row r="11" spans="1:4" x14ac:dyDescent="0.2">
      <c r="A11" t="s">
        <v>86</v>
      </c>
      <c r="B11" t="s">
        <v>343</v>
      </c>
      <c r="C11" s="1">
        <v>0.14269999999999999</v>
      </c>
      <c r="D11">
        <v>11.5</v>
      </c>
    </row>
    <row r="12" spans="1:4" x14ac:dyDescent="0.2">
      <c r="A12" t="s">
        <v>347</v>
      </c>
      <c r="B12" t="s">
        <v>346</v>
      </c>
      <c r="C12" s="1">
        <v>0.12479999999999999</v>
      </c>
      <c r="D12">
        <v>20</v>
      </c>
    </row>
    <row r="13" spans="1:4" x14ac:dyDescent="0.2">
      <c r="A13" t="s">
        <v>111</v>
      </c>
      <c r="B13" t="s">
        <v>343</v>
      </c>
      <c r="C13" s="1">
        <v>0.1222</v>
      </c>
      <c r="D13">
        <v>8</v>
      </c>
    </row>
    <row r="14" spans="1:4" x14ac:dyDescent="0.2">
      <c r="A14" t="s">
        <v>179</v>
      </c>
      <c r="B14" t="s">
        <v>57</v>
      </c>
      <c r="C14" s="1">
        <v>0.1169</v>
      </c>
      <c r="D14">
        <v>8.6</v>
      </c>
    </row>
    <row r="15" spans="1:4" x14ac:dyDescent="0.2">
      <c r="A15" t="s">
        <v>80</v>
      </c>
      <c r="B15" t="s">
        <v>344</v>
      </c>
      <c r="C15" s="1">
        <v>0.11409999999999999</v>
      </c>
      <c r="D15">
        <v>11</v>
      </c>
    </row>
    <row r="16" spans="1:4" x14ac:dyDescent="0.2">
      <c r="A16" t="s">
        <v>120</v>
      </c>
      <c r="B16" t="s">
        <v>57</v>
      </c>
      <c r="C16" s="1">
        <v>0.1119</v>
      </c>
      <c r="D16">
        <v>12.8</v>
      </c>
    </row>
    <row r="17" spans="1:4" x14ac:dyDescent="0.2">
      <c r="A17" t="s">
        <v>255</v>
      </c>
      <c r="B17" t="s">
        <v>343</v>
      </c>
      <c r="C17" s="1">
        <v>0.10680000000000001</v>
      </c>
      <c r="D17">
        <v>1.5</v>
      </c>
    </row>
    <row r="18" spans="1:4" x14ac:dyDescent="0.2">
      <c r="A18" t="s">
        <v>128</v>
      </c>
      <c r="B18" t="s">
        <v>344</v>
      </c>
      <c r="C18" s="1">
        <v>9.9199999999999997E-2</v>
      </c>
      <c r="D18">
        <v>10.8</v>
      </c>
    </row>
    <row r="19" spans="1:4" x14ac:dyDescent="0.2">
      <c r="A19" t="s">
        <v>227</v>
      </c>
      <c r="B19" t="s">
        <v>57</v>
      </c>
      <c r="C19" s="1">
        <v>9.8699999999999996E-2</v>
      </c>
      <c r="D19">
        <v>4.5</v>
      </c>
    </row>
    <row r="20" spans="1:4" x14ac:dyDescent="0.2">
      <c r="A20" t="s">
        <v>73</v>
      </c>
      <c r="B20" t="s">
        <v>343</v>
      </c>
      <c r="C20" s="1">
        <v>9.6699999999999994E-2</v>
      </c>
      <c r="D20">
        <v>6.5</v>
      </c>
    </row>
    <row r="21" spans="1:4" x14ac:dyDescent="0.2">
      <c r="A21" t="s">
        <v>71</v>
      </c>
      <c r="B21" t="s">
        <v>343</v>
      </c>
      <c r="C21" s="1">
        <v>9.2200000000000004E-2</v>
      </c>
      <c r="D21">
        <v>10</v>
      </c>
    </row>
    <row r="22" spans="1:4" x14ac:dyDescent="0.2">
      <c r="A22" t="s">
        <v>244</v>
      </c>
      <c r="B22" t="s">
        <v>57</v>
      </c>
      <c r="C22" s="1">
        <v>9.1700000000000004E-2</v>
      </c>
      <c r="D22">
        <v>4.5</v>
      </c>
    </row>
    <row r="23" spans="1:4" x14ac:dyDescent="0.2">
      <c r="A23" t="s">
        <v>115</v>
      </c>
      <c r="B23" t="s">
        <v>42</v>
      </c>
      <c r="C23" s="1">
        <v>8.9399999999999993E-2</v>
      </c>
      <c r="D23">
        <v>7.6</v>
      </c>
    </row>
    <row r="24" spans="1:4" x14ac:dyDescent="0.2">
      <c r="A24" t="s">
        <v>348</v>
      </c>
      <c r="B24" t="s">
        <v>346</v>
      </c>
      <c r="C24" s="1">
        <v>8.77E-2</v>
      </c>
      <c r="D24">
        <v>14.4</v>
      </c>
    </row>
    <row r="25" spans="1:4" x14ac:dyDescent="0.2">
      <c r="A25" t="s">
        <v>184</v>
      </c>
      <c r="B25" t="s">
        <v>42</v>
      </c>
      <c r="C25" s="1">
        <v>8.6300000000000002E-2</v>
      </c>
      <c r="D25">
        <v>3</v>
      </c>
    </row>
    <row r="26" spans="1:4" x14ac:dyDescent="0.2">
      <c r="A26" t="s">
        <v>252</v>
      </c>
      <c r="B26" t="s">
        <v>57</v>
      </c>
      <c r="C26" s="1">
        <v>8.5800000000000001E-2</v>
      </c>
      <c r="D26">
        <v>5.6</v>
      </c>
    </row>
    <row r="27" spans="1:4" x14ac:dyDescent="0.2">
      <c r="A27" t="s">
        <v>225</v>
      </c>
      <c r="B27" t="s">
        <v>57</v>
      </c>
      <c r="C27" s="1">
        <v>8.5800000000000001E-2</v>
      </c>
      <c r="D27">
        <v>11.8</v>
      </c>
    </row>
    <row r="28" spans="1:4" x14ac:dyDescent="0.2">
      <c r="A28" t="s">
        <v>51</v>
      </c>
      <c r="B28" t="s">
        <v>42</v>
      </c>
      <c r="C28" s="1">
        <v>8.4699999999999998E-2</v>
      </c>
      <c r="D28">
        <v>12.8</v>
      </c>
    </row>
    <row r="29" spans="1:4" x14ac:dyDescent="0.2">
      <c r="A29" t="s">
        <v>190</v>
      </c>
      <c r="B29" t="s">
        <v>343</v>
      </c>
      <c r="C29" s="1">
        <v>8.3500000000000005E-2</v>
      </c>
      <c r="D29">
        <v>3</v>
      </c>
    </row>
    <row r="30" spans="1:4" x14ac:dyDescent="0.2">
      <c r="A30" t="s">
        <v>240</v>
      </c>
      <c r="B30" t="s">
        <v>344</v>
      </c>
      <c r="C30" s="1">
        <v>8.1000000000000003E-2</v>
      </c>
      <c r="D30">
        <v>4.5</v>
      </c>
    </row>
    <row r="31" spans="1:4" x14ac:dyDescent="0.2">
      <c r="A31" t="s">
        <v>188</v>
      </c>
      <c r="B31" t="s">
        <v>42</v>
      </c>
      <c r="C31" s="1">
        <v>8.0500000000000002E-2</v>
      </c>
      <c r="D31">
        <v>12</v>
      </c>
    </row>
    <row r="32" spans="1:4" x14ac:dyDescent="0.2">
      <c r="A32" t="s">
        <v>103</v>
      </c>
      <c r="B32" t="s">
        <v>344</v>
      </c>
      <c r="C32" s="1">
        <v>7.8799999999999995E-2</v>
      </c>
      <c r="D32">
        <v>6.5</v>
      </c>
    </row>
    <row r="33" spans="1:4" x14ac:dyDescent="0.2">
      <c r="A33" t="s">
        <v>349</v>
      </c>
      <c r="B33" t="s">
        <v>346</v>
      </c>
      <c r="C33" s="1">
        <v>7.8200000000000006E-2</v>
      </c>
      <c r="D33">
        <v>0</v>
      </c>
    </row>
    <row r="34" spans="1:4" x14ac:dyDescent="0.2">
      <c r="A34" t="s">
        <v>350</v>
      </c>
      <c r="B34" t="s">
        <v>346</v>
      </c>
      <c r="C34" s="1">
        <v>7.7100000000000002E-2</v>
      </c>
      <c r="D34">
        <v>20.5</v>
      </c>
    </row>
    <row r="35" spans="1:4" x14ac:dyDescent="0.2">
      <c r="A35" t="s">
        <v>351</v>
      </c>
      <c r="B35" t="s">
        <v>346</v>
      </c>
      <c r="C35" s="1">
        <v>7.5999999999999998E-2</v>
      </c>
      <c r="D35">
        <v>-11.9</v>
      </c>
    </row>
    <row r="36" spans="1:4" x14ac:dyDescent="0.2">
      <c r="A36" t="s">
        <v>216</v>
      </c>
      <c r="B36" t="s">
        <v>42</v>
      </c>
      <c r="C36" s="1">
        <v>7.4300000000000005E-2</v>
      </c>
      <c r="D36">
        <v>8.1999999999999993</v>
      </c>
    </row>
    <row r="37" spans="1:4" x14ac:dyDescent="0.2">
      <c r="A37" t="s">
        <v>83</v>
      </c>
      <c r="B37" t="s">
        <v>42</v>
      </c>
      <c r="C37" s="1">
        <v>7.1800000000000003E-2</v>
      </c>
      <c r="D37">
        <v>9.3000000000000007</v>
      </c>
    </row>
    <row r="38" spans="1:4" x14ac:dyDescent="0.2">
      <c r="A38" t="s">
        <v>177</v>
      </c>
      <c r="B38" t="s">
        <v>42</v>
      </c>
      <c r="C38" s="1">
        <v>6.8699999999999997E-2</v>
      </c>
      <c r="D38">
        <v>4.0999999999999996</v>
      </c>
    </row>
    <row r="39" spans="1:4" x14ac:dyDescent="0.2">
      <c r="A39" t="s">
        <v>54</v>
      </c>
      <c r="B39" t="s">
        <v>343</v>
      </c>
      <c r="C39" s="1">
        <v>6.6400000000000001E-2</v>
      </c>
      <c r="D39">
        <v>19.3</v>
      </c>
    </row>
    <row r="40" spans="1:4" x14ac:dyDescent="0.2">
      <c r="A40" t="s">
        <v>206</v>
      </c>
      <c r="B40" t="s">
        <v>343</v>
      </c>
      <c r="C40" s="1">
        <v>6.3100000000000003E-2</v>
      </c>
      <c r="D40">
        <v>5.8</v>
      </c>
    </row>
    <row r="41" spans="1:4" x14ac:dyDescent="0.2">
      <c r="A41" t="s">
        <v>352</v>
      </c>
      <c r="B41" t="s">
        <v>346</v>
      </c>
      <c r="C41" s="1">
        <v>6.2799999999999995E-2</v>
      </c>
      <c r="D41">
        <v>-4.2</v>
      </c>
    </row>
    <row r="42" spans="1:4" x14ac:dyDescent="0.2">
      <c r="A42" t="s">
        <v>62</v>
      </c>
      <c r="B42" t="s">
        <v>343</v>
      </c>
      <c r="C42" s="1">
        <v>6.25E-2</v>
      </c>
      <c r="D42">
        <v>19.5</v>
      </c>
    </row>
    <row r="43" spans="1:4" x14ac:dyDescent="0.2">
      <c r="A43" t="s">
        <v>109</v>
      </c>
      <c r="B43" t="s">
        <v>343</v>
      </c>
      <c r="C43" s="1">
        <v>6.25E-2</v>
      </c>
      <c r="D43">
        <v>9.5</v>
      </c>
    </row>
    <row r="44" spans="1:4" x14ac:dyDescent="0.2">
      <c r="A44" t="s">
        <v>353</v>
      </c>
      <c r="B44" t="s">
        <v>346</v>
      </c>
      <c r="C44" s="1">
        <v>6.2199999999999998E-2</v>
      </c>
      <c r="D44">
        <v>13</v>
      </c>
    </row>
    <row r="45" spans="1:4" x14ac:dyDescent="0.2">
      <c r="A45" t="s">
        <v>238</v>
      </c>
      <c r="B45" t="s">
        <v>42</v>
      </c>
      <c r="C45" s="1">
        <v>6.1100000000000002E-2</v>
      </c>
      <c r="D45">
        <v>1.5</v>
      </c>
    </row>
    <row r="46" spans="1:4" x14ac:dyDescent="0.2">
      <c r="A46" t="s">
        <v>354</v>
      </c>
      <c r="B46" t="s">
        <v>346</v>
      </c>
      <c r="C46" s="1">
        <v>5.8900000000000001E-2</v>
      </c>
      <c r="D46">
        <v>13</v>
      </c>
    </row>
    <row r="47" spans="1:4" x14ac:dyDescent="0.2">
      <c r="A47" t="s">
        <v>90</v>
      </c>
      <c r="B47" t="s">
        <v>57</v>
      </c>
      <c r="C47" s="1">
        <v>5.8900000000000001E-2</v>
      </c>
      <c r="D47">
        <v>9.1</v>
      </c>
    </row>
    <row r="48" spans="1:4" x14ac:dyDescent="0.2">
      <c r="A48" t="s">
        <v>149</v>
      </c>
      <c r="B48" t="s">
        <v>57</v>
      </c>
      <c r="C48" s="1">
        <v>5.6899999999999999E-2</v>
      </c>
      <c r="D48">
        <v>9.3000000000000007</v>
      </c>
    </row>
    <row r="49" spans="1:4" x14ac:dyDescent="0.2">
      <c r="A49" t="s">
        <v>130</v>
      </c>
      <c r="B49" t="s">
        <v>343</v>
      </c>
      <c r="C49" s="1">
        <v>5.6599999999999998E-2</v>
      </c>
      <c r="D49">
        <v>13</v>
      </c>
    </row>
    <row r="50" spans="1:4" x14ac:dyDescent="0.2">
      <c r="A50" t="s">
        <v>222</v>
      </c>
      <c r="B50" t="s">
        <v>57</v>
      </c>
      <c r="C50" s="1">
        <v>5.5500000000000001E-2</v>
      </c>
      <c r="D50">
        <v>5.6</v>
      </c>
    </row>
    <row r="51" spans="1:4" x14ac:dyDescent="0.2">
      <c r="A51" t="s">
        <v>249</v>
      </c>
      <c r="B51" t="s">
        <v>42</v>
      </c>
      <c r="C51" s="1">
        <v>5.4100000000000002E-2</v>
      </c>
      <c r="D51">
        <v>4.5</v>
      </c>
    </row>
    <row r="52" spans="1:4" x14ac:dyDescent="0.2">
      <c r="A52" t="s">
        <v>50</v>
      </c>
      <c r="B52" t="s">
        <v>42</v>
      </c>
      <c r="C52" s="1">
        <v>5.4100000000000002E-2</v>
      </c>
      <c r="D52">
        <v>18</v>
      </c>
    </row>
    <row r="53" spans="1:4" x14ac:dyDescent="0.2">
      <c r="A53" t="s">
        <v>187</v>
      </c>
      <c r="B53" t="s">
        <v>343</v>
      </c>
      <c r="C53" s="1">
        <v>5.3499999999999999E-2</v>
      </c>
      <c r="D53">
        <v>3</v>
      </c>
    </row>
    <row r="54" spans="1:4" x14ac:dyDescent="0.2">
      <c r="A54" t="s">
        <v>170</v>
      </c>
      <c r="B54" t="s">
        <v>42</v>
      </c>
      <c r="C54" s="1">
        <v>5.2699999999999997E-2</v>
      </c>
      <c r="D54">
        <v>1.5</v>
      </c>
    </row>
    <row r="55" spans="1:4" x14ac:dyDescent="0.2">
      <c r="A55" t="s">
        <v>77</v>
      </c>
      <c r="B55" t="s">
        <v>42</v>
      </c>
      <c r="C55" s="1">
        <v>5.0999999999999997E-2</v>
      </c>
      <c r="D55">
        <v>10</v>
      </c>
    </row>
    <row r="56" spans="1:4" x14ac:dyDescent="0.2">
      <c r="A56" t="s">
        <v>53</v>
      </c>
      <c r="B56" t="s">
        <v>42</v>
      </c>
      <c r="C56" s="1">
        <v>5.0999999999999997E-2</v>
      </c>
      <c r="D56">
        <v>19.3</v>
      </c>
    </row>
    <row r="57" spans="1:4" x14ac:dyDescent="0.2">
      <c r="A57" t="s">
        <v>355</v>
      </c>
      <c r="B57" t="s">
        <v>346</v>
      </c>
      <c r="C57" s="1">
        <v>5.0500000000000003E-2</v>
      </c>
      <c r="D57">
        <v>6.7</v>
      </c>
    </row>
    <row r="58" spans="1:4" x14ac:dyDescent="0.2">
      <c r="A58" t="s">
        <v>356</v>
      </c>
      <c r="B58" t="s">
        <v>346</v>
      </c>
      <c r="C58" s="1">
        <v>5.0200000000000002E-2</v>
      </c>
      <c r="D58">
        <v>22.1</v>
      </c>
    </row>
    <row r="59" spans="1:4" x14ac:dyDescent="0.2">
      <c r="A59" t="s">
        <v>309</v>
      </c>
      <c r="B59" t="s">
        <v>343</v>
      </c>
      <c r="C59" s="1">
        <v>4.9599999999999998E-2</v>
      </c>
      <c r="D59">
        <v>1.3</v>
      </c>
    </row>
    <row r="60" spans="1:4" x14ac:dyDescent="0.2">
      <c r="A60" t="s">
        <v>195</v>
      </c>
      <c r="B60" t="s">
        <v>42</v>
      </c>
      <c r="C60" s="1">
        <v>4.9099999999999998E-2</v>
      </c>
      <c r="D60">
        <v>3</v>
      </c>
    </row>
    <row r="61" spans="1:4" x14ac:dyDescent="0.2">
      <c r="A61" t="s">
        <v>280</v>
      </c>
      <c r="B61" t="s">
        <v>343</v>
      </c>
      <c r="C61" s="1">
        <v>4.8800000000000003E-2</v>
      </c>
      <c r="D61">
        <v>17.399999999999999</v>
      </c>
    </row>
    <row r="62" spans="1:4" x14ac:dyDescent="0.2">
      <c r="A62" t="s">
        <v>159</v>
      </c>
      <c r="B62" t="s">
        <v>57</v>
      </c>
      <c r="C62" s="1">
        <v>4.8800000000000003E-2</v>
      </c>
      <c r="D62">
        <v>1.5</v>
      </c>
    </row>
    <row r="63" spans="1:4" x14ac:dyDescent="0.2">
      <c r="A63" t="s">
        <v>76</v>
      </c>
      <c r="B63" t="s">
        <v>42</v>
      </c>
      <c r="C63" s="1">
        <v>4.8500000000000001E-2</v>
      </c>
      <c r="D63">
        <v>13</v>
      </c>
    </row>
    <row r="64" spans="1:4" x14ac:dyDescent="0.2">
      <c r="A64" t="s">
        <v>131</v>
      </c>
      <c r="B64" t="s">
        <v>57</v>
      </c>
      <c r="C64" s="1">
        <v>4.82E-2</v>
      </c>
      <c r="D64">
        <v>7.8</v>
      </c>
    </row>
    <row r="65" spans="1:4" x14ac:dyDescent="0.2">
      <c r="A65" t="s">
        <v>60</v>
      </c>
      <c r="B65" t="s">
        <v>343</v>
      </c>
      <c r="C65" s="1">
        <v>4.7699999999999999E-2</v>
      </c>
      <c r="D65">
        <v>14.5</v>
      </c>
    </row>
    <row r="66" spans="1:4" x14ac:dyDescent="0.2">
      <c r="A66" t="s">
        <v>204</v>
      </c>
      <c r="B66" t="s">
        <v>57</v>
      </c>
      <c r="C66" s="1">
        <v>4.7399999999999998E-2</v>
      </c>
      <c r="D66">
        <v>12.5</v>
      </c>
    </row>
    <row r="67" spans="1:4" x14ac:dyDescent="0.2">
      <c r="A67" t="s">
        <v>333</v>
      </c>
      <c r="B67" t="s">
        <v>343</v>
      </c>
      <c r="C67" s="1">
        <v>4.7399999999999998E-2</v>
      </c>
      <c r="D67">
        <v>1.5</v>
      </c>
    </row>
    <row r="68" spans="1:4" x14ac:dyDescent="0.2">
      <c r="A68" t="s">
        <v>300</v>
      </c>
      <c r="B68" t="s">
        <v>343</v>
      </c>
      <c r="C68" s="1">
        <v>4.6300000000000001E-2</v>
      </c>
      <c r="D68">
        <v>1.5</v>
      </c>
    </row>
    <row r="69" spans="1:4" x14ac:dyDescent="0.2">
      <c r="A69" t="s">
        <v>239</v>
      </c>
      <c r="B69" t="s">
        <v>344</v>
      </c>
      <c r="C69" s="1">
        <v>4.5400000000000003E-2</v>
      </c>
      <c r="D69">
        <v>0</v>
      </c>
    </row>
    <row r="70" spans="1:4" x14ac:dyDescent="0.2">
      <c r="A70" t="s">
        <v>44</v>
      </c>
      <c r="B70" t="s">
        <v>42</v>
      </c>
      <c r="C70" s="1">
        <v>4.4900000000000002E-2</v>
      </c>
      <c r="D70">
        <v>16.5</v>
      </c>
    </row>
    <row r="71" spans="1:4" x14ac:dyDescent="0.2">
      <c r="A71" t="s">
        <v>325</v>
      </c>
      <c r="B71" t="s">
        <v>42</v>
      </c>
      <c r="C71" s="1">
        <v>4.4299999999999999E-2</v>
      </c>
      <c r="D71">
        <v>5.8</v>
      </c>
    </row>
    <row r="72" spans="1:4" x14ac:dyDescent="0.2">
      <c r="A72" t="s">
        <v>332</v>
      </c>
      <c r="B72" t="s">
        <v>57</v>
      </c>
      <c r="C72" s="1">
        <v>4.3999999999999997E-2</v>
      </c>
      <c r="D72">
        <v>4.3</v>
      </c>
    </row>
    <row r="73" spans="1:4" x14ac:dyDescent="0.2">
      <c r="A73" t="s">
        <v>63</v>
      </c>
      <c r="B73" t="s">
        <v>344</v>
      </c>
      <c r="C73" s="1">
        <v>4.2099999999999999E-2</v>
      </c>
      <c r="D73">
        <v>27</v>
      </c>
    </row>
    <row r="74" spans="1:4" x14ac:dyDescent="0.2">
      <c r="A74" t="s">
        <v>92</v>
      </c>
      <c r="B74" t="s">
        <v>343</v>
      </c>
      <c r="C74" s="1">
        <v>4.1200000000000001E-2</v>
      </c>
      <c r="D74">
        <v>9.5</v>
      </c>
    </row>
    <row r="75" spans="1:4" x14ac:dyDescent="0.2">
      <c r="A75" t="s">
        <v>212</v>
      </c>
      <c r="B75" t="s">
        <v>343</v>
      </c>
      <c r="C75" s="1">
        <v>4.1200000000000001E-2</v>
      </c>
      <c r="D75">
        <v>0</v>
      </c>
    </row>
    <row r="76" spans="1:4" x14ac:dyDescent="0.2">
      <c r="A76" t="s">
        <v>38</v>
      </c>
      <c r="B76" t="s">
        <v>343</v>
      </c>
      <c r="C76" s="1">
        <v>4.07E-2</v>
      </c>
      <c r="D76">
        <v>32.1</v>
      </c>
    </row>
    <row r="77" spans="1:4" x14ac:dyDescent="0.2">
      <c r="A77" t="s">
        <v>78</v>
      </c>
      <c r="B77" t="s">
        <v>343</v>
      </c>
      <c r="C77" s="1">
        <v>3.95E-2</v>
      </c>
      <c r="D77">
        <v>10</v>
      </c>
    </row>
    <row r="78" spans="1:4" x14ac:dyDescent="0.2">
      <c r="A78" t="s">
        <v>215</v>
      </c>
      <c r="B78" t="s">
        <v>344</v>
      </c>
      <c r="C78" s="1">
        <v>3.9199999999999999E-2</v>
      </c>
      <c r="D78">
        <v>2.8</v>
      </c>
    </row>
    <row r="79" spans="1:4" x14ac:dyDescent="0.2">
      <c r="A79" t="s">
        <v>256</v>
      </c>
      <c r="B79" t="s">
        <v>57</v>
      </c>
      <c r="C79" s="1">
        <v>3.9E-2</v>
      </c>
      <c r="D79">
        <v>4.0999999999999996</v>
      </c>
    </row>
    <row r="80" spans="1:4" x14ac:dyDescent="0.2">
      <c r="A80" t="s">
        <v>133</v>
      </c>
      <c r="B80" t="s">
        <v>344</v>
      </c>
      <c r="C80" s="1">
        <v>3.8699999999999998E-2</v>
      </c>
      <c r="D80">
        <v>5</v>
      </c>
    </row>
    <row r="81" spans="1:4" x14ac:dyDescent="0.2">
      <c r="A81" t="s">
        <v>183</v>
      </c>
      <c r="B81" t="s">
        <v>57</v>
      </c>
      <c r="C81" s="1">
        <v>3.78E-2</v>
      </c>
      <c r="D81">
        <v>6.9</v>
      </c>
    </row>
    <row r="82" spans="1:4" x14ac:dyDescent="0.2">
      <c r="A82" t="s">
        <v>72</v>
      </c>
      <c r="B82" t="s">
        <v>343</v>
      </c>
      <c r="C82" s="1">
        <v>3.7600000000000001E-2</v>
      </c>
      <c r="D82">
        <v>20.5</v>
      </c>
    </row>
    <row r="83" spans="1:4" x14ac:dyDescent="0.2">
      <c r="A83" t="s">
        <v>330</v>
      </c>
      <c r="B83" t="s">
        <v>344</v>
      </c>
      <c r="C83" s="1">
        <v>3.73E-2</v>
      </c>
      <c r="D83">
        <v>2.8</v>
      </c>
    </row>
    <row r="84" spans="1:4" x14ac:dyDescent="0.2">
      <c r="A84" t="s">
        <v>357</v>
      </c>
      <c r="B84" t="s">
        <v>344</v>
      </c>
      <c r="C84" s="1">
        <v>3.56E-2</v>
      </c>
      <c r="D84">
        <v>1.5</v>
      </c>
    </row>
    <row r="85" spans="1:4" x14ac:dyDescent="0.2">
      <c r="A85" t="s">
        <v>358</v>
      </c>
      <c r="B85" t="s">
        <v>346</v>
      </c>
      <c r="C85" s="1">
        <v>3.5299999999999998E-2</v>
      </c>
      <c r="D85">
        <v>9.1</v>
      </c>
    </row>
    <row r="86" spans="1:4" x14ac:dyDescent="0.2">
      <c r="A86" t="s">
        <v>182</v>
      </c>
      <c r="B86" t="s">
        <v>57</v>
      </c>
      <c r="C86" s="1">
        <v>3.5000000000000003E-2</v>
      </c>
      <c r="D86">
        <v>3</v>
      </c>
    </row>
    <row r="87" spans="1:4" x14ac:dyDescent="0.2">
      <c r="A87" t="s">
        <v>106</v>
      </c>
      <c r="B87" t="s">
        <v>42</v>
      </c>
      <c r="C87" s="1">
        <v>3.5000000000000003E-2</v>
      </c>
      <c r="D87">
        <v>12.3</v>
      </c>
    </row>
    <row r="88" spans="1:4" x14ac:dyDescent="0.2">
      <c r="A88" t="s">
        <v>75</v>
      </c>
      <c r="B88" t="s">
        <v>57</v>
      </c>
      <c r="C88" s="1">
        <v>3.4500000000000003E-2</v>
      </c>
      <c r="D88">
        <v>9.3000000000000007</v>
      </c>
    </row>
    <row r="89" spans="1:4" x14ac:dyDescent="0.2">
      <c r="A89" t="s">
        <v>139</v>
      </c>
      <c r="B89" t="s">
        <v>343</v>
      </c>
      <c r="C89" s="1">
        <v>3.3399999999999999E-2</v>
      </c>
      <c r="D89">
        <v>6.5</v>
      </c>
    </row>
    <row r="90" spans="1:4" x14ac:dyDescent="0.2">
      <c r="A90" t="s">
        <v>40</v>
      </c>
      <c r="B90" t="s">
        <v>344</v>
      </c>
      <c r="C90" s="1">
        <v>3.3399999999999999E-2</v>
      </c>
      <c r="D90">
        <v>33.6</v>
      </c>
    </row>
    <row r="91" spans="1:4" x14ac:dyDescent="0.2">
      <c r="A91" t="s">
        <v>156</v>
      </c>
      <c r="B91" t="s">
        <v>57</v>
      </c>
      <c r="C91" s="1">
        <v>3.3099999999999997E-2</v>
      </c>
      <c r="D91">
        <v>7.6</v>
      </c>
    </row>
    <row r="92" spans="1:4" x14ac:dyDescent="0.2">
      <c r="A92" t="s">
        <v>151</v>
      </c>
      <c r="B92" t="s">
        <v>343</v>
      </c>
      <c r="C92" s="1">
        <v>3.2800000000000003E-2</v>
      </c>
      <c r="D92">
        <v>13</v>
      </c>
    </row>
    <row r="93" spans="1:4" x14ac:dyDescent="0.2">
      <c r="A93" t="s">
        <v>267</v>
      </c>
      <c r="B93" t="s">
        <v>57</v>
      </c>
      <c r="C93" s="1">
        <v>3.2800000000000003E-2</v>
      </c>
      <c r="D93">
        <v>6.9</v>
      </c>
    </row>
    <row r="94" spans="1:4" x14ac:dyDescent="0.2">
      <c r="A94" t="s">
        <v>200</v>
      </c>
      <c r="B94" t="s">
        <v>57</v>
      </c>
      <c r="C94" s="1">
        <v>3.2199999999999999E-2</v>
      </c>
      <c r="D94">
        <v>12.5</v>
      </c>
    </row>
    <row r="95" spans="1:4" x14ac:dyDescent="0.2">
      <c r="A95" t="s">
        <v>288</v>
      </c>
      <c r="B95" t="s">
        <v>57</v>
      </c>
      <c r="C95" s="1">
        <v>3.2199999999999999E-2</v>
      </c>
      <c r="D95">
        <v>2.6</v>
      </c>
    </row>
    <row r="96" spans="1:4" x14ac:dyDescent="0.2">
      <c r="A96" t="s">
        <v>171</v>
      </c>
      <c r="B96" t="s">
        <v>57</v>
      </c>
      <c r="C96" s="1">
        <v>3.2000000000000001E-2</v>
      </c>
      <c r="D96">
        <v>1.5</v>
      </c>
    </row>
    <row r="97" spans="1:4" x14ac:dyDescent="0.2">
      <c r="A97" t="s">
        <v>359</v>
      </c>
      <c r="B97" t="s">
        <v>346</v>
      </c>
      <c r="C97" s="1">
        <v>3.2000000000000001E-2</v>
      </c>
      <c r="D97">
        <v>0.7</v>
      </c>
    </row>
    <row r="98" spans="1:4" x14ac:dyDescent="0.2">
      <c r="A98" t="s">
        <v>196</v>
      </c>
      <c r="B98" t="s">
        <v>57</v>
      </c>
      <c r="C98" s="1">
        <v>3.1699999999999999E-2</v>
      </c>
      <c r="D98">
        <v>0</v>
      </c>
    </row>
    <row r="99" spans="1:4" x14ac:dyDescent="0.2">
      <c r="A99" t="s">
        <v>65</v>
      </c>
      <c r="B99" t="s">
        <v>57</v>
      </c>
      <c r="C99" s="1">
        <v>3.1399999999999997E-2</v>
      </c>
      <c r="D99">
        <v>20.6</v>
      </c>
    </row>
    <row r="100" spans="1:4" x14ac:dyDescent="0.2">
      <c r="A100" t="s">
        <v>158</v>
      </c>
      <c r="B100" t="s">
        <v>344</v>
      </c>
      <c r="C100" s="1">
        <v>3.1099999999999999E-2</v>
      </c>
      <c r="D100">
        <v>6.5</v>
      </c>
    </row>
    <row r="101" spans="1:4" x14ac:dyDescent="0.2">
      <c r="A101" t="s">
        <v>118</v>
      </c>
      <c r="B101" t="s">
        <v>57</v>
      </c>
      <c r="C101" s="1">
        <v>3.0800000000000001E-2</v>
      </c>
      <c r="D101">
        <v>9.3000000000000007</v>
      </c>
    </row>
    <row r="102" spans="1:4" x14ac:dyDescent="0.2">
      <c r="A102" t="s">
        <v>82</v>
      </c>
      <c r="B102" t="s">
        <v>343</v>
      </c>
      <c r="C102" s="1">
        <v>3.0800000000000001E-2</v>
      </c>
      <c r="D102">
        <v>10</v>
      </c>
    </row>
    <row r="103" spans="1:4" x14ac:dyDescent="0.2">
      <c r="A103" t="s">
        <v>176</v>
      </c>
      <c r="B103" t="s">
        <v>57</v>
      </c>
      <c r="C103" s="1">
        <v>2.9399999999999999E-2</v>
      </c>
      <c r="D103">
        <v>3</v>
      </c>
    </row>
    <row r="104" spans="1:4" x14ac:dyDescent="0.2">
      <c r="A104" t="s">
        <v>94</v>
      </c>
      <c r="B104" t="s">
        <v>343</v>
      </c>
      <c r="C104" s="1">
        <v>2.92E-2</v>
      </c>
      <c r="D104">
        <v>11.3</v>
      </c>
    </row>
    <row r="105" spans="1:4" x14ac:dyDescent="0.2">
      <c r="A105" t="s">
        <v>96</v>
      </c>
      <c r="B105" t="s">
        <v>343</v>
      </c>
      <c r="C105" s="1">
        <v>2.92E-2</v>
      </c>
      <c r="D105">
        <v>6.5</v>
      </c>
    </row>
    <row r="106" spans="1:4" x14ac:dyDescent="0.2">
      <c r="A106" t="s">
        <v>268</v>
      </c>
      <c r="B106" t="s">
        <v>343</v>
      </c>
      <c r="C106" s="1">
        <v>2.8000000000000001E-2</v>
      </c>
      <c r="D106">
        <v>1.5</v>
      </c>
    </row>
    <row r="107" spans="1:4" x14ac:dyDescent="0.2">
      <c r="A107" t="s">
        <v>108</v>
      </c>
      <c r="B107" t="s">
        <v>42</v>
      </c>
      <c r="C107" s="1">
        <v>2.7799999999999998E-2</v>
      </c>
      <c r="D107">
        <v>9.3000000000000007</v>
      </c>
    </row>
    <row r="108" spans="1:4" x14ac:dyDescent="0.2">
      <c r="A108" t="s">
        <v>214</v>
      </c>
      <c r="B108" t="s">
        <v>57</v>
      </c>
      <c r="C108" s="1">
        <v>2.7799999999999998E-2</v>
      </c>
      <c r="D108">
        <v>1.3</v>
      </c>
    </row>
    <row r="109" spans="1:4" x14ac:dyDescent="0.2">
      <c r="A109" t="s">
        <v>329</v>
      </c>
      <c r="B109" t="s">
        <v>343</v>
      </c>
      <c r="C109" s="1">
        <v>2.75E-2</v>
      </c>
      <c r="D109">
        <v>10.5</v>
      </c>
    </row>
    <row r="110" spans="1:4" x14ac:dyDescent="0.2">
      <c r="A110" t="s">
        <v>210</v>
      </c>
      <c r="B110" t="s">
        <v>57</v>
      </c>
      <c r="C110" s="1">
        <v>2.75E-2</v>
      </c>
      <c r="D110">
        <v>2.6</v>
      </c>
    </row>
    <row r="111" spans="1:4" x14ac:dyDescent="0.2">
      <c r="A111" t="s">
        <v>165</v>
      </c>
      <c r="B111" t="s">
        <v>42</v>
      </c>
      <c r="C111" s="1">
        <v>2.7199999999999998E-2</v>
      </c>
      <c r="D111">
        <v>1.5</v>
      </c>
    </row>
    <row r="112" spans="1:4" x14ac:dyDescent="0.2">
      <c r="A112" t="s">
        <v>107</v>
      </c>
      <c r="B112" t="s">
        <v>343</v>
      </c>
      <c r="C112" s="1">
        <v>2.69E-2</v>
      </c>
      <c r="D112">
        <v>11.5</v>
      </c>
    </row>
    <row r="113" spans="1:4" x14ac:dyDescent="0.2">
      <c r="A113" t="s">
        <v>193</v>
      </c>
      <c r="B113" t="s">
        <v>344</v>
      </c>
      <c r="C113" s="1">
        <v>2.69E-2</v>
      </c>
      <c r="D113">
        <v>3</v>
      </c>
    </row>
    <row r="114" spans="1:4" x14ac:dyDescent="0.2">
      <c r="A114" t="s">
        <v>207</v>
      </c>
      <c r="B114" t="s">
        <v>343</v>
      </c>
      <c r="C114" s="1">
        <v>2.6100000000000002E-2</v>
      </c>
      <c r="D114">
        <v>3</v>
      </c>
    </row>
    <row r="115" spans="1:4" x14ac:dyDescent="0.2">
      <c r="A115" t="s">
        <v>137</v>
      </c>
      <c r="B115" t="s">
        <v>343</v>
      </c>
      <c r="C115" s="1">
        <v>2.4400000000000002E-2</v>
      </c>
      <c r="D115">
        <v>6.3</v>
      </c>
    </row>
    <row r="116" spans="1:4" x14ac:dyDescent="0.2">
      <c r="A116" t="s">
        <v>326</v>
      </c>
      <c r="B116" t="s">
        <v>42</v>
      </c>
      <c r="C116" s="1">
        <v>2.3800000000000002E-2</v>
      </c>
      <c r="D116">
        <v>1.3</v>
      </c>
    </row>
    <row r="117" spans="1:4" x14ac:dyDescent="0.2">
      <c r="A117" t="s">
        <v>260</v>
      </c>
      <c r="B117" t="s">
        <v>57</v>
      </c>
      <c r="C117" s="1">
        <v>2.35E-2</v>
      </c>
      <c r="D117">
        <v>4.0999999999999996</v>
      </c>
    </row>
    <row r="118" spans="1:4" x14ac:dyDescent="0.2">
      <c r="A118" t="s">
        <v>162</v>
      </c>
      <c r="B118" t="s">
        <v>343</v>
      </c>
      <c r="C118" s="1">
        <v>2.3300000000000001E-2</v>
      </c>
      <c r="D118">
        <v>2.8</v>
      </c>
    </row>
    <row r="119" spans="1:4" x14ac:dyDescent="0.2">
      <c r="A119" t="s">
        <v>134</v>
      </c>
      <c r="B119" t="s">
        <v>344</v>
      </c>
      <c r="C119" s="1">
        <v>2.2700000000000001E-2</v>
      </c>
      <c r="D119">
        <v>5</v>
      </c>
    </row>
    <row r="120" spans="1:4" x14ac:dyDescent="0.2">
      <c r="A120" t="s">
        <v>138</v>
      </c>
      <c r="B120" t="s">
        <v>42</v>
      </c>
      <c r="C120" s="1">
        <v>2.2700000000000001E-2</v>
      </c>
      <c r="D120">
        <v>12.1</v>
      </c>
    </row>
    <row r="121" spans="1:4" x14ac:dyDescent="0.2">
      <c r="A121" t="s">
        <v>167</v>
      </c>
      <c r="B121" t="s">
        <v>344</v>
      </c>
      <c r="C121" s="1">
        <v>2.2700000000000001E-2</v>
      </c>
      <c r="D121">
        <v>2.8</v>
      </c>
    </row>
    <row r="122" spans="1:4" x14ac:dyDescent="0.2">
      <c r="A122" t="s">
        <v>153</v>
      </c>
      <c r="B122" t="s">
        <v>42</v>
      </c>
      <c r="C122" s="1">
        <v>2.2700000000000001E-2</v>
      </c>
      <c r="D122">
        <v>10</v>
      </c>
    </row>
    <row r="123" spans="1:4" x14ac:dyDescent="0.2">
      <c r="A123" t="s">
        <v>105</v>
      </c>
      <c r="B123" t="s">
        <v>343</v>
      </c>
      <c r="C123" s="1">
        <v>2.2700000000000001E-2</v>
      </c>
      <c r="D123">
        <v>6.5</v>
      </c>
    </row>
    <row r="124" spans="1:4" x14ac:dyDescent="0.2">
      <c r="A124" t="s">
        <v>201</v>
      </c>
      <c r="B124" t="s">
        <v>42</v>
      </c>
      <c r="C124" s="1">
        <v>2.24E-2</v>
      </c>
      <c r="D124">
        <v>1.3</v>
      </c>
    </row>
    <row r="125" spans="1:4" x14ac:dyDescent="0.2">
      <c r="A125" t="s">
        <v>360</v>
      </c>
      <c r="B125" t="s">
        <v>346</v>
      </c>
      <c r="C125" s="1">
        <v>2.1000000000000001E-2</v>
      </c>
      <c r="D125">
        <v>19.5</v>
      </c>
    </row>
    <row r="126" spans="1:4" x14ac:dyDescent="0.2">
      <c r="A126" t="s">
        <v>144</v>
      </c>
      <c r="B126" t="s">
        <v>343</v>
      </c>
      <c r="C126" s="1">
        <v>2.07E-2</v>
      </c>
      <c r="D126">
        <v>14.5</v>
      </c>
    </row>
    <row r="127" spans="1:4" x14ac:dyDescent="0.2">
      <c r="A127" t="s">
        <v>306</v>
      </c>
      <c r="B127" t="s">
        <v>57</v>
      </c>
      <c r="C127" s="1">
        <v>2.0500000000000001E-2</v>
      </c>
      <c r="D127">
        <v>5.6</v>
      </c>
    </row>
    <row r="128" spans="1:4" x14ac:dyDescent="0.2">
      <c r="A128" t="s">
        <v>285</v>
      </c>
      <c r="B128" t="s">
        <v>343</v>
      </c>
      <c r="C128" s="1">
        <v>2.0500000000000001E-2</v>
      </c>
      <c r="D128">
        <v>2.8</v>
      </c>
    </row>
    <row r="129" spans="1:4" x14ac:dyDescent="0.2">
      <c r="A129" t="s">
        <v>298</v>
      </c>
      <c r="B129" t="s">
        <v>344</v>
      </c>
      <c r="C129" s="1">
        <v>2.0500000000000001E-2</v>
      </c>
      <c r="D129">
        <v>1.3</v>
      </c>
    </row>
    <row r="130" spans="1:4" x14ac:dyDescent="0.2">
      <c r="A130" t="s">
        <v>289</v>
      </c>
      <c r="B130" t="s">
        <v>343</v>
      </c>
      <c r="C130" s="1">
        <v>1.9900000000000001E-2</v>
      </c>
      <c r="D130">
        <v>1.3</v>
      </c>
    </row>
    <row r="131" spans="1:4" x14ac:dyDescent="0.2">
      <c r="A131" t="s">
        <v>295</v>
      </c>
      <c r="B131" t="s">
        <v>57</v>
      </c>
      <c r="C131" s="1">
        <v>1.9099999999999999E-2</v>
      </c>
      <c r="D131">
        <v>2.6</v>
      </c>
    </row>
    <row r="132" spans="1:4" x14ac:dyDescent="0.2">
      <c r="A132" t="s">
        <v>150</v>
      </c>
      <c r="B132" t="s">
        <v>344</v>
      </c>
      <c r="C132" s="1">
        <v>1.9099999999999999E-2</v>
      </c>
      <c r="D132">
        <v>9.3000000000000007</v>
      </c>
    </row>
    <row r="133" spans="1:4" x14ac:dyDescent="0.2">
      <c r="A133" t="s">
        <v>230</v>
      </c>
      <c r="B133" t="s">
        <v>42</v>
      </c>
      <c r="C133" s="1">
        <v>1.9099999999999999E-2</v>
      </c>
      <c r="D133">
        <v>4.3</v>
      </c>
    </row>
    <row r="134" spans="1:4" x14ac:dyDescent="0.2">
      <c r="A134" t="s">
        <v>224</v>
      </c>
      <c r="B134" t="s">
        <v>42</v>
      </c>
      <c r="C134" s="1">
        <v>1.9099999999999999E-2</v>
      </c>
      <c r="D134">
        <v>5.8</v>
      </c>
    </row>
    <row r="135" spans="1:4" x14ac:dyDescent="0.2">
      <c r="A135" t="s">
        <v>199</v>
      </c>
      <c r="B135" t="s">
        <v>57</v>
      </c>
      <c r="C135" s="1">
        <v>1.8800000000000001E-2</v>
      </c>
      <c r="D135">
        <v>8.4</v>
      </c>
    </row>
    <row r="136" spans="1:4" x14ac:dyDescent="0.2">
      <c r="A136" t="s">
        <v>294</v>
      </c>
      <c r="B136" t="s">
        <v>57</v>
      </c>
      <c r="C136" s="1">
        <v>1.8499999999999999E-2</v>
      </c>
      <c r="D136">
        <v>3</v>
      </c>
    </row>
    <row r="137" spans="1:4" x14ac:dyDescent="0.2">
      <c r="A137" t="s">
        <v>254</v>
      </c>
      <c r="B137" t="s">
        <v>344</v>
      </c>
      <c r="C137" s="1">
        <v>1.8499999999999999E-2</v>
      </c>
      <c r="D137">
        <v>3</v>
      </c>
    </row>
    <row r="138" spans="1:4" x14ac:dyDescent="0.2">
      <c r="A138" t="s">
        <v>321</v>
      </c>
      <c r="B138" t="s">
        <v>343</v>
      </c>
      <c r="C138" s="1">
        <v>1.7899999999999999E-2</v>
      </c>
      <c r="D138">
        <v>1.3</v>
      </c>
    </row>
    <row r="139" spans="1:4" x14ac:dyDescent="0.2">
      <c r="A139" t="s">
        <v>213</v>
      </c>
      <c r="B139" t="s">
        <v>343</v>
      </c>
      <c r="C139" s="1">
        <v>1.7899999999999999E-2</v>
      </c>
      <c r="D139">
        <v>4.3</v>
      </c>
    </row>
    <row r="140" spans="1:4" x14ac:dyDescent="0.2">
      <c r="A140" t="s">
        <v>361</v>
      </c>
      <c r="B140" t="s">
        <v>346</v>
      </c>
      <c r="C140" s="1">
        <v>1.7899999999999999E-2</v>
      </c>
      <c r="D140">
        <v>17.899999999999999</v>
      </c>
    </row>
    <row r="141" spans="1:4" x14ac:dyDescent="0.2">
      <c r="A141" t="s">
        <v>166</v>
      </c>
      <c r="B141" t="s">
        <v>57</v>
      </c>
      <c r="C141" s="1">
        <v>1.77E-2</v>
      </c>
      <c r="D141">
        <v>11.4</v>
      </c>
    </row>
    <row r="142" spans="1:4" x14ac:dyDescent="0.2">
      <c r="A142" t="s">
        <v>49</v>
      </c>
      <c r="B142" t="s">
        <v>343</v>
      </c>
      <c r="C142" s="1">
        <v>1.7100000000000001E-2</v>
      </c>
      <c r="D142">
        <v>12.8</v>
      </c>
    </row>
    <row r="143" spans="1:4" x14ac:dyDescent="0.2">
      <c r="A143" t="s">
        <v>157</v>
      </c>
      <c r="B143" t="s">
        <v>344</v>
      </c>
      <c r="C143" s="1">
        <v>1.7100000000000001E-2</v>
      </c>
      <c r="D143">
        <v>13</v>
      </c>
    </row>
    <row r="144" spans="1:4" x14ac:dyDescent="0.2">
      <c r="A144" t="s">
        <v>271</v>
      </c>
      <c r="B144" t="s">
        <v>57</v>
      </c>
      <c r="C144" s="1">
        <v>1.6799999999999999E-2</v>
      </c>
      <c r="D144">
        <v>3</v>
      </c>
    </row>
    <row r="145" spans="1:4" x14ac:dyDescent="0.2">
      <c r="A145" t="s">
        <v>127</v>
      </c>
      <c r="B145" t="s">
        <v>343</v>
      </c>
      <c r="C145" s="1">
        <v>1.6799999999999999E-2</v>
      </c>
      <c r="D145">
        <v>8</v>
      </c>
    </row>
    <row r="146" spans="1:4" x14ac:dyDescent="0.2">
      <c r="A146" t="s">
        <v>132</v>
      </c>
      <c r="B146" t="s">
        <v>343</v>
      </c>
      <c r="C146" s="1">
        <v>1.6799999999999999E-2</v>
      </c>
      <c r="D146">
        <v>15.6</v>
      </c>
    </row>
    <row r="147" spans="1:4" x14ac:dyDescent="0.2">
      <c r="A147" t="s">
        <v>186</v>
      </c>
      <c r="B147" t="s">
        <v>57</v>
      </c>
      <c r="C147" s="1">
        <v>1.6299999999999999E-2</v>
      </c>
      <c r="D147">
        <v>1.3</v>
      </c>
    </row>
    <row r="148" spans="1:4" x14ac:dyDescent="0.2">
      <c r="A148" t="s">
        <v>79</v>
      </c>
      <c r="B148" t="s">
        <v>343</v>
      </c>
      <c r="C148" s="1">
        <v>1.6299999999999999E-2</v>
      </c>
      <c r="D148">
        <v>6.5</v>
      </c>
    </row>
    <row r="149" spans="1:4" x14ac:dyDescent="0.2">
      <c r="A149" t="s">
        <v>243</v>
      </c>
      <c r="B149" t="s">
        <v>343</v>
      </c>
      <c r="C149" s="1">
        <v>1.54E-2</v>
      </c>
      <c r="D149">
        <v>4.3</v>
      </c>
    </row>
    <row r="150" spans="1:4" x14ac:dyDescent="0.2">
      <c r="A150" t="s">
        <v>308</v>
      </c>
      <c r="B150" t="s">
        <v>343</v>
      </c>
      <c r="C150" s="1">
        <v>1.5100000000000001E-2</v>
      </c>
      <c r="D150">
        <v>4.3</v>
      </c>
    </row>
    <row r="151" spans="1:4" x14ac:dyDescent="0.2">
      <c r="A151" t="s">
        <v>263</v>
      </c>
      <c r="B151" t="s">
        <v>42</v>
      </c>
      <c r="C151" s="1">
        <v>1.5100000000000001E-2</v>
      </c>
      <c r="D151">
        <v>3</v>
      </c>
    </row>
    <row r="152" spans="1:4" x14ac:dyDescent="0.2">
      <c r="A152" t="s">
        <v>322</v>
      </c>
      <c r="B152" t="s">
        <v>343</v>
      </c>
      <c r="C152" s="1">
        <v>1.49E-2</v>
      </c>
      <c r="D152">
        <v>2.6</v>
      </c>
    </row>
    <row r="153" spans="1:4" x14ac:dyDescent="0.2">
      <c r="A153" t="s">
        <v>125</v>
      </c>
      <c r="B153" t="s">
        <v>57</v>
      </c>
      <c r="C153" s="1">
        <v>1.46E-2</v>
      </c>
      <c r="D153">
        <v>9.1</v>
      </c>
    </row>
    <row r="154" spans="1:4" x14ac:dyDescent="0.2">
      <c r="A154" t="s">
        <v>209</v>
      </c>
      <c r="B154" t="s">
        <v>343</v>
      </c>
      <c r="C154" s="1">
        <v>1.46E-2</v>
      </c>
      <c r="D154">
        <v>5.8</v>
      </c>
    </row>
    <row r="155" spans="1:4" x14ac:dyDescent="0.2">
      <c r="A155" t="s">
        <v>261</v>
      </c>
      <c r="B155" t="s">
        <v>343</v>
      </c>
      <c r="C155" s="1">
        <v>1.37E-2</v>
      </c>
      <c r="D155">
        <v>5.8</v>
      </c>
    </row>
    <row r="156" spans="1:4" x14ac:dyDescent="0.2">
      <c r="A156" t="s">
        <v>246</v>
      </c>
      <c r="B156" t="s">
        <v>57</v>
      </c>
      <c r="C156" s="1">
        <v>1.37E-2</v>
      </c>
      <c r="D156">
        <v>2.8</v>
      </c>
    </row>
    <row r="157" spans="1:4" x14ac:dyDescent="0.2">
      <c r="A157" t="s">
        <v>135</v>
      </c>
      <c r="B157" t="s">
        <v>343</v>
      </c>
      <c r="C157" s="1">
        <v>1.35E-2</v>
      </c>
      <c r="D157">
        <v>10</v>
      </c>
    </row>
    <row r="158" spans="1:4" x14ac:dyDescent="0.2">
      <c r="A158" t="s">
        <v>299</v>
      </c>
      <c r="B158" t="s">
        <v>57</v>
      </c>
      <c r="C158" s="1">
        <v>1.35E-2</v>
      </c>
      <c r="D158">
        <v>8.1999999999999993</v>
      </c>
    </row>
    <row r="159" spans="1:4" x14ac:dyDescent="0.2">
      <c r="A159" t="s">
        <v>305</v>
      </c>
      <c r="B159" t="s">
        <v>343</v>
      </c>
      <c r="C159" s="1">
        <v>1.35E-2</v>
      </c>
      <c r="D159">
        <v>4.5</v>
      </c>
    </row>
    <row r="160" spans="1:4" x14ac:dyDescent="0.2">
      <c r="A160" t="s">
        <v>147</v>
      </c>
      <c r="B160" t="s">
        <v>343</v>
      </c>
      <c r="C160" s="1">
        <v>1.32E-2</v>
      </c>
      <c r="D160">
        <v>11.3</v>
      </c>
    </row>
    <row r="161" spans="1:4" x14ac:dyDescent="0.2">
      <c r="A161" t="s">
        <v>226</v>
      </c>
      <c r="B161" t="s">
        <v>57</v>
      </c>
      <c r="C161" s="1">
        <v>1.29E-2</v>
      </c>
      <c r="D161">
        <v>6.9</v>
      </c>
    </row>
    <row r="162" spans="1:4" x14ac:dyDescent="0.2">
      <c r="A162" t="s">
        <v>169</v>
      </c>
      <c r="B162" t="s">
        <v>57</v>
      </c>
      <c r="C162" s="1">
        <v>1.29E-2</v>
      </c>
      <c r="D162">
        <v>4.3</v>
      </c>
    </row>
    <row r="163" spans="1:4" x14ac:dyDescent="0.2">
      <c r="A163" t="s">
        <v>257</v>
      </c>
      <c r="B163" t="s">
        <v>57</v>
      </c>
      <c r="C163" s="1">
        <v>1.26E-2</v>
      </c>
      <c r="D163">
        <v>1.3</v>
      </c>
    </row>
    <row r="164" spans="1:4" x14ac:dyDescent="0.2">
      <c r="A164" t="s">
        <v>266</v>
      </c>
      <c r="B164" t="s">
        <v>57</v>
      </c>
      <c r="C164" s="1">
        <v>1.23E-2</v>
      </c>
      <c r="D164">
        <v>1.3</v>
      </c>
    </row>
    <row r="165" spans="1:4" x14ac:dyDescent="0.2">
      <c r="A165" t="s">
        <v>324</v>
      </c>
      <c r="B165" t="s">
        <v>42</v>
      </c>
      <c r="C165" s="1">
        <v>1.23E-2</v>
      </c>
      <c r="D165">
        <v>0</v>
      </c>
    </row>
    <row r="166" spans="1:4" x14ac:dyDescent="0.2">
      <c r="A166" t="s">
        <v>185</v>
      </c>
      <c r="B166" t="s">
        <v>343</v>
      </c>
      <c r="C166" s="1">
        <v>1.21E-2</v>
      </c>
      <c r="D166">
        <v>4.5</v>
      </c>
    </row>
    <row r="167" spans="1:4" x14ac:dyDescent="0.2">
      <c r="A167" t="s">
        <v>202</v>
      </c>
      <c r="B167" t="s">
        <v>57</v>
      </c>
      <c r="C167" s="1">
        <v>1.21E-2</v>
      </c>
      <c r="D167">
        <v>0</v>
      </c>
    </row>
    <row r="168" spans="1:4" x14ac:dyDescent="0.2">
      <c r="A168" t="s">
        <v>168</v>
      </c>
      <c r="B168" t="s">
        <v>42</v>
      </c>
      <c r="C168" s="1">
        <v>1.15E-2</v>
      </c>
      <c r="D168">
        <v>5.8</v>
      </c>
    </row>
    <row r="169" spans="1:4" x14ac:dyDescent="0.2">
      <c r="A169" t="s">
        <v>102</v>
      </c>
      <c r="B169" t="s">
        <v>57</v>
      </c>
      <c r="C169" s="1">
        <v>1.15E-2</v>
      </c>
      <c r="D169">
        <v>9.3000000000000007</v>
      </c>
    </row>
    <row r="170" spans="1:4" x14ac:dyDescent="0.2">
      <c r="A170" t="s">
        <v>287</v>
      </c>
      <c r="B170" t="s">
        <v>343</v>
      </c>
      <c r="C170" s="1">
        <v>1.15E-2</v>
      </c>
      <c r="D170">
        <v>1.5</v>
      </c>
    </row>
    <row r="171" spans="1:4" x14ac:dyDescent="0.2">
      <c r="A171" t="s">
        <v>119</v>
      </c>
      <c r="B171" t="s">
        <v>42</v>
      </c>
      <c r="C171" s="1">
        <v>1.09E-2</v>
      </c>
      <c r="D171">
        <v>12</v>
      </c>
    </row>
    <row r="172" spans="1:4" x14ac:dyDescent="0.2">
      <c r="A172" t="s">
        <v>272</v>
      </c>
      <c r="B172" t="s">
        <v>57</v>
      </c>
      <c r="C172" s="1">
        <v>1.09E-2</v>
      </c>
      <c r="D172">
        <v>9.6999999999999993</v>
      </c>
    </row>
    <row r="173" spans="1:4" x14ac:dyDescent="0.2">
      <c r="A173" t="s">
        <v>58</v>
      </c>
      <c r="B173" t="s">
        <v>343</v>
      </c>
      <c r="C173" s="1">
        <v>1.01E-2</v>
      </c>
      <c r="D173">
        <v>20.8</v>
      </c>
    </row>
    <row r="174" spans="1:4" x14ac:dyDescent="0.2">
      <c r="A174" t="s">
        <v>337</v>
      </c>
      <c r="B174" t="s">
        <v>344</v>
      </c>
      <c r="C174" s="1">
        <v>1.01E-2</v>
      </c>
      <c r="D174">
        <v>1.3</v>
      </c>
    </row>
    <row r="175" spans="1:4" x14ac:dyDescent="0.2">
      <c r="A175" t="s">
        <v>34</v>
      </c>
      <c r="B175" t="s">
        <v>343</v>
      </c>
      <c r="C175" s="1">
        <v>1.01E-2</v>
      </c>
      <c r="D175">
        <v>47.1</v>
      </c>
    </row>
    <row r="176" spans="1:4" x14ac:dyDescent="0.2">
      <c r="A176" t="s">
        <v>334</v>
      </c>
      <c r="B176" t="s">
        <v>57</v>
      </c>
      <c r="C176" s="1">
        <v>9.7999999999999997E-3</v>
      </c>
      <c r="D176">
        <v>0</v>
      </c>
    </row>
    <row r="177" spans="1:4" x14ac:dyDescent="0.2">
      <c r="A177" t="s">
        <v>208</v>
      </c>
      <c r="B177" t="s">
        <v>343</v>
      </c>
      <c r="C177" s="1">
        <v>9.4999999999999998E-3</v>
      </c>
      <c r="D177">
        <v>1.3</v>
      </c>
    </row>
    <row r="178" spans="1:4" x14ac:dyDescent="0.2">
      <c r="A178" t="s">
        <v>101</v>
      </c>
      <c r="B178" t="s">
        <v>57</v>
      </c>
      <c r="C178" s="1">
        <v>9.2999999999999992E-3</v>
      </c>
      <c r="D178">
        <v>14.9</v>
      </c>
    </row>
    <row r="179" spans="1:4" x14ac:dyDescent="0.2">
      <c r="A179" t="s">
        <v>290</v>
      </c>
      <c r="B179" t="s">
        <v>57</v>
      </c>
      <c r="C179" s="1">
        <v>9.2999999999999992E-3</v>
      </c>
      <c r="D179">
        <v>4.5</v>
      </c>
    </row>
    <row r="180" spans="1:4" x14ac:dyDescent="0.2">
      <c r="A180" t="s">
        <v>319</v>
      </c>
      <c r="B180" t="s">
        <v>42</v>
      </c>
      <c r="C180" s="1">
        <v>9.2999999999999992E-3</v>
      </c>
      <c r="D180">
        <v>6</v>
      </c>
    </row>
    <row r="181" spans="1:4" x14ac:dyDescent="0.2">
      <c r="A181" t="s">
        <v>116</v>
      </c>
      <c r="B181" t="s">
        <v>42</v>
      </c>
      <c r="C181" s="1">
        <v>8.9999999999999993E-3</v>
      </c>
      <c r="D181">
        <v>10</v>
      </c>
    </row>
    <row r="182" spans="1:4" x14ac:dyDescent="0.2">
      <c r="A182" t="s">
        <v>362</v>
      </c>
      <c r="B182" t="s">
        <v>346</v>
      </c>
      <c r="C182" s="1">
        <v>8.3999999999999995E-3</v>
      </c>
      <c r="D182">
        <v>8.1</v>
      </c>
    </row>
    <row r="183" spans="1:4" x14ac:dyDescent="0.2">
      <c r="A183" t="s">
        <v>172</v>
      </c>
      <c r="B183" t="s">
        <v>344</v>
      </c>
      <c r="C183" s="1">
        <v>7.7999999999999996E-3</v>
      </c>
      <c r="D183">
        <v>0</v>
      </c>
    </row>
    <row r="184" spans="1:4" x14ac:dyDescent="0.2">
      <c r="A184" t="s">
        <v>235</v>
      </c>
      <c r="B184" t="s">
        <v>57</v>
      </c>
      <c r="C184" s="1">
        <v>7.7999999999999996E-3</v>
      </c>
      <c r="D184">
        <v>6.9</v>
      </c>
    </row>
    <row r="185" spans="1:4" x14ac:dyDescent="0.2">
      <c r="A185" t="s">
        <v>242</v>
      </c>
      <c r="B185" t="s">
        <v>344</v>
      </c>
      <c r="C185" s="1">
        <v>7.6E-3</v>
      </c>
      <c r="D185">
        <v>0</v>
      </c>
    </row>
    <row r="186" spans="1:4" x14ac:dyDescent="0.2">
      <c r="A186" t="s">
        <v>181</v>
      </c>
      <c r="B186" t="s">
        <v>343</v>
      </c>
      <c r="C186" s="1">
        <v>7.3000000000000001E-3</v>
      </c>
      <c r="D186">
        <v>1.5</v>
      </c>
    </row>
    <row r="187" spans="1:4" x14ac:dyDescent="0.2">
      <c r="A187" t="s">
        <v>126</v>
      </c>
      <c r="B187" t="s">
        <v>343</v>
      </c>
      <c r="C187" s="1">
        <v>7.3000000000000001E-3</v>
      </c>
      <c r="D187">
        <v>11.5</v>
      </c>
    </row>
    <row r="188" spans="1:4" x14ac:dyDescent="0.2">
      <c r="A188" t="s">
        <v>301</v>
      </c>
      <c r="B188" t="s">
        <v>343</v>
      </c>
      <c r="C188" s="1">
        <v>6.7000000000000002E-3</v>
      </c>
      <c r="D188">
        <v>3</v>
      </c>
    </row>
    <row r="189" spans="1:4" x14ac:dyDescent="0.2">
      <c r="A189" t="s">
        <v>302</v>
      </c>
      <c r="B189" t="s">
        <v>57</v>
      </c>
      <c r="C189" s="1">
        <v>6.7000000000000002E-3</v>
      </c>
      <c r="D189">
        <v>8.4</v>
      </c>
    </row>
    <row r="190" spans="1:4" x14ac:dyDescent="0.2">
      <c r="A190" t="s">
        <v>93</v>
      </c>
      <c r="B190" t="s">
        <v>42</v>
      </c>
      <c r="C190" s="1">
        <v>6.7000000000000002E-3</v>
      </c>
      <c r="D190">
        <v>13.5</v>
      </c>
    </row>
    <row r="191" spans="1:4" x14ac:dyDescent="0.2">
      <c r="A191" t="s">
        <v>328</v>
      </c>
      <c r="B191" t="s">
        <v>344</v>
      </c>
      <c r="C191" s="1">
        <v>6.4000000000000003E-3</v>
      </c>
      <c r="D191">
        <v>2.8</v>
      </c>
    </row>
    <row r="192" spans="1:4" x14ac:dyDescent="0.2">
      <c r="A192" t="s">
        <v>152</v>
      </c>
      <c r="B192" t="s">
        <v>343</v>
      </c>
      <c r="C192" s="1">
        <v>6.4000000000000003E-3</v>
      </c>
      <c r="D192">
        <v>11.5</v>
      </c>
    </row>
    <row r="193" spans="1:4" x14ac:dyDescent="0.2">
      <c r="A193" t="s">
        <v>205</v>
      </c>
      <c r="B193" t="s">
        <v>57</v>
      </c>
      <c r="C193" s="1">
        <v>6.4000000000000003E-3</v>
      </c>
      <c r="D193">
        <v>0</v>
      </c>
    </row>
    <row r="194" spans="1:4" x14ac:dyDescent="0.2">
      <c r="A194" t="s">
        <v>189</v>
      </c>
      <c r="B194" t="s">
        <v>57</v>
      </c>
      <c r="C194" s="1">
        <v>6.4000000000000003E-3</v>
      </c>
      <c r="D194">
        <v>1.5</v>
      </c>
    </row>
    <row r="195" spans="1:4" x14ac:dyDescent="0.2">
      <c r="A195" t="s">
        <v>275</v>
      </c>
      <c r="B195" t="s">
        <v>343</v>
      </c>
      <c r="C195" s="1">
        <v>6.4000000000000003E-3</v>
      </c>
      <c r="D195">
        <v>4.3</v>
      </c>
    </row>
    <row r="196" spans="1:4" x14ac:dyDescent="0.2">
      <c r="A196" t="s">
        <v>253</v>
      </c>
      <c r="B196" t="s">
        <v>343</v>
      </c>
      <c r="C196" s="1">
        <v>6.4000000000000003E-3</v>
      </c>
      <c r="D196">
        <v>3</v>
      </c>
    </row>
    <row r="197" spans="1:4" x14ac:dyDescent="0.2">
      <c r="A197" t="s">
        <v>269</v>
      </c>
      <c r="B197" t="s">
        <v>42</v>
      </c>
      <c r="C197" s="1">
        <v>6.4000000000000003E-3</v>
      </c>
      <c r="D197">
        <v>1.3</v>
      </c>
    </row>
    <row r="198" spans="1:4" x14ac:dyDescent="0.2">
      <c r="A198" t="s">
        <v>43</v>
      </c>
      <c r="B198" t="s">
        <v>344</v>
      </c>
      <c r="C198" s="1">
        <v>6.1999999999999998E-3</v>
      </c>
      <c r="D198">
        <v>35.5</v>
      </c>
    </row>
    <row r="199" spans="1:4" x14ac:dyDescent="0.2">
      <c r="A199" t="s">
        <v>363</v>
      </c>
      <c r="B199" t="s">
        <v>344</v>
      </c>
      <c r="C199" s="1">
        <v>5.8999999999999999E-3</v>
      </c>
      <c r="D199">
        <v>0</v>
      </c>
    </row>
    <row r="200" spans="1:4" x14ac:dyDescent="0.2">
      <c r="A200" t="s">
        <v>277</v>
      </c>
      <c r="B200" t="s">
        <v>343</v>
      </c>
      <c r="C200" s="1">
        <v>5.8999999999999999E-3</v>
      </c>
      <c r="D200">
        <v>0</v>
      </c>
    </row>
    <row r="201" spans="1:4" x14ac:dyDescent="0.2">
      <c r="A201" t="s">
        <v>228</v>
      </c>
      <c r="B201" t="s">
        <v>57</v>
      </c>
      <c r="C201" s="1">
        <v>5.8999999999999999E-3</v>
      </c>
      <c r="D201">
        <v>1.5</v>
      </c>
    </row>
    <row r="202" spans="1:4" x14ac:dyDescent="0.2">
      <c r="A202" t="s">
        <v>233</v>
      </c>
      <c r="B202" t="s">
        <v>42</v>
      </c>
      <c r="C202" s="1">
        <v>5.5999999999999999E-3</v>
      </c>
      <c r="D202">
        <v>1.3</v>
      </c>
    </row>
    <row r="203" spans="1:4" x14ac:dyDescent="0.2">
      <c r="A203" t="s">
        <v>163</v>
      </c>
      <c r="B203" t="s">
        <v>343</v>
      </c>
      <c r="C203" s="1">
        <v>5.5999999999999999E-3</v>
      </c>
      <c r="D203">
        <v>0</v>
      </c>
    </row>
    <row r="204" spans="1:4" x14ac:dyDescent="0.2">
      <c r="A204" t="s">
        <v>338</v>
      </c>
      <c r="B204" t="s">
        <v>343</v>
      </c>
      <c r="C204" s="1">
        <v>5.5999999999999999E-3</v>
      </c>
      <c r="D204">
        <v>0</v>
      </c>
    </row>
    <row r="205" spans="1:4" x14ac:dyDescent="0.2">
      <c r="A205" t="s">
        <v>67</v>
      </c>
      <c r="B205" t="s">
        <v>343</v>
      </c>
      <c r="C205" s="1">
        <v>5.5999999999999999E-3</v>
      </c>
      <c r="D205">
        <v>19.3</v>
      </c>
    </row>
    <row r="206" spans="1:4" x14ac:dyDescent="0.2">
      <c r="A206" t="s">
        <v>113</v>
      </c>
      <c r="B206" t="s">
        <v>343</v>
      </c>
      <c r="C206" s="1">
        <v>5.5999999999999999E-3</v>
      </c>
      <c r="D206">
        <v>12.3</v>
      </c>
    </row>
    <row r="207" spans="1:4" x14ac:dyDescent="0.2">
      <c r="A207" t="s">
        <v>262</v>
      </c>
      <c r="B207" t="s">
        <v>57</v>
      </c>
      <c r="C207" s="1">
        <v>5.5999999999999999E-3</v>
      </c>
      <c r="D207">
        <v>5.6</v>
      </c>
    </row>
    <row r="208" spans="1:4" x14ac:dyDescent="0.2">
      <c r="A208" t="s">
        <v>241</v>
      </c>
      <c r="B208" t="s">
        <v>57</v>
      </c>
      <c r="C208" s="1">
        <v>5.3E-3</v>
      </c>
      <c r="D208">
        <v>12.5</v>
      </c>
    </row>
    <row r="209" spans="1:4" x14ac:dyDescent="0.2">
      <c r="A209" t="s">
        <v>291</v>
      </c>
      <c r="B209" t="s">
        <v>343</v>
      </c>
      <c r="C209" s="1">
        <v>5.3E-3</v>
      </c>
      <c r="D209">
        <v>3</v>
      </c>
    </row>
    <row r="210" spans="1:4" x14ac:dyDescent="0.2">
      <c r="A210" t="s">
        <v>284</v>
      </c>
      <c r="B210" t="s">
        <v>57</v>
      </c>
      <c r="C210" s="1">
        <v>5.3E-3</v>
      </c>
      <c r="D210">
        <v>1.3</v>
      </c>
    </row>
    <row r="211" spans="1:4" x14ac:dyDescent="0.2">
      <c r="A211" t="s">
        <v>99</v>
      </c>
      <c r="B211" t="s">
        <v>57</v>
      </c>
      <c r="C211" s="1">
        <v>5.0000000000000001E-3</v>
      </c>
      <c r="D211">
        <v>12.1</v>
      </c>
    </row>
    <row r="212" spans="1:4" x14ac:dyDescent="0.2">
      <c r="A212" t="s">
        <v>364</v>
      </c>
      <c r="B212" t="s">
        <v>57</v>
      </c>
      <c r="C212" s="1">
        <v>4.7999999999999996E-3</v>
      </c>
      <c r="D212">
        <v>14.3</v>
      </c>
    </row>
    <row r="213" spans="1:4" x14ac:dyDescent="0.2">
      <c r="A213" t="s">
        <v>173</v>
      </c>
      <c r="B213" t="s">
        <v>57</v>
      </c>
      <c r="C213" s="1">
        <v>4.7999999999999996E-3</v>
      </c>
      <c r="D213">
        <v>2.6</v>
      </c>
    </row>
    <row r="214" spans="1:4" x14ac:dyDescent="0.2">
      <c r="A214" t="s">
        <v>223</v>
      </c>
      <c r="B214" t="s">
        <v>344</v>
      </c>
      <c r="C214" s="1">
        <v>4.4999999999999997E-3</v>
      </c>
      <c r="D214">
        <v>0</v>
      </c>
    </row>
    <row r="215" spans="1:4" x14ac:dyDescent="0.2">
      <c r="A215" t="s">
        <v>220</v>
      </c>
      <c r="B215" t="s">
        <v>57</v>
      </c>
      <c r="C215" s="1">
        <v>4.4999999999999997E-3</v>
      </c>
      <c r="D215">
        <v>6.9</v>
      </c>
    </row>
    <row r="216" spans="1:4" x14ac:dyDescent="0.2">
      <c r="A216" t="s">
        <v>88</v>
      </c>
      <c r="B216" t="s">
        <v>42</v>
      </c>
      <c r="C216" s="1">
        <v>4.1999999999999997E-3</v>
      </c>
      <c r="D216">
        <v>7.8</v>
      </c>
    </row>
    <row r="217" spans="1:4" x14ac:dyDescent="0.2">
      <c r="A217" t="s">
        <v>231</v>
      </c>
      <c r="B217" t="s">
        <v>57</v>
      </c>
      <c r="C217" s="1">
        <v>4.1999999999999997E-3</v>
      </c>
      <c r="D217">
        <v>0</v>
      </c>
    </row>
    <row r="218" spans="1:4" x14ac:dyDescent="0.2">
      <c r="A218" t="s">
        <v>122</v>
      </c>
      <c r="B218" t="s">
        <v>42</v>
      </c>
      <c r="C218" s="1">
        <v>4.1999999999999997E-3</v>
      </c>
      <c r="D218">
        <v>6.3</v>
      </c>
    </row>
    <row r="219" spans="1:4" x14ac:dyDescent="0.2">
      <c r="A219" t="s">
        <v>313</v>
      </c>
      <c r="B219" t="s">
        <v>57</v>
      </c>
      <c r="C219" s="1">
        <v>3.8999999999999998E-3</v>
      </c>
      <c r="D219">
        <v>3</v>
      </c>
    </row>
    <row r="220" spans="1:4" x14ac:dyDescent="0.2">
      <c r="A220" t="s">
        <v>335</v>
      </c>
      <c r="B220" t="s">
        <v>343</v>
      </c>
      <c r="C220" s="1">
        <v>3.5999999999999999E-3</v>
      </c>
      <c r="D220">
        <v>1.5</v>
      </c>
    </row>
    <row r="221" spans="1:4" x14ac:dyDescent="0.2">
      <c r="A221" t="s">
        <v>194</v>
      </c>
      <c r="B221" t="s">
        <v>343</v>
      </c>
      <c r="C221" s="1">
        <v>3.5999999999999999E-3</v>
      </c>
      <c r="D221">
        <v>3</v>
      </c>
    </row>
    <row r="222" spans="1:4" x14ac:dyDescent="0.2">
      <c r="A222" t="s">
        <v>327</v>
      </c>
      <c r="B222" t="s">
        <v>344</v>
      </c>
      <c r="C222" s="1">
        <v>3.5999999999999999E-3</v>
      </c>
      <c r="D222">
        <v>5.8</v>
      </c>
    </row>
    <row r="223" spans="1:4" x14ac:dyDescent="0.2">
      <c r="A223" t="s">
        <v>81</v>
      </c>
      <c r="B223" t="s">
        <v>57</v>
      </c>
      <c r="C223" s="1">
        <v>3.3999999999999998E-3</v>
      </c>
      <c r="D223">
        <v>6.3</v>
      </c>
    </row>
    <row r="224" spans="1:4" x14ac:dyDescent="0.2">
      <c r="A224" t="s">
        <v>264</v>
      </c>
      <c r="B224" t="s">
        <v>344</v>
      </c>
      <c r="C224" s="1">
        <v>3.0999999999999999E-3</v>
      </c>
      <c r="D224">
        <v>0</v>
      </c>
    </row>
    <row r="225" spans="1:4" x14ac:dyDescent="0.2">
      <c r="A225" t="s">
        <v>283</v>
      </c>
      <c r="B225" t="s">
        <v>57</v>
      </c>
      <c r="C225" s="1">
        <v>3.0999999999999999E-3</v>
      </c>
      <c r="D225">
        <v>2.8</v>
      </c>
    </row>
    <row r="226" spans="1:4" x14ac:dyDescent="0.2">
      <c r="A226" t="s">
        <v>91</v>
      </c>
      <c r="B226" t="s">
        <v>344</v>
      </c>
      <c r="C226" s="1">
        <v>3.0999999999999999E-3</v>
      </c>
      <c r="D226">
        <v>10</v>
      </c>
    </row>
    <row r="227" spans="1:4" x14ac:dyDescent="0.2">
      <c r="A227" t="s">
        <v>123</v>
      </c>
      <c r="B227" t="s">
        <v>42</v>
      </c>
      <c r="C227" s="1">
        <v>3.0999999999999999E-3</v>
      </c>
      <c r="D227">
        <v>12.8</v>
      </c>
    </row>
    <row r="228" spans="1:4" x14ac:dyDescent="0.2">
      <c r="A228" t="s">
        <v>174</v>
      </c>
      <c r="B228" t="s">
        <v>57</v>
      </c>
      <c r="C228" s="1">
        <v>2.8E-3</v>
      </c>
      <c r="D228">
        <v>1.5</v>
      </c>
    </row>
    <row r="229" spans="1:4" x14ac:dyDescent="0.2">
      <c r="A229" t="s">
        <v>293</v>
      </c>
      <c r="B229" t="s">
        <v>57</v>
      </c>
      <c r="C229" s="1">
        <v>2.8E-3</v>
      </c>
      <c r="D229">
        <v>4.5</v>
      </c>
    </row>
    <row r="230" spans="1:4" x14ac:dyDescent="0.2">
      <c r="A230" t="s">
        <v>323</v>
      </c>
      <c r="B230" t="s">
        <v>343</v>
      </c>
      <c r="C230" s="1">
        <v>2.8E-3</v>
      </c>
      <c r="D230">
        <v>4.3</v>
      </c>
    </row>
    <row r="231" spans="1:4" x14ac:dyDescent="0.2">
      <c r="A231" t="s">
        <v>191</v>
      </c>
      <c r="B231" t="s">
        <v>57</v>
      </c>
      <c r="C231" s="1">
        <v>2.8E-3</v>
      </c>
      <c r="D231">
        <v>6.9</v>
      </c>
    </row>
    <row r="232" spans="1:4" x14ac:dyDescent="0.2">
      <c r="A232" t="s">
        <v>286</v>
      </c>
      <c r="B232" t="s">
        <v>57</v>
      </c>
      <c r="C232" s="1">
        <v>2.8E-3</v>
      </c>
      <c r="D232">
        <v>9.9</v>
      </c>
    </row>
    <row r="233" spans="1:4" x14ac:dyDescent="0.2">
      <c r="A233" t="s">
        <v>304</v>
      </c>
      <c r="B233" t="s">
        <v>57</v>
      </c>
      <c r="C233" s="1">
        <v>2.5000000000000001E-3</v>
      </c>
      <c r="D233">
        <v>3</v>
      </c>
    </row>
    <row r="234" spans="1:4" x14ac:dyDescent="0.2">
      <c r="A234" t="s">
        <v>365</v>
      </c>
      <c r="B234" t="s">
        <v>346</v>
      </c>
      <c r="C234" s="1">
        <v>2.2000000000000001E-3</v>
      </c>
      <c r="D234">
        <v>0</v>
      </c>
    </row>
    <row r="235" spans="1:4" x14ac:dyDescent="0.2">
      <c r="A235" t="s">
        <v>66</v>
      </c>
      <c r="B235" t="s">
        <v>343</v>
      </c>
      <c r="C235" s="1">
        <v>2.2000000000000001E-3</v>
      </c>
      <c r="D235">
        <v>16.5</v>
      </c>
    </row>
    <row r="236" spans="1:4" x14ac:dyDescent="0.2">
      <c r="A236" t="s">
        <v>129</v>
      </c>
      <c r="B236" t="s">
        <v>57</v>
      </c>
      <c r="C236" s="1">
        <v>2.2000000000000001E-3</v>
      </c>
      <c r="D236">
        <v>7.8</v>
      </c>
    </row>
    <row r="237" spans="1:4" x14ac:dyDescent="0.2">
      <c r="A237" t="s">
        <v>198</v>
      </c>
      <c r="B237" t="s">
        <v>57</v>
      </c>
      <c r="C237" s="1">
        <v>2.2000000000000001E-3</v>
      </c>
      <c r="D237">
        <v>0</v>
      </c>
    </row>
    <row r="238" spans="1:4" x14ac:dyDescent="0.2">
      <c r="A238" t="s">
        <v>366</v>
      </c>
      <c r="B238" t="s">
        <v>346</v>
      </c>
      <c r="C238" s="1">
        <v>2.2000000000000001E-3</v>
      </c>
      <c r="D238">
        <v>0</v>
      </c>
    </row>
    <row r="239" spans="1:4" x14ac:dyDescent="0.2">
      <c r="A239" t="s">
        <v>367</v>
      </c>
      <c r="B239" t="s">
        <v>346</v>
      </c>
      <c r="C239" s="1">
        <v>2E-3</v>
      </c>
      <c r="D239">
        <v>0</v>
      </c>
    </row>
    <row r="240" spans="1:4" x14ac:dyDescent="0.2">
      <c r="A240" t="s">
        <v>368</v>
      </c>
      <c r="B240" t="s">
        <v>343</v>
      </c>
      <c r="C240" s="1">
        <v>2E-3</v>
      </c>
      <c r="D240">
        <v>0</v>
      </c>
    </row>
    <row r="241" spans="1:4" x14ac:dyDescent="0.2">
      <c r="A241" t="s">
        <v>307</v>
      </c>
      <c r="B241" t="s">
        <v>57</v>
      </c>
      <c r="C241" s="1">
        <v>2E-3</v>
      </c>
      <c r="D241">
        <v>1.3</v>
      </c>
    </row>
    <row r="242" spans="1:4" x14ac:dyDescent="0.2">
      <c r="A242" t="s">
        <v>320</v>
      </c>
      <c r="B242" t="s">
        <v>344</v>
      </c>
      <c r="C242" s="1">
        <v>2E-3</v>
      </c>
      <c r="D242">
        <v>1.5</v>
      </c>
    </row>
    <row r="243" spans="1:4" x14ac:dyDescent="0.2">
      <c r="A243" t="s">
        <v>259</v>
      </c>
      <c r="B243" t="s">
        <v>57</v>
      </c>
      <c r="C243" s="1">
        <v>2E-3</v>
      </c>
      <c r="D243">
        <v>4.0999999999999996</v>
      </c>
    </row>
    <row r="244" spans="1:4" x14ac:dyDescent="0.2">
      <c r="A244" t="s">
        <v>276</v>
      </c>
      <c r="B244" t="s">
        <v>57</v>
      </c>
      <c r="C244" s="1">
        <v>2E-3</v>
      </c>
      <c r="D244">
        <v>4.5</v>
      </c>
    </row>
    <row r="245" spans="1:4" x14ac:dyDescent="0.2">
      <c r="A245" t="s">
        <v>278</v>
      </c>
      <c r="B245" t="s">
        <v>343</v>
      </c>
      <c r="C245" s="1">
        <v>2E-3</v>
      </c>
      <c r="D245">
        <v>6</v>
      </c>
    </row>
    <row r="246" spans="1:4" x14ac:dyDescent="0.2">
      <c r="A246" t="s">
        <v>331</v>
      </c>
      <c r="B246" t="s">
        <v>343</v>
      </c>
      <c r="C246" s="1">
        <v>2E-3</v>
      </c>
      <c r="D246">
        <v>4.3</v>
      </c>
    </row>
    <row r="247" spans="1:4" x14ac:dyDescent="0.2">
      <c r="A247" t="s">
        <v>192</v>
      </c>
      <c r="B247" t="s">
        <v>343</v>
      </c>
      <c r="C247" s="1">
        <v>1.6999999999999999E-3</v>
      </c>
      <c r="D247">
        <v>2.6</v>
      </c>
    </row>
    <row r="248" spans="1:4" x14ac:dyDescent="0.2">
      <c r="A248" t="s">
        <v>229</v>
      </c>
      <c r="B248" t="s">
        <v>344</v>
      </c>
      <c r="C248" s="1">
        <v>1.6999999999999999E-3</v>
      </c>
      <c r="D248">
        <v>1.5</v>
      </c>
    </row>
    <row r="249" spans="1:4" x14ac:dyDescent="0.2">
      <c r="A249" t="s">
        <v>369</v>
      </c>
      <c r="B249" t="s">
        <v>346</v>
      </c>
      <c r="C249" s="1">
        <v>1.6999999999999999E-3</v>
      </c>
      <c r="D249">
        <v>0</v>
      </c>
    </row>
    <row r="250" spans="1:4" x14ac:dyDescent="0.2">
      <c r="A250" t="s">
        <v>311</v>
      </c>
      <c r="B250" t="s">
        <v>344</v>
      </c>
      <c r="C250" s="1">
        <v>1.6999999999999999E-3</v>
      </c>
      <c r="D250">
        <v>3</v>
      </c>
    </row>
    <row r="251" spans="1:4" x14ac:dyDescent="0.2">
      <c r="A251" t="s">
        <v>234</v>
      </c>
      <c r="B251" t="s">
        <v>344</v>
      </c>
      <c r="C251" s="1">
        <v>1.6999999999999999E-3</v>
      </c>
      <c r="D251">
        <v>3</v>
      </c>
    </row>
    <row r="252" spans="1:4" x14ac:dyDescent="0.2">
      <c r="A252" t="s">
        <v>178</v>
      </c>
      <c r="B252" t="s">
        <v>42</v>
      </c>
      <c r="C252" s="1">
        <v>1.4E-3</v>
      </c>
      <c r="D252">
        <v>1.5</v>
      </c>
    </row>
    <row r="253" spans="1:4" x14ac:dyDescent="0.2">
      <c r="A253" t="s">
        <v>121</v>
      </c>
      <c r="B253" t="s">
        <v>57</v>
      </c>
      <c r="C253" s="1">
        <v>1.4E-3</v>
      </c>
      <c r="D253">
        <v>6.5</v>
      </c>
    </row>
    <row r="254" spans="1:4" x14ac:dyDescent="0.2">
      <c r="A254" t="s">
        <v>250</v>
      </c>
      <c r="B254" t="s">
        <v>57</v>
      </c>
      <c r="C254" s="1">
        <v>1.1000000000000001E-3</v>
      </c>
      <c r="D254">
        <v>6.9</v>
      </c>
    </row>
    <row r="255" spans="1:4" x14ac:dyDescent="0.2">
      <c r="A255" t="s">
        <v>370</v>
      </c>
      <c r="B255" t="s">
        <v>346</v>
      </c>
      <c r="C255" s="1">
        <v>1.1000000000000001E-3</v>
      </c>
      <c r="D255">
        <v>0</v>
      </c>
    </row>
    <row r="256" spans="1:4" x14ac:dyDescent="0.2">
      <c r="A256" t="s">
        <v>104</v>
      </c>
      <c r="B256" t="s">
        <v>343</v>
      </c>
      <c r="C256" s="1">
        <v>1.1000000000000001E-3</v>
      </c>
      <c r="D256">
        <v>19</v>
      </c>
    </row>
    <row r="257" spans="1:4" x14ac:dyDescent="0.2">
      <c r="A257" t="s">
        <v>154</v>
      </c>
      <c r="B257" t="s">
        <v>343</v>
      </c>
      <c r="C257" s="1">
        <v>1.1000000000000001E-3</v>
      </c>
      <c r="D257">
        <v>7.8</v>
      </c>
    </row>
    <row r="258" spans="1:4" x14ac:dyDescent="0.2">
      <c r="A258" t="s">
        <v>314</v>
      </c>
      <c r="B258" t="s">
        <v>57</v>
      </c>
      <c r="C258" s="1">
        <v>8.0000000000000004E-4</v>
      </c>
      <c r="D258">
        <v>1.5</v>
      </c>
    </row>
    <row r="259" spans="1:4" x14ac:dyDescent="0.2">
      <c r="A259" t="s">
        <v>161</v>
      </c>
      <c r="B259" t="s">
        <v>343</v>
      </c>
      <c r="C259" s="1">
        <v>8.0000000000000004E-4</v>
      </c>
      <c r="D259">
        <v>1.3</v>
      </c>
    </row>
    <row r="260" spans="1:4" x14ac:dyDescent="0.2">
      <c r="A260" t="s">
        <v>221</v>
      </c>
      <c r="B260" t="s">
        <v>343</v>
      </c>
      <c r="C260" s="1">
        <v>8.0000000000000004E-4</v>
      </c>
      <c r="D260">
        <v>1.3</v>
      </c>
    </row>
    <row r="261" spans="1:4" x14ac:dyDescent="0.2">
      <c r="A261" t="s">
        <v>371</v>
      </c>
      <c r="B261" t="s">
        <v>346</v>
      </c>
      <c r="C261" s="1">
        <v>8.0000000000000004E-4</v>
      </c>
      <c r="D261">
        <v>0</v>
      </c>
    </row>
    <row r="262" spans="1:4" x14ac:dyDescent="0.2">
      <c r="A262" t="s">
        <v>372</v>
      </c>
      <c r="B262" t="s">
        <v>346</v>
      </c>
      <c r="C262" s="1">
        <v>8.0000000000000004E-4</v>
      </c>
      <c r="D262">
        <v>0</v>
      </c>
    </row>
    <row r="263" spans="1:4" x14ac:dyDescent="0.2">
      <c r="A263" t="s">
        <v>140</v>
      </c>
      <c r="B263" t="s">
        <v>343</v>
      </c>
      <c r="C263" s="1">
        <v>5.9999999999999995E-4</v>
      </c>
      <c r="D263">
        <v>6.5</v>
      </c>
    </row>
    <row r="264" spans="1:4" x14ac:dyDescent="0.2">
      <c r="A264" t="s">
        <v>373</v>
      </c>
      <c r="B264" t="s">
        <v>344</v>
      </c>
      <c r="C264" s="1">
        <v>5.9999999999999995E-4</v>
      </c>
      <c r="D264">
        <v>1.5</v>
      </c>
    </row>
    <row r="265" spans="1:4" x14ac:dyDescent="0.2">
      <c r="A265" t="s">
        <v>339</v>
      </c>
      <c r="B265" t="s">
        <v>42</v>
      </c>
      <c r="C265" s="1">
        <v>5.9999999999999995E-4</v>
      </c>
      <c r="D265">
        <v>2.8</v>
      </c>
    </row>
    <row r="266" spans="1:4" x14ac:dyDescent="0.2">
      <c r="A266" t="s">
        <v>258</v>
      </c>
      <c r="B266" t="s">
        <v>344</v>
      </c>
      <c r="C266" s="1">
        <v>5.9999999999999995E-4</v>
      </c>
      <c r="D266">
        <v>2.6</v>
      </c>
    </row>
    <row r="267" spans="1:4" x14ac:dyDescent="0.2">
      <c r="A267" t="s">
        <v>374</v>
      </c>
      <c r="B267" t="s">
        <v>346</v>
      </c>
      <c r="C267" s="1">
        <v>5.9999999999999995E-4</v>
      </c>
      <c r="D267">
        <v>0</v>
      </c>
    </row>
    <row r="268" spans="1:4" x14ac:dyDescent="0.2">
      <c r="A268" t="s">
        <v>197</v>
      </c>
      <c r="B268" t="s">
        <v>42</v>
      </c>
      <c r="C268" s="1">
        <v>5.9999999999999995E-4</v>
      </c>
      <c r="D268">
        <v>1.3</v>
      </c>
    </row>
    <row r="269" spans="1:4" x14ac:dyDescent="0.2">
      <c r="A269" t="s">
        <v>251</v>
      </c>
      <c r="B269" t="s">
        <v>343</v>
      </c>
      <c r="C269" s="1">
        <v>5.9999999999999995E-4</v>
      </c>
      <c r="D269">
        <v>0</v>
      </c>
    </row>
    <row r="270" spans="1:4" x14ac:dyDescent="0.2">
      <c r="A270" t="s">
        <v>236</v>
      </c>
      <c r="B270" t="s">
        <v>343</v>
      </c>
      <c r="C270" s="1">
        <v>5.9999999999999995E-4</v>
      </c>
      <c r="D270">
        <v>0</v>
      </c>
    </row>
    <row r="271" spans="1:4" x14ac:dyDescent="0.2">
      <c r="A271" t="s">
        <v>245</v>
      </c>
      <c r="B271" t="s">
        <v>344</v>
      </c>
      <c r="C271" s="1">
        <v>5.9999999999999995E-4</v>
      </c>
      <c r="D271">
        <v>1.3</v>
      </c>
    </row>
    <row r="272" spans="1:4" x14ac:dyDescent="0.2">
      <c r="A272" t="s">
        <v>142</v>
      </c>
      <c r="B272" t="s">
        <v>42</v>
      </c>
      <c r="C272" s="1">
        <v>5.9999999999999995E-4</v>
      </c>
      <c r="D272">
        <v>13</v>
      </c>
    </row>
    <row r="273" spans="1:4" x14ac:dyDescent="0.2">
      <c r="A273" t="s">
        <v>375</v>
      </c>
      <c r="B273" t="s">
        <v>344</v>
      </c>
      <c r="C273" s="1">
        <v>5.9999999999999995E-4</v>
      </c>
      <c r="D273">
        <v>0</v>
      </c>
    </row>
    <row r="274" spans="1:4" x14ac:dyDescent="0.2">
      <c r="A274" t="s">
        <v>219</v>
      </c>
      <c r="B274" t="s">
        <v>57</v>
      </c>
      <c r="C274" s="1">
        <v>5.9999999999999995E-4</v>
      </c>
      <c r="D274">
        <v>8.1999999999999993</v>
      </c>
    </row>
    <row r="275" spans="1:4" x14ac:dyDescent="0.2">
      <c r="A275" t="s">
        <v>376</v>
      </c>
      <c r="B275" t="s">
        <v>57</v>
      </c>
      <c r="C275" s="1">
        <v>2.9999999999999997E-4</v>
      </c>
      <c r="D275">
        <v>0</v>
      </c>
    </row>
    <row r="276" spans="1:4" x14ac:dyDescent="0.2">
      <c r="A276" t="s">
        <v>377</v>
      </c>
      <c r="B276" t="s">
        <v>57</v>
      </c>
      <c r="C276" s="1">
        <v>2.9999999999999997E-4</v>
      </c>
      <c r="D276">
        <v>0</v>
      </c>
    </row>
    <row r="277" spans="1:4" x14ac:dyDescent="0.2">
      <c r="A277" t="s">
        <v>84</v>
      </c>
      <c r="B277" t="s">
        <v>42</v>
      </c>
      <c r="C277" s="1">
        <v>2.9999999999999997E-4</v>
      </c>
      <c r="D277">
        <v>10</v>
      </c>
    </row>
    <row r="278" spans="1:4" x14ac:dyDescent="0.2">
      <c r="A278" t="s">
        <v>274</v>
      </c>
      <c r="B278" t="s">
        <v>57</v>
      </c>
      <c r="C278" s="1">
        <v>2.9999999999999997E-4</v>
      </c>
      <c r="D278">
        <v>2.6</v>
      </c>
    </row>
    <row r="279" spans="1:4" x14ac:dyDescent="0.2">
      <c r="A279" t="s">
        <v>273</v>
      </c>
      <c r="B279" t="s">
        <v>57</v>
      </c>
      <c r="C279" s="1">
        <v>2.9999999999999997E-4</v>
      </c>
      <c r="D279">
        <v>4.3</v>
      </c>
    </row>
    <row r="280" spans="1:4" x14ac:dyDescent="0.2">
      <c r="A280" t="s">
        <v>315</v>
      </c>
      <c r="B280" t="s">
        <v>42</v>
      </c>
      <c r="C280" s="1">
        <v>2.9999999999999997E-4</v>
      </c>
      <c r="D280">
        <v>1.5</v>
      </c>
    </row>
    <row r="281" spans="1:4" x14ac:dyDescent="0.2">
      <c r="A281" t="s">
        <v>160</v>
      </c>
      <c r="B281" t="s">
        <v>344</v>
      </c>
      <c r="C281" s="1">
        <v>2.9999999999999997E-4</v>
      </c>
      <c r="D281">
        <v>2.8</v>
      </c>
    </row>
    <row r="282" spans="1:4" x14ac:dyDescent="0.2">
      <c r="A282" t="s">
        <v>378</v>
      </c>
      <c r="B282" t="s">
        <v>346</v>
      </c>
      <c r="C282" s="1">
        <v>2.9999999999999997E-4</v>
      </c>
      <c r="D282">
        <v>0</v>
      </c>
    </row>
    <row r="283" spans="1:4" x14ac:dyDescent="0.2">
      <c r="A283" t="s">
        <v>379</v>
      </c>
      <c r="B283" t="s">
        <v>344</v>
      </c>
      <c r="C283" s="1">
        <v>2.9999999999999997E-4</v>
      </c>
      <c r="D283">
        <v>0</v>
      </c>
    </row>
    <row r="284" spans="1:4" x14ac:dyDescent="0.2">
      <c r="A284" t="s">
        <v>136</v>
      </c>
      <c r="B284" t="s">
        <v>57</v>
      </c>
      <c r="C284" s="1">
        <v>2.9999999999999997E-4</v>
      </c>
      <c r="D284">
        <v>6.5</v>
      </c>
    </row>
    <row r="285" spans="1:4" x14ac:dyDescent="0.2">
      <c r="A285" t="s">
        <v>380</v>
      </c>
      <c r="B285" t="s">
        <v>343</v>
      </c>
      <c r="C285" s="1">
        <v>2.9999999999999997E-4</v>
      </c>
      <c r="D285">
        <v>0</v>
      </c>
    </row>
    <row r="286" spans="1:4" x14ac:dyDescent="0.2">
      <c r="A286" t="s">
        <v>381</v>
      </c>
      <c r="B286" t="s">
        <v>57</v>
      </c>
      <c r="C286" s="1">
        <v>2.9999999999999997E-4</v>
      </c>
      <c r="D286">
        <v>0</v>
      </c>
    </row>
    <row r="287" spans="1:4" x14ac:dyDescent="0.2">
      <c r="A287" t="s">
        <v>382</v>
      </c>
      <c r="B287" t="s">
        <v>346</v>
      </c>
      <c r="C287" s="1">
        <v>2.9999999999999997E-4</v>
      </c>
      <c r="D287">
        <v>0</v>
      </c>
    </row>
    <row r="288" spans="1:4" x14ac:dyDescent="0.2">
      <c r="A288" t="s">
        <v>112</v>
      </c>
      <c r="B288" t="s">
        <v>42</v>
      </c>
      <c r="C288" s="1">
        <v>2.9999999999999997E-4</v>
      </c>
      <c r="D288">
        <v>11</v>
      </c>
    </row>
    <row r="289" spans="1:4" x14ac:dyDescent="0.2">
      <c r="A289" t="s">
        <v>164</v>
      </c>
      <c r="B289" t="s">
        <v>344</v>
      </c>
      <c r="C289" s="1">
        <v>2.9999999999999997E-4</v>
      </c>
      <c r="D289">
        <v>1.3</v>
      </c>
    </row>
    <row r="290" spans="1:4" x14ac:dyDescent="0.2">
      <c r="A290" t="s">
        <v>383</v>
      </c>
      <c r="B290" t="s">
        <v>346</v>
      </c>
      <c r="C290" s="1">
        <v>2.9999999999999997E-4</v>
      </c>
      <c r="D290">
        <v>0</v>
      </c>
    </row>
    <row r="291" spans="1:4" x14ac:dyDescent="0.2">
      <c r="A291" t="s">
        <v>248</v>
      </c>
      <c r="B291" t="s">
        <v>343</v>
      </c>
      <c r="C291" s="1">
        <v>2.9999999999999997E-4</v>
      </c>
      <c r="D291">
        <v>4.5</v>
      </c>
    </row>
    <row r="292" spans="1:4" x14ac:dyDescent="0.2">
      <c r="A292" t="s">
        <v>384</v>
      </c>
      <c r="B292" t="s">
        <v>346</v>
      </c>
      <c r="C292" s="1">
        <v>2.9999999999999997E-4</v>
      </c>
      <c r="D292">
        <v>0</v>
      </c>
    </row>
    <row r="293" spans="1:4" x14ac:dyDescent="0.2">
      <c r="A293" t="s">
        <v>279</v>
      </c>
      <c r="B293" t="s">
        <v>42</v>
      </c>
      <c r="C293" s="1">
        <v>2.9999999999999997E-4</v>
      </c>
      <c r="D293">
        <v>2.8</v>
      </c>
    </row>
    <row r="294" spans="1:4" x14ac:dyDescent="0.2">
      <c r="A294" t="s">
        <v>385</v>
      </c>
      <c r="B294" t="s">
        <v>346</v>
      </c>
      <c r="C294" s="1">
        <v>2.9999999999999997E-4</v>
      </c>
      <c r="D294">
        <v>0</v>
      </c>
    </row>
    <row r="295" spans="1:4" x14ac:dyDescent="0.2">
      <c r="A295" t="s">
        <v>386</v>
      </c>
      <c r="B295" t="s">
        <v>346</v>
      </c>
      <c r="C295" s="1">
        <v>2.9999999999999997E-4</v>
      </c>
      <c r="D295">
        <v>0</v>
      </c>
    </row>
    <row r="296" spans="1:4" x14ac:dyDescent="0.2">
      <c r="A296" t="s">
        <v>387</v>
      </c>
      <c r="B296" t="s">
        <v>346</v>
      </c>
      <c r="C296" s="1">
        <v>2.9999999999999997E-4</v>
      </c>
      <c r="D296">
        <v>0</v>
      </c>
    </row>
    <row r="297" spans="1:4" x14ac:dyDescent="0.2">
      <c r="A297" t="s">
        <v>203</v>
      </c>
      <c r="B297" t="s">
        <v>57</v>
      </c>
      <c r="C297" s="1">
        <v>2.9999999999999997E-4</v>
      </c>
      <c r="D297">
        <v>0</v>
      </c>
    </row>
    <row r="298" spans="1:4" x14ac:dyDescent="0.2">
      <c r="A298" t="s">
        <v>155</v>
      </c>
      <c r="B298" t="s">
        <v>42</v>
      </c>
      <c r="C298" s="1">
        <v>2.9999999999999997E-4</v>
      </c>
      <c r="D298">
        <v>5</v>
      </c>
    </row>
    <row r="299" spans="1:4" x14ac:dyDescent="0.2">
      <c r="A299" t="s">
        <v>310</v>
      </c>
      <c r="B299" t="s">
        <v>57</v>
      </c>
      <c r="C299" s="1">
        <v>2.9999999999999997E-4</v>
      </c>
      <c r="D299">
        <v>1.3</v>
      </c>
    </row>
    <row r="300" spans="1:4" x14ac:dyDescent="0.2">
      <c r="A300" t="s">
        <v>388</v>
      </c>
      <c r="B300" t="s">
        <v>57</v>
      </c>
      <c r="C300" s="1">
        <v>2.9999999999999997E-4</v>
      </c>
      <c r="D300">
        <v>8.1999999999999993</v>
      </c>
    </row>
    <row r="301" spans="1:4" x14ac:dyDescent="0.2">
      <c r="A301" t="s">
        <v>292</v>
      </c>
      <c r="B301" t="s">
        <v>343</v>
      </c>
      <c r="C301" s="1">
        <v>2.9999999999999997E-4</v>
      </c>
      <c r="D301">
        <v>4.5</v>
      </c>
    </row>
    <row r="302" spans="1:4" x14ac:dyDescent="0.2">
      <c r="A302" t="s">
        <v>336</v>
      </c>
      <c r="B302" t="s">
        <v>57</v>
      </c>
      <c r="C302" s="1">
        <v>2.9999999999999997E-4</v>
      </c>
      <c r="D302">
        <v>4.3</v>
      </c>
    </row>
    <row r="303" spans="1:4" x14ac:dyDescent="0.2">
      <c r="A303" t="s">
        <v>143</v>
      </c>
      <c r="B303" t="s">
        <v>343</v>
      </c>
      <c r="C303" s="1">
        <v>2.9999999999999997E-4</v>
      </c>
      <c r="D303">
        <v>9.8000000000000007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EC4B-D56E-104F-9D45-7D784B71A093}">
  <dimension ref="A1:T287"/>
  <sheetViews>
    <sheetView tabSelected="1" workbookViewId="0">
      <selection activeCell="W9" sqref="W9"/>
    </sheetView>
  </sheetViews>
  <sheetFormatPr baseColWidth="10" defaultRowHeight="16" x14ac:dyDescent="0.2"/>
  <cols>
    <col min="1" max="1" width="21.6640625" bestFit="1" customWidth="1"/>
    <col min="2" max="2" width="5.33203125" bestFit="1" customWidth="1"/>
    <col min="3" max="3" width="7.6640625" bestFit="1" customWidth="1"/>
    <col min="4" max="4" width="6.6640625" bestFit="1" customWidth="1"/>
    <col min="5" max="5" width="6.1640625" bestFit="1" customWidth="1"/>
    <col min="6" max="6" width="12.83203125" bestFit="1" customWidth="1"/>
    <col min="7" max="8" width="12.1640625" bestFit="1" customWidth="1"/>
    <col min="9" max="9" width="10.33203125" bestFit="1" customWidth="1"/>
    <col min="10" max="10" width="12.83203125" bestFit="1" customWidth="1"/>
    <col min="11" max="11" width="12.1640625" bestFit="1" customWidth="1"/>
    <col min="12" max="12" width="14" bestFit="1" customWidth="1"/>
    <col min="13" max="13" width="15.33203125" bestFit="1" customWidth="1"/>
    <col min="14" max="14" width="14.1640625" bestFit="1" customWidth="1"/>
    <col min="15" max="15" width="17.83203125" bestFit="1" customWidth="1"/>
    <col min="16" max="16" width="14" bestFit="1" customWidth="1"/>
    <col min="17" max="17" width="16" bestFit="1" customWidth="1"/>
  </cols>
  <sheetData>
    <row r="1" spans="1:20" x14ac:dyDescent="0.2">
      <c r="A1" t="s">
        <v>389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469</v>
      </c>
      <c r="S1" t="s">
        <v>470</v>
      </c>
      <c r="T1" t="s">
        <v>4</v>
      </c>
    </row>
    <row r="2" spans="1:20" x14ac:dyDescent="0.2">
      <c r="A2" t="s">
        <v>373</v>
      </c>
      <c r="B2" t="s">
        <v>74</v>
      </c>
      <c r="C2" t="s">
        <v>42</v>
      </c>
      <c r="D2" t="s">
        <v>408</v>
      </c>
      <c r="E2">
        <v>2900</v>
      </c>
      <c r="F2">
        <v>5.8025682818462396</v>
      </c>
      <c r="G2">
        <v>2.3210273127384902</v>
      </c>
      <c r="H2">
        <v>19.5064207046156</v>
      </c>
      <c r="I2">
        <v>5.15</v>
      </c>
      <c r="J2">
        <v>0.65256828184624804</v>
      </c>
      <c r="K2">
        <v>2.0008856144297398</v>
      </c>
      <c r="L2">
        <v>0.11111111111111099</v>
      </c>
      <c r="M2">
        <v>0.25</v>
      </c>
      <c r="N2">
        <v>1.05555555555555</v>
      </c>
      <c r="O2">
        <v>5.5555555555555497E-2</v>
      </c>
      <c r="P2" s="2" t="d">
        <v>2026-01-23</v>
      </c>
      <c r="Q2" t="s">
        <v>406</v>
      </c>
      <c r="R2">
        <f>IFERROR(VLOOKUP($A2,Actual!$A:$D,4,FALSE),IFERROR(VLOOKUP($A2,FC!$A:$AC,29,FALSE), "Not Found"))</f>
        <v>1.5</v>
      </c>
      <c r="S2">
        <f>IFERROR(VLOOKUP($A2,Actual!$A:$D,3,FALSE),"0")</f>
        <v>5.9999999999999995E-4</v>
      </c>
      <c r="T2">
        <f>VLOOKUP(A2,NHT!B:F,5,FALSE)</f>
        <v>13.416666666667</v>
      </c>
    </row>
    <row r="3" spans="1:20" x14ac:dyDescent="0.2">
      <c r="A3" t="s">
        <v>364</v>
      </c>
      <c r="B3" t="s">
        <v>56</v>
      </c>
      <c r="C3" t="s">
        <v>57</v>
      </c>
      <c r="D3" t="s">
        <v>57</v>
      </c>
      <c r="E3">
        <v>3300</v>
      </c>
      <c r="F3">
        <v>6.8597418718846903</v>
      </c>
      <c r="G3">
        <v>2.7438967487538699</v>
      </c>
      <c r="H3">
        <v>22.149354679711699</v>
      </c>
      <c r="I3">
        <v>7.14</v>
      </c>
      <c r="J3">
        <v>-0.28025812811530898</v>
      </c>
      <c r="K3">
        <v>2.0787096581468698</v>
      </c>
      <c r="L3">
        <v>5.8823529411764698E-2</v>
      </c>
      <c r="M3">
        <v>0.27450980392156799</v>
      </c>
      <c r="N3">
        <v>1.0588235294117601</v>
      </c>
      <c r="O3">
        <v>0</v>
      </c>
      <c r="P3" s="2" t="d">
        <v>2026-01-23</v>
      </c>
      <c r="Q3" t="s">
        <v>406</v>
      </c>
      <c r="R3">
        <f>IFERROR(VLOOKUP($A3,Actual!$A:$D,4,FALSE),IFERROR(VLOOKUP($A3,FC!$A:$AC,29,FALSE), "Not Found"))</f>
        <v>14.3</v>
      </c>
      <c r="S3">
        <f>IFERROR(VLOOKUP($A3,Actual!$A:$D,3,FALSE),"0")</f>
        <v>4.7999999999999996E-3</v>
      </c>
      <c r="T3">
        <f>VLOOKUP(A3,NHT!B:F,5,FALSE)</f>
        <v>18.983333333333</v>
      </c>
    </row>
    <row r="4" spans="1:20" x14ac:dyDescent="0.2">
      <c r="A4" t="s">
        <v>360</v>
      </c>
      <c r="B4" t="s">
        <v>148</v>
      </c>
      <c r="C4" t="s">
        <v>346</v>
      </c>
      <c r="D4" t="s">
        <v>346</v>
      </c>
      <c r="E4">
        <v>7000</v>
      </c>
      <c r="F4">
        <v>8.4987664102640004</v>
      </c>
      <c r="G4">
        <v>2.5496299230792001</v>
      </c>
      <c r="H4">
        <v>26.997532820528001</v>
      </c>
      <c r="I4">
        <v>6.69</v>
      </c>
      <c r="J4">
        <v>1.808766410264</v>
      </c>
      <c r="K4">
        <v>1.21410948718057</v>
      </c>
      <c r="P4" s="2" t="d">
        <v>2026-01-23</v>
      </c>
      <c r="Q4" t="s">
        <v>406</v>
      </c>
      <c r="R4">
        <f>IFERROR(VLOOKUP($A4,Actual!$A:$D,4,FALSE),IFERROR(VLOOKUP($A4,FC!$A:$AC,29,FALSE), "Not Found"))</f>
        <v>19.5</v>
      </c>
      <c r="S4">
        <f>IFERROR(VLOOKUP($A4,Actual!$A:$D,3,FALSE),"0")</f>
        <v>2.1000000000000001E-2</v>
      </c>
      <c r="T4">
        <f>VLOOKUP(A4,NHT!B:F,5,FALSE)</f>
        <v>65</v>
      </c>
    </row>
    <row r="5" spans="1:20" x14ac:dyDescent="0.2">
      <c r="A5" t="s">
        <v>348</v>
      </c>
      <c r="B5" t="s">
        <v>407</v>
      </c>
      <c r="C5" t="s">
        <v>346</v>
      </c>
      <c r="D5" t="s">
        <v>346</v>
      </c>
      <c r="E5">
        <v>8400</v>
      </c>
      <c r="F5">
        <v>14.9008690683699</v>
      </c>
      <c r="G5">
        <v>4.4702607205109803</v>
      </c>
      <c r="H5">
        <v>39.8017381367398</v>
      </c>
      <c r="I5">
        <v>13.4</v>
      </c>
      <c r="J5">
        <v>1.5008690683699399</v>
      </c>
      <c r="K5">
        <v>1.7739129843297501</v>
      </c>
      <c r="P5" s="2" t="d">
        <v>2026-01-23</v>
      </c>
      <c r="Q5" t="s">
        <v>406</v>
      </c>
      <c r="R5">
        <f>IFERROR(VLOOKUP($A5,Actual!$A:$D,4,FALSE),IFERROR(VLOOKUP($A5,FC!$A:$AC,29,FALSE), "Not Found"))</f>
        <v>14.4</v>
      </c>
      <c r="S5">
        <f>IFERROR(VLOOKUP($A5,Actual!$A:$D,3,FALSE),"0")</f>
        <v>8.77E-2</v>
      </c>
      <c r="T5">
        <f>VLOOKUP(A5,NHT!B:F,5,FALSE)</f>
        <v>65</v>
      </c>
    </row>
    <row r="6" spans="1:20" x14ac:dyDescent="0.2">
      <c r="A6" t="s">
        <v>356</v>
      </c>
      <c r="B6" t="s">
        <v>409</v>
      </c>
      <c r="C6" t="s">
        <v>346</v>
      </c>
      <c r="D6" t="s">
        <v>346</v>
      </c>
      <c r="E6">
        <v>8000</v>
      </c>
      <c r="F6">
        <v>14.0923684850969</v>
      </c>
      <c r="G6">
        <v>4.2277105455290904</v>
      </c>
      <c r="H6">
        <v>38.184736970193903</v>
      </c>
      <c r="I6">
        <v>10.26</v>
      </c>
      <c r="J6">
        <v>3.8323684850969699</v>
      </c>
      <c r="K6">
        <v>1.76154606063712</v>
      </c>
      <c r="P6" s="2" t="d">
        <v>2026-01-23</v>
      </c>
      <c r="Q6" t="s">
        <v>406</v>
      </c>
      <c r="R6">
        <f>IFERROR(VLOOKUP($A6,Actual!$A:$D,4,FALSE),IFERROR(VLOOKUP($A6,FC!$A:$AC,29,FALSE), "Not Found"))</f>
        <v>22.1</v>
      </c>
      <c r="S6">
        <f>IFERROR(VLOOKUP($A6,Actual!$A:$D,3,FALSE),"0")</f>
        <v>5.0200000000000002E-2</v>
      </c>
      <c r="T6">
        <f>VLOOKUP(A6,NHT!B:F,5,FALSE)</f>
        <v>60</v>
      </c>
    </row>
    <row r="7" spans="1:20" x14ac:dyDescent="0.2">
      <c r="A7" t="s">
        <v>354</v>
      </c>
      <c r="B7" t="s">
        <v>64</v>
      </c>
      <c r="C7" t="s">
        <v>346</v>
      </c>
      <c r="D7" t="s">
        <v>346</v>
      </c>
      <c r="E7">
        <v>7600</v>
      </c>
      <c r="F7">
        <v>12.135659049210499</v>
      </c>
      <c r="G7">
        <v>3.6406977147631499</v>
      </c>
      <c r="H7">
        <v>34.271318098420998</v>
      </c>
      <c r="I7">
        <v>10.220000000000001</v>
      </c>
      <c r="J7">
        <v>1.9156590492105099</v>
      </c>
      <c r="K7">
        <v>1.59679724331717</v>
      </c>
      <c r="P7" s="2" t="d">
        <v>2026-01-23</v>
      </c>
      <c r="Q7" t="s">
        <v>406</v>
      </c>
      <c r="R7">
        <f>IFERROR(VLOOKUP($A7,Actual!$A:$D,4,FALSE),IFERROR(VLOOKUP($A7,FC!$A:$AC,29,FALSE), "Not Found"))</f>
        <v>13</v>
      </c>
      <c r="S7">
        <f>IFERROR(VLOOKUP($A7,Actual!$A:$D,3,FALSE),"0")</f>
        <v>5.8900000000000001E-2</v>
      </c>
      <c r="T7">
        <f>VLOOKUP(A7,NHT!B:F,5,FALSE)</f>
        <v>60</v>
      </c>
    </row>
    <row r="8" spans="1:20" x14ac:dyDescent="0.2">
      <c r="A8" t="s">
        <v>362</v>
      </c>
      <c r="B8" t="s">
        <v>39</v>
      </c>
      <c r="C8" t="s">
        <v>346</v>
      </c>
      <c r="D8" t="s">
        <v>346</v>
      </c>
      <c r="E8">
        <v>7900</v>
      </c>
      <c r="F8">
        <v>6.7077290537404499</v>
      </c>
      <c r="G8">
        <v>2.0123187161221301</v>
      </c>
      <c r="H8">
        <v>23.415458107480902</v>
      </c>
      <c r="I8">
        <v>5.49</v>
      </c>
      <c r="J8">
        <v>1.2177290537404499</v>
      </c>
      <c r="K8">
        <v>0.84907962705575302</v>
      </c>
      <c r="P8" s="2" t="d">
        <v>2026-01-23</v>
      </c>
      <c r="Q8" t="s">
        <v>406</v>
      </c>
      <c r="R8">
        <f>IFERROR(VLOOKUP($A8,Actual!$A:$D,4,FALSE),IFERROR(VLOOKUP($A8,FC!$A:$AC,29,FALSE), "Not Found"))</f>
        <v>8.1</v>
      </c>
      <c r="S8">
        <f>IFERROR(VLOOKUP($A8,Actual!$A:$D,3,FALSE),"0")</f>
        <v>8.3999999999999995E-3</v>
      </c>
      <c r="T8">
        <f>VLOOKUP(A8,NHT!B:F,5,FALSE)</f>
        <v>60</v>
      </c>
    </row>
    <row r="9" spans="1:20" x14ac:dyDescent="0.2">
      <c r="A9" t="s">
        <v>355</v>
      </c>
      <c r="B9" t="s">
        <v>412</v>
      </c>
      <c r="C9" t="s">
        <v>346</v>
      </c>
      <c r="D9" t="s">
        <v>346</v>
      </c>
      <c r="E9">
        <v>8100</v>
      </c>
      <c r="F9">
        <v>10.5222802625682</v>
      </c>
      <c r="G9">
        <v>3.15668407877047</v>
      </c>
      <c r="H9">
        <v>31.0445605251365</v>
      </c>
      <c r="I9">
        <v>9.07</v>
      </c>
      <c r="J9">
        <v>1.45228026256825</v>
      </c>
      <c r="K9">
        <v>1.2990469459960801</v>
      </c>
      <c r="P9" s="2" t="d">
        <v>2026-01-23</v>
      </c>
      <c r="Q9" t="s">
        <v>406</v>
      </c>
      <c r="R9">
        <f>IFERROR(VLOOKUP($A9,Actual!$A:$D,4,FALSE),IFERROR(VLOOKUP($A9,FC!$A:$AC,29,FALSE), "Not Found"))</f>
        <v>6.7</v>
      </c>
      <c r="S9">
        <f>IFERROR(VLOOKUP($A9,Actual!$A:$D,3,FALSE),"0")</f>
        <v>5.0500000000000003E-2</v>
      </c>
      <c r="T9">
        <f>VLOOKUP(A9,NHT!B:F,5,FALSE)</f>
        <v>60</v>
      </c>
    </row>
    <row r="10" spans="1:20" x14ac:dyDescent="0.2">
      <c r="A10" t="s">
        <v>361</v>
      </c>
      <c r="B10" t="s">
        <v>35</v>
      </c>
      <c r="C10" t="s">
        <v>346</v>
      </c>
      <c r="D10" t="s">
        <v>346</v>
      </c>
      <c r="E10">
        <v>7100</v>
      </c>
      <c r="F10">
        <v>6.4049538463904998</v>
      </c>
      <c r="G10">
        <v>1.9214861539171499</v>
      </c>
      <c r="H10">
        <v>22.809907692781</v>
      </c>
      <c r="I10">
        <v>4.95</v>
      </c>
      <c r="J10">
        <v>1.4549538463905001</v>
      </c>
      <c r="K10">
        <v>0.90210617554795802</v>
      </c>
      <c r="P10" s="2" t="d">
        <v>2026-01-23</v>
      </c>
      <c r="Q10" t="s">
        <v>406</v>
      </c>
      <c r="R10">
        <f>IFERROR(VLOOKUP($A10,Actual!$A:$D,4,FALSE),IFERROR(VLOOKUP($A10,FC!$A:$AC,29,FALSE), "Not Found"))</f>
        <v>17.899999999999999</v>
      </c>
      <c r="S10">
        <f>IFERROR(VLOOKUP($A10,Actual!$A:$D,3,FALSE),"0")</f>
        <v>1.7899999999999999E-2</v>
      </c>
      <c r="T10">
        <f>VLOOKUP(A10,NHT!B:F,5,FALSE)</f>
        <v>59.9</v>
      </c>
    </row>
    <row r="11" spans="1:20" x14ac:dyDescent="0.2">
      <c r="A11" t="s">
        <v>347</v>
      </c>
      <c r="B11" t="s">
        <v>56</v>
      </c>
      <c r="C11" t="s">
        <v>346</v>
      </c>
      <c r="D11" t="s">
        <v>346</v>
      </c>
      <c r="E11">
        <v>7800</v>
      </c>
      <c r="F11">
        <v>14.0613496801009</v>
      </c>
      <c r="G11">
        <v>4.2184049040302796</v>
      </c>
      <c r="H11">
        <v>38.1226993602018</v>
      </c>
      <c r="I11">
        <v>12.91</v>
      </c>
      <c r="J11">
        <v>1.15134968010093</v>
      </c>
      <c r="K11">
        <v>1.8027371384744699</v>
      </c>
      <c r="P11" s="2" t="d">
        <v>2026-01-23</v>
      </c>
      <c r="Q11" t="s">
        <v>406</v>
      </c>
      <c r="R11">
        <f>IFERROR(VLOOKUP($A11,Actual!$A:$D,4,FALSE),IFERROR(VLOOKUP($A11,FC!$A:$AC,29,FALSE), "Not Found"))</f>
        <v>20</v>
      </c>
      <c r="S11">
        <f>IFERROR(VLOOKUP($A11,Actual!$A:$D,3,FALSE),"0")</f>
        <v>0.12479999999999999</v>
      </c>
      <c r="T11">
        <f>VLOOKUP(A11,NHT!B:F,5,FALSE)</f>
        <v>59.866666666667001</v>
      </c>
    </row>
    <row r="12" spans="1:20" x14ac:dyDescent="0.2">
      <c r="A12" t="s">
        <v>353</v>
      </c>
      <c r="B12" t="s">
        <v>52</v>
      </c>
      <c r="C12" t="s">
        <v>346</v>
      </c>
      <c r="D12" t="s">
        <v>346</v>
      </c>
      <c r="E12">
        <v>8200</v>
      </c>
      <c r="F12">
        <v>13.6238428814006</v>
      </c>
      <c r="G12">
        <v>4.0871528644201902</v>
      </c>
      <c r="H12">
        <v>37.247685762801197</v>
      </c>
      <c r="I12">
        <v>11.92</v>
      </c>
      <c r="J12">
        <v>1.7038428814006299</v>
      </c>
      <c r="K12">
        <v>1.6614442538293399</v>
      </c>
      <c r="P12" s="2" t="d">
        <v>2026-01-23</v>
      </c>
      <c r="Q12" t="s">
        <v>406</v>
      </c>
      <c r="R12">
        <f>IFERROR(VLOOKUP($A12,Actual!$A:$D,4,FALSE),IFERROR(VLOOKUP($A12,FC!$A:$AC,29,FALSE), "Not Found"))</f>
        <v>13</v>
      </c>
      <c r="S12">
        <f>IFERROR(VLOOKUP($A12,Actual!$A:$D,3,FALSE),"0")</f>
        <v>6.2199999999999998E-2</v>
      </c>
      <c r="T12">
        <f>VLOOKUP(A12,NHT!B:F,5,FALSE)</f>
        <v>59.8</v>
      </c>
    </row>
    <row r="13" spans="1:20" x14ac:dyDescent="0.2">
      <c r="A13" t="s">
        <v>359</v>
      </c>
      <c r="B13" t="s">
        <v>45</v>
      </c>
      <c r="C13" t="s">
        <v>346</v>
      </c>
      <c r="D13" t="s">
        <v>346</v>
      </c>
      <c r="E13">
        <v>7200</v>
      </c>
      <c r="F13">
        <v>7.5891931487842399</v>
      </c>
      <c r="G13">
        <v>2.2767579446352699</v>
      </c>
      <c r="H13">
        <v>25.178386297568402</v>
      </c>
      <c r="I13">
        <v>6.4</v>
      </c>
      <c r="J13">
        <v>1.18919314878423</v>
      </c>
      <c r="K13">
        <v>1.05405460399781</v>
      </c>
      <c r="P13" s="2" t="d">
        <v>2026-01-23</v>
      </c>
      <c r="Q13" t="s">
        <v>406</v>
      </c>
      <c r="R13">
        <f>IFERROR(VLOOKUP($A13,Actual!$A:$D,4,FALSE),IFERROR(VLOOKUP($A13,FC!$A:$AC,29,FALSE), "Not Found"))</f>
        <v>0.7</v>
      </c>
      <c r="S13">
        <f>IFERROR(VLOOKUP($A13,Actual!$A:$D,3,FALSE),"0")</f>
        <v>3.2000000000000001E-2</v>
      </c>
      <c r="T13">
        <f>VLOOKUP(A13,NHT!B:F,5,FALSE)</f>
        <v>59</v>
      </c>
    </row>
    <row r="14" spans="1:20" x14ac:dyDescent="0.2">
      <c r="A14" t="s">
        <v>345</v>
      </c>
      <c r="B14" t="s">
        <v>74</v>
      </c>
      <c r="C14" t="s">
        <v>346</v>
      </c>
      <c r="D14" t="s">
        <v>346</v>
      </c>
      <c r="E14">
        <v>7800</v>
      </c>
      <c r="F14">
        <v>17.5447824840336</v>
      </c>
      <c r="G14">
        <v>5.2634347452101</v>
      </c>
      <c r="H14">
        <v>45.0895649680673</v>
      </c>
      <c r="I14">
        <v>13.82</v>
      </c>
      <c r="J14">
        <v>3.7247824840336898</v>
      </c>
      <c r="K14">
        <v>2.2493310876966199</v>
      </c>
      <c r="P14" s="2" t="d">
        <v>2026-01-23</v>
      </c>
      <c r="Q14" t="s">
        <v>406</v>
      </c>
      <c r="R14">
        <f>IFERROR(VLOOKUP($A14,Actual!$A:$D,4,FALSE),IFERROR(VLOOKUP($A14,FC!$A:$AC,29,FALSE), "Not Found"))</f>
        <v>8.4</v>
      </c>
      <c r="S14">
        <f>IFERROR(VLOOKUP($A14,Actual!$A:$D,3,FALSE),"0")</f>
        <v>0.14330000000000001</v>
      </c>
      <c r="T14">
        <f>VLOOKUP(A14,NHT!B:F,5,FALSE)</f>
        <v>58.683333333333003</v>
      </c>
    </row>
    <row r="15" spans="1:20" x14ac:dyDescent="0.2">
      <c r="A15" t="s">
        <v>350</v>
      </c>
      <c r="B15" t="s">
        <v>117</v>
      </c>
      <c r="C15" t="s">
        <v>346</v>
      </c>
      <c r="D15" t="s">
        <v>346</v>
      </c>
      <c r="E15">
        <v>7600</v>
      </c>
      <c r="F15">
        <v>16.854585441413299</v>
      </c>
      <c r="G15">
        <v>5.0563756324239897</v>
      </c>
      <c r="H15">
        <v>43.709170882826598</v>
      </c>
      <c r="I15">
        <v>12.58</v>
      </c>
      <c r="J15">
        <v>4.2745854414133104</v>
      </c>
      <c r="K15">
        <v>2.2177086107122701</v>
      </c>
      <c r="P15" s="2" t="d">
        <v>2026-01-23</v>
      </c>
      <c r="Q15" t="s">
        <v>406</v>
      </c>
      <c r="R15">
        <f>IFERROR(VLOOKUP($A15,Actual!$A:$D,4,FALSE),IFERROR(VLOOKUP($A15,FC!$A:$AC,29,FALSE), "Not Found"))</f>
        <v>20.5</v>
      </c>
      <c r="S15">
        <f>IFERROR(VLOOKUP($A15,Actual!$A:$D,3,FALSE),"0")</f>
        <v>7.7100000000000002E-2</v>
      </c>
      <c r="T15">
        <f>VLOOKUP(A15,NHT!B:F,5,FALSE)</f>
        <v>58.333333333333002</v>
      </c>
    </row>
    <row r="16" spans="1:20" x14ac:dyDescent="0.2">
      <c r="A16" t="s">
        <v>349</v>
      </c>
      <c r="B16" t="s">
        <v>61</v>
      </c>
      <c r="C16" t="s">
        <v>346</v>
      </c>
      <c r="D16" t="s">
        <v>346</v>
      </c>
      <c r="E16">
        <v>7300</v>
      </c>
      <c r="F16">
        <v>10.521210255039099</v>
      </c>
      <c r="G16">
        <v>3.1563630765117301</v>
      </c>
      <c r="H16">
        <v>31.042420510078198</v>
      </c>
      <c r="I16">
        <v>8.68</v>
      </c>
      <c r="J16">
        <v>1.8412102550391101</v>
      </c>
      <c r="K16">
        <v>1.4412616787724799</v>
      </c>
      <c r="P16" s="2" t="d">
        <v>2026-01-23</v>
      </c>
      <c r="Q16" t="s">
        <v>406</v>
      </c>
      <c r="R16">
        <f>IFERROR(VLOOKUP($A16,Actual!$A:$D,4,FALSE),IFERROR(VLOOKUP($A16,FC!$A:$AC,29,FALSE), "Not Found"))</f>
        <v>0</v>
      </c>
      <c r="S16">
        <f>IFERROR(VLOOKUP($A16,Actual!$A:$D,3,FALSE),"0")</f>
        <v>7.8200000000000006E-2</v>
      </c>
      <c r="T16">
        <f>VLOOKUP(A16,NHT!B:F,5,FALSE)</f>
        <v>58.333333333333002</v>
      </c>
    </row>
    <row r="17" spans="1:20" x14ac:dyDescent="0.2">
      <c r="A17" t="s">
        <v>413</v>
      </c>
      <c r="B17" t="s">
        <v>48</v>
      </c>
      <c r="C17" t="s">
        <v>346</v>
      </c>
      <c r="D17" t="s">
        <v>346</v>
      </c>
      <c r="E17">
        <v>8300</v>
      </c>
      <c r="F17">
        <v>17.329196914635901</v>
      </c>
      <c r="G17">
        <v>5.1987590743907797</v>
      </c>
      <c r="H17">
        <v>44.658393829271901</v>
      </c>
      <c r="I17">
        <v>14.44</v>
      </c>
      <c r="J17">
        <v>2.8891969146359502</v>
      </c>
      <c r="K17">
        <v>2.0878550499561301</v>
      </c>
      <c r="P17" s="2" t="d">
        <v>2026-01-23</v>
      </c>
      <c r="Q17" t="s">
        <v>406</v>
      </c>
      <c r="R17">
        <f>IFERROR(VLOOKUP($A17,Actual!$A:$D,4,FALSE),IFERROR(VLOOKUP($A17,FC!$A:$AC,29,FALSE), "Not Found"))</f>
        <v>-11.9</v>
      </c>
      <c r="S17">
        <f>IFERROR(VLOOKUP($A17,Actual!$A:$D,3,FALSE),"0")</f>
        <v>7.5999999999999998E-2</v>
      </c>
      <c r="T17">
        <f>VLOOKUP(A17,NHT!B:F,5,FALSE)</f>
        <v>57.633333333332999</v>
      </c>
    </row>
    <row r="18" spans="1:20" x14ac:dyDescent="0.2">
      <c r="A18" t="s">
        <v>352</v>
      </c>
      <c r="B18" t="s">
        <v>59</v>
      </c>
      <c r="C18" t="s">
        <v>346</v>
      </c>
      <c r="D18" t="s">
        <v>346</v>
      </c>
      <c r="E18">
        <v>7300</v>
      </c>
      <c r="F18">
        <v>11.207059307809301</v>
      </c>
      <c r="G18">
        <v>3.3621177923427901</v>
      </c>
      <c r="H18">
        <v>32.414118615618598</v>
      </c>
      <c r="I18">
        <v>9.15</v>
      </c>
      <c r="J18">
        <v>2.05705930780932</v>
      </c>
      <c r="K18">
        <v>1.5352136038094899</v>
      </c>
      <c r="P18" s="2" t="d">
        <v>2026-01-23</v>
      </c>
      <c r="Q18" t="s">
        <v>406</v>
      </c>
      <c r="R18">
        <f>IFERROR(VLOOKUP($A18,Actual!$A:$D,4,FALSE),IFERROR(VLOOKUP($A18,FC!$A:$AC,29,FALSE), "Not Found"))</f>
        <v>-4.2</v>
      </c>
      <c r="S18">
        <f>IFERROR(VLOOKUP($A18,Actual!$A:$D,3,FALSE),"0")</f>
        <v>6.2799999999999995E-2</v>
      </c>
      <c r="T18">
        <f>VLOOKUP(A18,NHT!B:F,5,FALSE)</f>
        <v>56.266666666667</v>
      </c>
    </row>
    <row r="19" spans="1:20" x14ac:dyDescent="0.2">
      <c r="A19" t="s">
        <v>244</v>
      </c>
      <c r="B19" t="s">
        <v>85</v>
      </c>
      <c r="C19" t="s">
        <v>57</v>
      </c>
      <c r="D19" t="s">
        <v>57</v>
      </c>
      <c r="E19">
        <v>4000</v>
      </c>
      <c r="F19">
        <v>9.0285800833532903</v>
      </c>
      <c r="G19">
        <v>3.6114320333413099</v>
      </c>
      <c r="H19">
        <v>27.571450208383201</v>
      </c>
      <c r="I19">
        <v>7.19</v>
      </c>
      <c r="J19">
        <v>1.8385800833532899</v>
      </c>
      <c r="K19">
        <v>2.2571450208383199</v>
      </c>
      <c r="L19">
        <v>0.15686274509803899</v>
      </c>
      <c r="M19">
        <v>0.17647058823529399</v>
      </c>
      <c r="N19">
        <v>1.47058823529411</v>
      </c>
      <c r="O19">
        <v>3.9215686274509803E-2</v>
      </c>
      <c r="P19" s="2" t="d">
        <v>2026-01-23</v>
      </c>
      <c r="Q19" t="s">
        <v>406</v>
      </c>
      <c r="R19">
        <f>IFERROR(VLOOKUP($A19,Actual!$A:$D,4,FALSE),IFERROR(VLOOKUP($A19,FC!$A:$AC,29,FALSE), "Not Found"))</f>
        <v>4.5</v>
      </c>
      <c r="S19">
        <f>IFERROR(VLOOKUP($A19,Actual!$A:$D,3,FALSE),"0")</f>
        <v>9.1700000000000004E-2</v>
      </c>
      <c r="T19">
        <f>VLOOKUP(A19,NHT!B:F,5,FALSE)</f>
        <v>28.033333333333001</v>
      </c>
    </row>
    <row r="20" spans="1:20" x14ac:dyDescent="0.2">
      <c r="A20" t="s">
        <v>222</v>
      </c>
      <c r="B20" t="s">
        <v>74</v>
      </c>
      <c r="C20" t="s">
        <v>57</v>
      </c>
      <c r="D20" t="s">
        <v>57</v>
      </c>
      <c r="E20">
        <v>5400</v>
      </c>
      <c r="F20">
        <v>13.6317429297511</v>
      </c>
      <c r="G20">
        <v>5.4526971719004598</v>
      </c>
      <c r="H20">
        <v>39.079357324377803</v>
      </c>
      <c r="I20">
        <v>10.08</v>
      </c>
      <c r="J20">
        <v>3.5517429297511498</v>
      </c>
      <c r="K20">
        <v>2.5243968388428</v>
      </c>
      <c r="L20">
        <v>0.19354838709677399</v>
      </c>
      <c r="M20">
        <v>0.41935483870967699</v>
      </c>
      <c r="N20">
        <v>2.6129032258064502</v>
      </c>
      <c r="O20">
        <v>0.19354838709677399</v>
      </c>
      <c r="P20" s="2" t="d">
        <v>2026-01-23</v>
      </c>
      <c r="Q20" t="s">
        <v>406</v>
      </c>
      <c r="R20">
        <f>IFERROR(VLOOKUP($A20,Actual!$A:$D,4,FALSE),IFERROR(VLOOKUP($A20,FC!$A:$AC,29,FALSE), "Not Found"))</f>
        <v>5.6</v>
      </c>
      <c r="S20">
        <f>IFERROR(VLOOKUP($A20,Actual!$A:$D,3,FALSE),"0")</f>
        <v>5.5500000000000001E-2</v>
      </c>
      <c r="T20">
        <f>VLOOKUP(A20,NHT!B:F,5,FALSE)</f>
        <v>27.9</v>
      </c>
    </row>
    <row r="21" spans="1:20" x14ac:dyDescent="0.2">
      <c r="A21" t="s">
        <v>256</v>
      </c>
      <c r="B21" t="s">
        <v>59</v>
      </c>
      <c r="C21" t="s">
        <v>57</v>
      </c>
      <c r="D21" t="s">
        <v>57</v>
      </c>
      <c r="E21">
        <v>3600</v>
      </c>
      <c r="F21">
        <v>9.7507778913257894</v>
      </c>
      <c r="G21">
        <v>3.9003111565303099</v>
      </c>
      <c r="H21">
        <v>29.376944728314399</v>
      </c>
      <c r="I21">
        <v>7.54</v>
      </c>
      <c r="J21">
        <v>2.2107778913257898</v>
      </c>
      <c r="K21">
        <v>2.7085494142571598</v>
      </c>
      <c r="L21">
        <v>0.08</v>
      </c>
      <c r="M21">
        <v>0.5</v>
      </c>
      <c r="N21">
        <v>1.38</v>
      </c>
      <c r="O21">
        <v>0.18</v>
      </c>
      <c r="P21" s="2" t="d">
        <v>2026-01-23</v>
      </c>
      <c r="Q21" t="s">
        <v>406</v>
      </c>
      <c r="R21">
        <f>IFERROR(VLOOKUP($A21,Actual!$A:$D,4,FALSE),IFERROR(VLOOKUP($A21,FC!$A:$AC,29,FALSE), "Not Found"))</f>
        <v>4.0999999999999996</v>
      </c>
      <c r="S21">
        <f>IFERROR(VLOOKUP($A21,Actual!$A:$D,3,FALSE),"0")</f>
        <v>3.9E-2</v>
      </c>
      <c r="T21">
        <f>VLOOKUP(A21,NHT!B:F,5,FALSE)</f>
        <v>27.45</v>
      </c>
    </row>
    <row r="22" spans="1:20" x14ac:dyDescent="0.2">
      <c r="A22" t="s">
        <v>118</v>
      </c>
      <c r="B22" t="s">
        <v>52</v>
      </c>
      <c r="C22" t="s">
        <v>57</v>
      </c>
      <c r="D22" t="s">
        <v>57</v>
      </c>
      <c r="E22">
        <v>6400</v>
      </c>
      <c r="F22">
        <v>12.6872709906668</v>
      </c>
      <c r="G22">
        <v>5.0749083962667303</v>
      </c>
      <c r="H22">
        <v>36.718177476667002</v>
      </c>
      <c r="I22">
        <v>11.16</v>
      </c>
      <c r="J22">
        <v>1.52727099066682</v>
      </c>
      <c r="K22">
        <v>1.98238609229169</v>
      </c>
      <c r="L22">
        <v>0.14285714285714199</v>
      </c>
      <c r="M22">
        <v>0.65306122448979498</v>
      </c>
      <c r="N22">
        <v>2</v>
      </c>
      <c r="O22">
        <v>0.30612244897959101</v>
      </c>
      <c r="P22" s="2" t="d">
        <v>2026-01-23</v>
      </c>
      <c r="Q22" t="s">
        <v>406</v>
      </c>
      <c r="R22">
        <f>IFERROR(VLOOKUP($A22,Actual!$A:$D,4,FALSE),IFERROR(VLOOKUP($A22,FC!$A:$AC,29,FALSE), "Not Found"))</f>
        <v>9.3000000000000007</v>
      </c>
      <c r="S22">
        <f>IFERROR(VLOOKUP($A22,Actual!$A:$D,3,FALSE),"0")</f>
        <v>3.0800000000000001E-2</v>
      </c>
      <c r="T22">
        <f>VLOOKUP(A22,NHT!B:F,5,FALSE)</f>
        <v>27</v>
      </c>
    </row>
    <row r="23" spans="1:20" x14ac:dyDescent="0.2">
      <c r="A23" t="s">
        <v>225</v>
      </c>
      <c r="B23" t="s">
        <v>407</v>
      </c>
      <c r="C23" t="s">
        <v>57</v>
      </c>
      <c r="D23" t="s">
        <v>57</v>
      </c>
      <c r="E23">
        <v>6700</v>
      </c>
      <c r="F23">
        <v>16.470197832024802</v>
      </c>
      <c r="G23">
        <v>6.5880791328099297</v>
      </c>
      <c r="H23">
        <v>46.175494580062001</v>
      </c>
      <c r="I23">
        <v>12.05</v>
      </c>
      <c r="J23">
        <v>4.4201978320248196</v>
      </c>
      <c r="K23">
        <v>2.45823848239176</v>
      </c>
      <c r="L23">
        <v>0.28571428571428498</v>
      </c>
      <c r="M23">
        <v>0.71428571428571397</v>
      </c>
      <c r="N23">
        <v>2.4047619047619002</v>
      </c>
      <c r="O23">
        <v>0.35714285714285698</v>
      </c>
      <c r="P23" s="2" t="d">
        <v>2026-01-23</v>
      </c>
      <c r="Q23" t="s">
        <v>406</v>
      </c>
      <c r="R23">
        <f>IFERROR(VLOOKUP($A23,Actual!$A:$D,4,FALSE),IFERROR(VLOOKUP($A23,FC!$A:$AC,29,FALSE), "Not Found"))</f>
        <v>11.8</v>
      </c>
      <c r="S23">
        <f>IFERROR(VLOOKUP($A23,Actual!$A:$D,3,FALSE),"0")</f>
        <v>8.5800000000000001E-2</v>
      </c>
      <c r="T23">
        <f>VLOOKUP(A23,NHT!B:F,5,FALSE)</f>
        <v>26.85</v>
      </c>
    </row>
    <row r="24" spans="1:20" x14ac:dyDescent="0.2">
      <c r="A24" t="s">
        <v>120</v>
      </c>
      <c r="B24" t="s">
        <v>48</v>
      </c>
      <c r="C24" t="s">
        <v>57</v>
      </c>
      <c r="D24" t="s">
        <v>57</v>
      </c>
      <c r="E24">
        <v>8200</v>
      </c>
      <c r="F24">
        <v>18.973209112337798</v>
      </c>
      <c r="G24">
        <v>7.58928364493514</v>
      </c>
      <c r="H24">
        <v>52.433022780844603</v>
      </c>
      <c r="I24">
        <v>14.18</v>
      </c>
      <c r="J24">
        <v>4.79320911233786</v>
      </c>
      <c r="K24">
        <v>2.3138059893094902</v>
      </c>
      <c r="L24">
        <v>0.29166666666666602</v>
      </c>
      <c r="M24">
        <v>0.83333333333333304</v>
      </c>
      <c r="N24">
        <v>2.7083333333333299</v>
      </c>
      <c r="O24">
        <v>0.39583333333333298</v>
      </c>
      <c r="P24" s="2" t="d">
        <v>2026-01-23</v>
      </c>
      <c r="Q24" t="s">
        <v>406</v>
      </c>
      <c r="R24">
        <f>IFERROR(VLOOKUP($A24,Actual!$A:$D,4,FALSE),IFERROR(VLOOKUP($A24,FC!$A:$AC,29,FALSE), "Not Found"))</f>
        <v>12.8</v>
      </c>
      <c r="S24">
        <f>IFERROR(VLOOKUP($A24,Actual!$A:$D,3,FALSE),"0")</f>
        <v>0.1119</v>
      </c>
      <c r="T24">
        <f>VLOOKUP(A24,NHT!B:F,5,FALSE)</f>
        <v>26.35</v>
      </c>
    </row>
    <row r="25" spans="1:20" x14ac:dyDescent="0.2">
      <c r="A25" t="s">
        <v>47</v>
      </c>
      <c r="B25" t="s">
        <v>48</v>
      </c>
      <c r="C25" t="s">
        <v>42</v>
      </c>
      <c r="D25" t="s">
        <v>42</v>
      </c>
      <c r="E25">
        <v>10200</v>
      </c>
      <c r="F25">
        <v>29.0046903601813</v>
      </c>
      <c r="G25">
        <v>11.6018761440725</v>
      </c>
      <c r="H25">
        <v>77.5117259004532</v>
      </c>
      <c r="I25">
        <v>21.83</v>
      </c>
      <c r="J25">
        <v>7.1746903601813097</v>
      </c>
      <c r="K25">
        <v>2.8435970941354198</v>
      </c>
      <c r="L25">
        <v>0.79166666666666596</v>
      </c>
      <c r="M25">
        <v>0.97916666666666596</v>
      </c>
      <c r="N25">
        <v>4.6875</v>
      </c>
      <c r="O25">
        <v>0.45833333333333298</v>
      </c>
      <c r="P25" s="2" t="d">
        <v>2026-01-23</v>
      </c>
      <c r="Q25" t="s">
        <v>406</v>
      </c>
      <c r="R25">
        <f>IFERROR(VLOOKUP($A25,Actual!$A:$D,4,FALSE),IFERROR(VLOOKUP($A25,FC!$A:$AC,29,FALSE), "Not Found"))</f>
        <v>11.5</v>
      </c>
      <c r="S25">
        <f>IFERROR(VLOOKUP($A25,Actual!$A:$D,3,FALSE),"0")</f>
        <v>0.28460000000000002</v>
      </c>
      <c r="T25">
        <f>VLOOKUP(A25,NHT!B:F,5,FALSE)</f>
        <v>26.25</v>
      </c>
    </row>
    <row r="26" spans="1:20" x14ac:dyDescent="0.2">
      <c r="A26" t="s">
        <v>288</v>
      </c>
      <c r="B26" t="s">
        <v>52</v>
      </c>
      <c r="C26" t="s">
        <v>57</v>
      </c>
      <c r="D26" t="s">
        <v>57</v>
      </c>
      <c r="E26">
        <v>4900</v>
      </c>
      <c r="F26">
        <v>9.0969333234255494</v>
      </c>
      <c r="G26">
        <v>3.63877332937022</v>
      </c>
      <c r="H26">
        <v>27.742333308563801</v>
      </c>
      <c r="I26">
        <v>9.34</v>
      </c>
      <c r="J26">
        <v>-0.243066676574448</v>
      </c>
      <c r="K26">
        <v>1.85651700478072</v>
      </c>
      <c r="L26">
        <v>5.1282051282051197E-2</v>
      </c>
      <c r="M26">
        <v>0.41025641025641002</v>
      </c>
      <c r="N26">
        <v>1.5641025641025601</v>
      </c>
      <c r="O26">
        <v>0.10256410256410201</v>
      </c>
      <c r="P26" s="2" t="d">
        <v>2026-01-23</v>
      </c>
      <c r="Q26" t="s">
        <v>406</v>
      </c>
      <c r="R26">
        <f>IFERROR(VLOOKUP($A26,Actual!$A:$D,4,FALSE),IFERROR(VLOOKUP($A26,FC!$A:$AC,29,FALSE), "Not Found"))</f>
        <v>2.6</v>
      </c>
      <c r="S26">
        <f>IFERROR(VLOOKUP($A26,Actual!$A:$D,3,FALSE),"0")</f>
        <v>3.2199999999999999E-2</v>
      </c>
      <c r="T26">
        <f>VLOOKUP(A26,NHT!B:F,5,FALSE)</f>
        <v>26.033333333333001</v>
      </c>
    </row>
    <row r="27" spans="1:20" x14ac:dyDescent="0.2">
      <c r="A27" t="s">
        <v>271</v>
      </c>
      <c r="B27" t="s">
        <v>117</v>
      </c>
      <c r="C27" t="s">
        <v>57</v>
      </c>
      <c r="D27" t="s">
        <v>57</v>
      </c>
      <c r="E27">
        <v>2700</v>
      </c>
      <c r="F27">
        <v>6.6880250478048398</v>
      </c>
      <c r="G27">
        <v>2.6752100191219301</v>
      </c>
      <c r="H27">
        <v>21.720062619512099</v>
      </c>
      <c r="I27">
        <v>5.18</v>
      </c>
      <c r="J27">
        <v>1.50802504780484</v>
      </c>
      <c r="K27">
        <v>2.47704631400179</v>
      </c>
      <c r="L27">
        <v>6.1224489795918297E-2</v>
      </c>
      <c r="M27">
        <v>0.183673469387755</v>
      </c>
      <c r="N27">
        <v>0.83673469387755095</v>
      </c>
      <c r="O27">
        <v>0</v>
      </c>
      <c r="P27" s="2" t="d">
        <v>2026-01-23</v>
      </c>
      <c r="Q27" t="s">
        <v>406</v>
      </c>
      <c r="R27">
        <f>IFERROR(VLOOKUP($A27,Actual!$A:$D,4,FALSE),IFERROR(VLOOKUP($A27,FC!$A:$AC,29,FALSE), "Not Found"))</f>
        <v>3</v>
      </c>
      <c r="S27">
        <f>IFERROR(VLOOKUP($A27,Actual!$A:$D,3,FALSE),"0")</f>
        <v>1.6799999999999999E-2</v>
      </c>
      <c r="T27">
        <f>VLOOKUP(A27,NHT!B:F,5,FALSE)</f>
        <v>25.766666666667</v>
      </c>
    </row>
    <row r="28" spans="1:20" x14ac:dyDescent="0.2">
      <c r="A28" t="s">
        <v>55</v>
      </c>
      <c r="B28" t="s">
        <v>48</v>
      </c>
      <c r="C28" t="s">
        <v>42</v>
      </c>
      <c r="D28" t="s">
        <v>408</v>
      </c>
      <c r="E28">
        <v>7100</v>
      </c>
      <c r="F28">
        <v>17.378364545901299</v>
      </c>
      <c r="G28">
        <v>6.9513458183605197</v>
      </c>
      <c r="H28">
        <v>48.4459113647533</v>
      </c>
      <c r="I28">
        <v>12.49</v>
      </c>
      <c r="J28">
        <v>4.8883645459013199</v>
      </c>
      <c r="K28">
        <v>2.4476569782959601</v>
      </c>
      <c r="L28">
        <v>0.45833333333333298</v>
      </c>
      <c r="M28">
        <v>0.79166666666666596</v>
      </c>
      <c r="N28">
        <v>2.2916666666666599</v>
      </c>
      <c r="O28">
        <v>0.22916666666666599</v>
      </c>
      <c r="P28" s="2" t="d">
        <v>2026-01-23</v>
      </c>
      <c r="Q28" t="s">
        <v>406</v>
      </c>
      <c r="R28">
        <f>IFERROR(VLOOKUP($A28,Actual!$A:$D,4,FALSE),IFERROR(VLOOKUP($A28,FC!$A:$AC,29,FALSE), "Not Found"))</f>
        <v>26.5</v>
      </c>
      <c r="S28">
        <f>IFERROR(VLOOKUP($A28,Actual!$A:$D,3,FALSE),"0")</f>
        <v>0.15079999999999999</v>
      </c>
      <c r="T28">
        <f>VLOOKUP(A28,NHT!B:F,5,FALSE)</f>
        <v>25.266666666667</v>
      </c>
    </row>
    <row r="29" spans="1:20" x14ac:dyDescent="0.2">
      <c r="A29" t="s">
        <v>306</v>
      </c>
      <c r="B29" t="s">
        <v>407</v>
      </c>
      <c r="C29" t="s">
        <v>57</v>
      </c>
      <c r="D29" t="s">
        <v>57</v>
      </c>
      <c r="E29">
        <v>3100</v>
      </c>
      <c r="F29">
        <v>8.7919822294837093</v>
      </c>
      <c r="G29">
        <v>3.5167928917934801</v>
      </c>
      <c r="H29">
        <v>26.979955573709201</v>
      </c>
      <c r="I29">
        <v>6.32</v>
      </c>
      <c r="J29">
        <v>2.4719822294837002</v>
      </c>
      <c r="K29">
        <v>2.8361232998334498</v>
      </c>
      <c r="L29">
        <v>0.108695652173913</v>
      </c>
      <c r="M29">
        <v>0.23913043478260801</v>
      </c>
      <c r="N29">
        <v>1.39130434782608</v>
      </c>
      <c r="O29">
        <v>0</v>
      </c>
      <c r="P29" s="2" t="d">
        <v>2026-01-23</v>
      </c>
      <c r="Q29" t="s">
        <v>406</v>
      </c>
      <c r="R29">
        <f>IFERROR(VLOOKUP($A29,Actual!$A:$D,4,FALSE),IFERROR(VLOOKUP($A29,FC!$A:$AC,29,FALSE), "Not Found"))</f>
        <v>5.6</v>
      </c>
      <c r="S29">
        <f>IFERROR(VLOOKUP($A29,Actual!$A:$D,3,FALSE),"0")</f>
        <v>2.0500000000000001E-2</v>
      </c>
      <c r="T29">
        <f>VLOOKUP(A29,NHT!B:F,5,FALSE)</f>
        <v>24.85</v>
      </c>
    </row>
    <row r="30" spans="1:20" x14ac:dyDescent="0.2">
      <c r="A30" t="s">
        <v>70</v>
      </c>
      <c r="B30" t="s">
        <v>409</v>
      </c>
      <c r="C30" t="s">
        <v>42</v>
      </c>
      <c r="D30" t="s">
        <v>42</v>
      </c>
      <c r="E30">
        <v>9000</v>
      </c>
      <c r="F30">
        <v>21.353395847439899</v>
      </c>
      <c r="G30">
        <v>8.5413583389759697</v>
      </c>
      <c r="H30">
        <v>58.383489618599803</v>
      </c>
      <c r="I30">
        <v>16.920000000000002</v>
      </c>
      <c r="J30">
        <v>4.43339584743992</v>
      </c>
      <c r="K30">
        <v>2.3725995386044301</v>
      </c>
      <c r="L30">
        <v>0.48979591836734598</v>
      </c>
      <c r="M30">
        <v>0.97959183673469297</v>
      </c>
      <c r="N30">
        <v>3.4489795918367299</v>
      </c>
      <c r="O30">
        <v>0.42857142857142799</v>
      </c>
      <c r="P30" s="2" t="d">
        <v>2026-01-23</v>
      </c>
      <c r="Q30" t="s">
        <v>406</v>
      </c>
      <c r="R30">
        <f>IFERROR(VLOOKUP($A30,Actual!$A:$D,4,FALSE),IFERROR(VLOOKUP($A30,FC!$A:$AC,29,FALSE), "Not Found"))</f>
        <v>23</v>
      </c>
      <c r="S30">
        <f>IFERROR(VLOOKUP($A30,Actual!$A:$D,3,FALSE),"0")</f>
        <v>0.2361</v>
      </c>
      <c r="T30">
        <f>VLOOKUP(A30,NHT!B:F,5,FALSE)</f>
        <v>24.6</v>
      </c>
    </row>
    <row r="31" spans="1:20" x14ac:dyDescent="0.2">
      <c r="A31" t="s">
        <v>216</v>
      </c>
      <c r="B31" t="s">
        <v>409</v>
      </c>
      <c r="C31" t="s">
        <v>42</v>
      </c>
      <c r="D31" t="s">
        <v>42</v>
      </c>
      <c r="E31">
        <v>4000</v>
      </c>
      <c r="F31">
        <v>8.8158801183262394</v>
      </c>
      <c r="G31">
        <v>3.5263520473304899</v>
      </c>
      <c r="H31">
        <v>27.039700295815599</v>
      </c>
      <c r="I31">
        <v>8.1</v>
      </c>
      <c r="J31">
        <v>0.71588011832624499</v>
      </c>
      <c r="K31">
        <v>2.2039700295815599</v>
      </c>
      <c r="L31">
        <v>0.20408163265306101</v>
      </c>
      <c r="M31">
        <v>0.48979591836734598</v>
      </c>
      <c r="N31">
        <v>1.18367346938775</v>
      </c>
      <c r="O31">
        <v>0.183673469387755</v>
      </c>
      <c r="P31" s="2" t="d">
        <v>2026-01-23</v>
      </c>
      <c r="Q31" t="s">
        <v>406</v>
      </c>
      <c r="R31">
        <f>IFERROR(VLOOKUP($A31,Actual!$A:$D,4,FALSE),IFERROR(VLOOKUP($A31,FC!$A:$AC,29,FALSE), "Not Found"))</f>
        <v>8.1999999999999993</v>
      </c>
      <c r="S31">
        <f>IFERROR(VLOOKUP($A31,Actual!$A:$D,3,FALSE),"0")</f>
        <v>7.4300000000000005E-2</v>
      </c>
      <c r="T31">
        <f>VLOOKUP(A31,NHT!B:F,5,FALSE)</f>
        <v>24.466666666666999</v>
      </c>
    </row>
    <row r="32" spans="1:20" x14ac:dyDescent="0.2">
      <c r="A32" t="s">
        <v>169</v>
      </c>
      <c r="B32" t="s">
        <v>61</v>
      </c>
      <c r="C32" t="s">
        <v>57</v>
      </c>
      <c r="D32" t="s">
        <v>57</v>
      </c>
      <c r="E32">
        <v>3200</v>
      </c>
      <c r="F32">
        <v>10.4762119372642</v>
      </c>
      <c r="G32">
        <v>4.1904847749056797</v>
      </c>
      <c r="H32">
        <v>31.190529843160501</v>
      </c>
      <c r="I32">
        <v>7.37</v>
      </c>
      <c r="J32">
        <v>3.1062119372642201</v>
      </c>
      <c r="K32">
        <v>3.27381623039506</v>
      </c>
      <c r="L32">
        <v>0.16</v>
      </c>
      <c r="M32">
        <v>0.46</v>
      </c>
      <c r="N32">
        <v>1.44</v>
      </c>
      <c r="O32">
        <v>0.06</v>
      </c>
      <c r="P32" s="2" t="d">
        <v>2026-01-23</v>
      </c>
      <c r="Q32" t="s">
        <v>406</v>
      </c>
      <c r="R32">
        <f>IFERROR(VLOOKUP($A32,Actual!$A:$D,4,FALSE),IFERROR(VLOOKUP($A32,FC!$A:$AC,29,FALSE), "Not Found"))</f>
        <v>4.3</v>
      </c>
      <c r="S32">
        <f>IFERROR(VLOOKUP($A32,Actual!$A:$D,3,FALSE),"0")</f>
        <v>1.29E-2</v>
      </c>
      <c r="T32">
        <f>VLOOKUP(A32,NHT!B:F,5,FALSE)</f>
        <v>24.183333333333</v>
      </c>
    </row>
    <row r="33" spans="1:20" x14ac:dyDescent="0.2">
      <c r="A33" t="s">
        <v>227</v>
      </c>
      <c r="B33" t="s">
        <v>74</v>
      </c>
      <c r="C33" t="s">
        <v>57</v>
      </c>
      <c r="D33" t="s">
        <v>57</v>
      </c>
      <c r="E33">
        <v>5100</v>
      </c>
      <c r="F33">
        <v>12.607521117540101</v>
      </c>
      <c r="G33">
        <v>5.0430084470160601</v>
      </c>
      <c r="H33">
        <v>36.518802793850298</v>
      </c>
      <c r="I33">
        <v>9.0500000000000007</v>
      </c>
      <c r="J33">
        <v>3.55752111754015</v>
      </c>
      <c r="K33">
        <v>2.4720629642235599</v>
      </c>
      <c r="L33">
        <v>0.14583333333333301</v>
      </c>
      <c r="M33">
        <v>0.5</v>
      </c>
      <c r="N33">
        <v>2.2083333333333299</v>
      </c>
      <c r="O33">
        <v>0.35416666666666602</v>
      </c>
      <c r="P33" s="2" t="d">
        <v>2026-01-23</v>
      </c>
      <c r="Q33" t="s">
        <v>406</v>
      </c>
      <c r="R33">
        <f>IFERROR(VLOOKUP($A33,Actual!$A:$D,4,FALSE),IFERROR(VLOOKUP($A33,FC!$A:$AC,29,FALSE), "Not Found"))</f>
        <v>4.5</v>
      </c>
      <c r="S33">
        <f>IFERROR(VLOOKUP($A33,Actual!$A:$D,3,FALSE),"0")</f>
        <v>9.8699999999999996E-2</v>
      </c>
      <c r="T33">
        <f>VLOOKUP(A33,NHT!B:F,5,FALSE)</f>
        <v>24.15</v>
      </c>
    </row>
    <row r="34" spans="1:20" x14ac:dyDescent="0.2">
      <c r="A34" t="s">
        <v>214</v>
      </c>
      <c r="B34" t="s">
        <v>412</v>
      </c>
      <c r="C34" t="s">
        <v>57</v>
      </c>
      <c r="D34" t="s">
        <v>57</v>
      </c>
      <c r="E34">
        <v>3100</v>
      </c>
      <c r="F34">
        <v>7.7910844923135896</v>
      </c>
      <c r="G34">
        <v>3.1164337969254401</v>
      </c>
      <c r="H34">
        <v>24.477711230783999</v>
      </c>
      <c r="I34">
        <v>7.86</v>
      </c>
      <c r="J34">
        <v>-6.8915507686400895E-2</v>
      </c>
      <c r="K34">
        <v>2.51325306203664</v>
      </c>
      <c r="L34">
        <v>3.8461538461538401E-2</v>
      </c>
      <c r="M34">
        <v>0.19230769230769201</v>
      </c>
      <c r="N34">
        <v>1.42307692307692</v>
      </c>
      <c r="O34">
        <v>0</v>
      </c>
      <c r="P34" s="2" t="d">
        <v>2026-01-23</v>
      </c>
      <c r="Q34" t="s">
        <v>406</v>
      </c>
      <c r="R34">
        <f>IFERROR(VLOOKUP($A34,Actual!$A:$D,4,FALSE),IFERROR(VLOOKUP($A34,FC!$A:$AC,29,FALSE), "Not Found"))</f>
        <v>1.3</v>
      </c>
      <c r="S34">
        <f>IFERROR(VLOOKUP($A34,Actual!$A:$D,3,FALSE),"0")</f>
        <v>2.7799999999999998E-2</v>
      </c>
      <c r="T34">
        <f>VLOOKUP(A34,NHT!B:F,5,FALSE)</f>
        <v>23.933333333333</v>
      </c>
    </row>
    <row r="35" spans="1:20" x14ac:dyDescent="0.2">
      <c r="A35" t="s">
        <v>290</v>
      </c>
      <c r="B35" t="s">
        <v>45</v>
      </c>
      <c r="C35" t="s">
        <v>57</v>
      </c>
      <c r="D35" t="s">
        <v>57</v>
      </c>
      <c r="E35">
        <v>3200</v>
      </c>
      <c r="F35">
        <v>7.3704934857768096</v>
      </c>
      <c r="G35">
        <v>2.94819739431072</v>
      </c>
      <c r="H35">
        <v>23.426233714441999</v>
      </c>
      <c r="I35">
        <v>6.1</v>
      </c>
      <c r="J35">
        <v>1.27049348577681</v>
      </c>
      <c r="K35">
        <v>2.3032792143052498</v>
      </c>
      <c r="L35">
        <v>4.08163265306122E-2</v>
      </c>
      <c r="M35">
        <v>0.265306122448979</v>
      </c>
      <c r="N35">
        <v>1.24489795918367</v>
      </c>
      <c r="O35">
        <v>0</v>
      </c>
      <c r="P35" s="2" t="d">
        <v>2026-01-23</v>
      </c>
      <c r="Q35" t="s">
        <v>406</v>
      </c>
      <c r="R35">
        <f>IFERROR(VLOOKUP($A35,Actual!$A:$D,4,FALSE),IFERROR(VLOOKUP($A35,FC!$A:$AC,29,FALSE), "Not Found"))</f>
        <v>4.5</v>
      </c>
      <c r="S35">
        <f>IFERROR(VLOOKUP($A35,Actual!$A:$D,3,FALSE),"0")</f>
        <v>9.2999999999999992E-3</v>
      </c>
      <c r="T35">
        <f>VLOOKUP(A35,NHT!B:F,5,FALSE)</f>
        <v>23.833333333333002</v>
      </c>
    </row>
    <row r="36" spans="1:20" x14ac:dyDescent="0.2">
      <c r="A36" t="s">
        <v>86</v>
      </c>
      <c r="B36" t="s">
        <v>407</v>
      </c>
      <c r="C36" t="s">
        <v>36</v>
      </c>
      <c r="D36" t="s">
        <v>408</v>
      </c>
      <c r="E36">
        <v>9200</v>
      </c>
      <c r="F36">
        <v>21.631312416684501</v>
      </c>
      <c r="G36">
        <v>8.6525249666738002</v>
      </c>
      <c r="H36">
        <v>59.0782810417113</v>
      </c>
      <c r="I36">
        <v>16.13</v>
      </c>
      <c r="J36">
        <v>5.5013124166845202</v>
      </c>
      <c r="K36">
        <v>2.3512296105091801</v>
      </c>
      <c r="L36">
        <v>0.54545454545454497</v>
      </c>
      <c r="M36">
        <v>1.11363636363636</v>
      </c>
      <c r="N36">
        <v>2.88636363636363</v>
      </c>
      <c r="O36">
        <v>0.5</v>
      </c>
      <c r="P36" s="2" t="d">
        <v>2026-01-23</v>
      </c>
      <c r="Q36" t="s">
        <v>406</v>
      </c>
      <c r="R36">
        <f>IFERROR(VLOOKUP($A36,Actual!$A:$D,4,FALSE),IFERROR(VLOOKUP($A36,FC!$A:$AC,29,FALSE), "Not Found"))</f>
        <v>11.5</v>
      </c>
      <c r="S36">
        <f>IFERROR(VLOOKUP($A36,Actual!$A:$D,3,FALSE),"0")</f>
        <v>0.14269999999999999</v>
      </c>
      <c r="T36">
        <f>VLOOKUP(A36,NHT!B:F,5,FALSE)</f>
        <v>23.8</v>
      </c>
    </row>
    <row r="37" spans="1:20" x14ac:dyDescent="0.2">
      <c r="A37" t="s">
        <v>111</v>
      </c>
      <c r="B37" t="s">
        <v>407</v>
      </c>
      <c r="C37" t="s">
        <v>46</v>
      </c>
      <c r="D37" t="s">
        <v>410</v>
      </c>
      <c r="E37">
        <v>7700</v>
      </c>
      <c r="F37">
        <v>17.6569363477312</v>
      </c>
      <c r="G37">
        <v>7.0627745390924899</v>
      </c>
      <c r="H37">
        <v>49.142340869328102</v>
      </c>
      <c r="I37">
        <v>13.67</v>
      </c>
      <c r="J37">
        <v>3.9869363477312398</v>
      </c>
      <c r="K37">
        <v>2.2931086165884702</v>
      </c>
      <c r="L37">
        <v>0.581395348837209</v>
      </c>
      <c r="M37">
        <v>0.48837209302325502</v>
      </c>
      <c r="N37">
        <v>2.9767441860465098</v>
      </c>
      <c r="O37">
        <v>0.16279069767441801</v>
      </c>
      <c r="P37" s="2" t="d">
        <v>2026-01-23</v>
      </c>
      <c r="Q37" t="s">
        <v>406</v>
      </c>
      <c r="R37">
        <f>IFERROR(VLOOKUP($A37,Actual!$A:$D,4,FALSE),IFERROR(VLOOKUP($A37,FC!$A:$AC,29,FALSE), "Not Found"))</f>
        <v>8</v>
      </c>
      <c r="S37">
        <f>IFERROR(VLOOKUP($A37,Actual!$A:$D,3,FALSE),"0")</f>
        <v>0.1222</v>
      </c>
      <c r="T37">
        <f>VLOOKUP(A37,NHT!B:F,5,FALSE)</f>
        <v>23.75</v>
      </c>
    </row>
    <row r="38" spans="1:20" x14ac:dyDescent="0.2">
      <c r="A38" t="s">
        <v>286</v>
      </c>
      <c r="B38" t="s">
        <v>148</v>
      </c>
      <c r="C38" t="s">
        <v>57</v>
      </c>
      <c r="D38" t="s">
        <v>57</v>
      </c>
      <c r="E38">
        <v>2900</v>
      </c>
      <c r="F38">
        <v>6.2327281237132297</v>
      </c>
      <c r="G38">
        <v>2.4930912494852899</v>
      </c>
      <c r="H38">
        <v>20.581820309283</v>
      </c>
      <c r="I38">
        <v>5.36</v>
      </c>
      <c r="J38">
        <v>0.87272812371323605</v>
      </c>
      <c r="K38">
        <v>2.1492165943838701</v>
      </c>
      <c r="L38">
        <v>4.08163265306122E-2</v>
      </c>
      <c r="M38">
        <v>0.20408163265306101</v>
      </c>
      <c r="N38">
        <v>1</v>
      </c>
      <c r="O38">
        <v>0</v>
      </c>
      <c r="P38" s="2" t="d">
        <v>2026-01-23</v>
      </c>
      <c r="Q38" t="s">
        <v>406</v>
      </c>
      <c r="R38">
        <f>IFERROR(VLOOKUP($A38,Actual!$A:$D,4,FALSE),IFERROR(VLOOKUP($A38,FC!$A:$AC,29,FALSE), "Not Found"))</f>
        <v>9.9</v>
      </c>
      <c r="S38">
        <f>IFERROR(VLOOKUP($A38,Actual!$A:$D,3,FALSE),"0")</f>
        <v>2.8E-3</v>
      </c>
      <c r="T38">
        <f>VLOOKUP(A38,NHT!B:F,5,FALSE)</f>
        <v>23.7</v>
      </c>
    </row>
    <row r="39" spans="1:20" x14ac:dyDescent="0.2">
      <c r="A39" t="s">
        <v>249</v>
      </c>
      <c r="B39" t="s">
        <v>61</v>
      </c>
      <c r="C39" t="s">
        <v>42</v>
      </c>
      <c r="D39" t="s">
        <v>42</v>
      </c>
      <c r="E39">
        <v>9700</v>
      </c>
      <c r="F39">
        <v>18.1927475220721</v>
      </c>
      <c r="G39">
        <v>7.2770990088288601</v>
      </c>
      <c r="H39">
        <v>50.481868805180298</v>
      </c>
      <c r="I39">
        <v>16.260000000000002</v>
      </c>
      <c r="J39">
        <v>1.9327475220721499</v>
      </c>
      <c r="K39">
        <v>1.87554098165692</v>
      </c>
      <c r="L39">
        <v>0.56818181818181801</v>
      </c>
      <c r="M39">
        <v>0.38636363636363602</v>
      </c>
      <c r="N39">
        <v>3.7954545454545401</v>
      </c>
      <c r="O39">
        <v>0.204545454545454</v>
      </c>
      <c r="P39" s="2" t="d">
        <v>2026-01-23</v>
      </c>
      <c r="Q39" t="s">
        <v>406</v>
      </c>
      <c r="R39">
        <f>IFERROR(VLOOKUP($A39,Actual!$A:$D,4,FALSE),IFERROR(VLOOKUP($A39,FC!$A:$AC,29,FALSE), "Not Found"))</f>
        <v>4.5</v>
      </c>
      <c r="S39">
        <f>IFERROR(VLOOKUP($A39,Actual!$A:$D,3,FALSE),"0")</f>
        <v>5.4100000000000002E-2</v>
      </c>
      <c r="T39">
        <f>VLOOKUP(A39,NHT!B:F,5,FALSE)</f>
        <v>23.5</v>
      </c>
    </row>
    <row r="40" spans="1:20" x14ac:dyDescent="0.2">
      <c r="A40" t="s">
        <v>188</v>
      </c>
      <c r="B40" t="s">
        <v>85</v>
      </c>
      <c r="C40" t="s">
        <v>42</v>
      </c>
      <c r="D40" t="s">
        <v>42</v>
      </c>
      <c r="E40">
        <v>7300</v>
      </c>
      <c r="F40">
        <v>15.481072679141599</v>
      </c>
      <c r="G40">
        <v>6.1924290716566501</v>
      </c>
      <c r="H40">
        <v>43.702681697854104</v>
      </c>
      <c r="I40">
        <v>12.15</v>
      </c>
      <c r="J40">
        <v>3.3310726791416299</v>
      </c>
      <c r="K40">
        <v>2.1206948875536402</v>
      </c>
      <c r="L40">
        <v>0.42</v>
      </c>
      <c r="M40">
        <v>0.54</v>
      </c>
      <c r="N40">
        <v>2.68</v>
      </c>
      <c r="O40">
        <v>0.38</v>
      </c>
      <c r="P40" s="2" t="d">
        <v>2026-01-23</v>
      </c>
      <c r="Q40" t="s">
        <v>406</v>
      </c>
      <c r="R40">
        <f>IFERROR(VLOOKUP($A40,Actual!$A:$D,4,FALSE),IFERROR(VLOOKUP($A40,FC!$A:$AC,29,FALSE), "Not Found"))</f>
        <v>12</v>
      </c>
      <c r="S40">
        <f>IFERROR(VLOOKUP($A40,Actual!$A:$D,3,FALSE),"0")</f>
        <v>8.0500000000000002E-2</v>
      </c>
      <c r="T40">
        <f>VLOOKUP(A40,NHT!B:F,5,FALSE)</f>
        <v>23.2</v>
      </c>
    </row>
    <row r="41" spans="1:20" x14ac:dyDescent="0.2">
      <c r="A41" t="s">
        <v>131</v>
      </c>
      <c r="B41" t="s">
        <v>64</v>
      </c>
      <c r="C41" t="s">
        <v>57</v>
      </c>
      <c r="D41" t="s">
        <v>57</v>
      </c>
      <c r="E41">
        <v>5000</v>
      </c>
      <c r="F41">
        <v>12.6614549465457</v>
      </c>
      <c r="G41">
        <v>5.0645819786182802</v>
      </c>
      <c r="H41">
        <v>36.6536373663643</v>
      </c>
      <c r="I41">
        <v>10.039999999999999</v>
      </c>
      <c r="J41">
        <v>2.62145494654572</v>
      </c>
      <c r="K41">
        <v>2.5322909893091401</v>
      </c>
      <c r="L41">
        <v>0.12</v>
      </c>
      <c r="M41">
        <v>0.5</v>
      </c>
      <c r="N41">
        <v>2.08</v>
      </c>
      <c r="O41">
        <v>0.16</v>
      </c>
      <c r="P41" s="2" t="d">
        <v>2026-01-23</v>
      </c>
      <c r="Q41" t="s">
        <v>406</v>
      </c>
      <c r="R41">
        <f>IFERROR(VLOOKUP($A41,Actual!$A:$D,4,FALSE),IFERROR(VLOOKUP($A41,FC!$A:$AC,29,FALSE), "Not Found"))</f>
        <v>7.8</v>
      </c>
      <c r="S41">
        <f>IFERROR(VLOOKUP($A41,Actual!$A:$D,3,FALSE),"0")</f>
        <v>4.82E-2</v>
      </c>
      <c r="T41">
        <f>VLOOKUP(A41,NHT!B:F,5,FALSE)</f>
        <v>22.9</v>
      </c>
    </row>
    <row r="42" spans="1:20" x14ac:dyDescent="0.2">
      <c r="A42" t="s">
        <v>54</v>
      </c>
      <c r="B42" t="s">
        <v>52</v>
      </c>
      <c r="C42" t="s">
        <v>46</v>
      </c>
      <c r="D42" t="s">
        <v>410</v>
      </c>
      <c r="E42">
        <v>8500</v>
      </c>
      <c r="F42">
        <v>18.691570161894699</v>
      </c>
      <c r="G42">
        <v>7.4766280647579002</v>
      </c>
      <c r="H42">
        <v>51.728925404736799</v>
      </c>
      <c r="I42">
        <v>15.24</v>
      </c>
      <c r="J42">
        <v>3.4515701618947499</v>
      </c>
      <c r="K42">
        <v>2.19900825434055</v>
      </c>
      <c r="L42">
        <v>0.56862745098039202</v>
      </c>
      <c r="M42">
        <v>0.56862745098039202</v>
      </c>
      <c r="N42">
        <v>3.6666666666666599</v>
      </c>
      <c r="O42">
        <v>0.45098039215686198</v>
      </c>
      <c r="P42" s="2" t="d">
        <v>2026-01-23</v>
      </c>
      <c r="Q42" t="s">
        <v>406</v>
      </c>
      <c r="R42">
        <f>IFERROR(VLOOKUP($A42,Actual!$A:$D,4,FALSE),IFERROR(VLOOKUP($A42,FC!$A:$AC,29,FALSE), "Not Found"))</f>
        <v>19.3</v>
      </c>
      <c r="S42">
        <f>IFERROR(VLOOKUP($A42,Actual!$A:$D,3,FALSE),"0")</f>
        <v>6.6400000000000001E-2</v>
      </c>
      <c r="T42">
        <f>VLOOKUP(A42,NHT!B:F,5,FALSE)</f>
        <v>22.9</v>
      </c>
    </row>
    <row r="43" spans="1:20" x14ac:dyDescent="0.2">
      <c r="A43" t="s">
        <v>190</v>
      </c>
      <c r="B43" t="s">
        <v>85</v>
      </c>
      <c r="C43" t="s">
        <v>42</v>
      </c>
      <c r="D43" t="s">
        <v>410</v>
      </c>
      <c r="E43">
        <v>5900</v>
      </c>
      <c r="F43">
        <v>12.585965018919399</v>
      </c>
      <c r="G43">
        <v>5.0343860075677798</v>
      </c>
      <c r="H43">
        <v>36.464912547298603</v>
      </c>
      <c r="I43">
        <v>9.32</v>
      </c>
      <c r="J43">
        <v>3.2659650189194598</v>
      </c>
      <c r="K43">
        <v>2.1332144099863402</v>
      </c>
      <c r="L43">
        <v>0.30952380952380898</v>
      </c>
      <c r="M43">
        <v>0.452380952380952</v>
      </c>
      <c r="N43">
        <v>2.3095238095238</v>
      </c>
      <c r="O43">
        <v>0.16666666666666599</v>
      </c>
      <c r="P43" s="2" t="d">
        <v>2026-01-23</v>
      </c>
      <c r="Q43" t="s">
        <v>406</v>
      </c>
      <c r="R43">
        <f>IFERROR(VLOOKUP($A43,Actual!$A:$D,4,FALSE),IFERROR(VLOOKUP($A43,FC!$A:$AC,29,FALSE), "Not Found"))</f>
        <v>3</v>
      </c>
      <c r="S43">
        <f>IFERROR(VLOOKUP($A43,Actual!$A:$D,3,FALSE),"0")</f>
        <v>8.3500000000000005E-2</v>
      </c>
      <c r="T43">
        <f>VLOOKUP(A43,NHT!B:F,5,FALSE)</f>
        <v>22.816666666667</v>
      </c>
    </row>
    <row r="44" spans="1:20" x14ac:dyDescent="0.2">
      <c r="A44" t="s">
        <v>204</v>
      </c>
      <c r="B44" t="s">
        <v>117</v>
      </c>
      <c r="C44" t="s">
        <v>57</v>
      </c>
      <c r="D44" t="s">
        <v>57</v>
      </c>
      <c r="E44">
        <v>5600</v>
      </c>
      <c r="F44">
        <v>10.645467578391299</v>
      </c>
      <c r="G44">
        <v>4.2581870313565204</v>
      </c>
      <c r="H44">
        <v>31.613668945978201</v>
      </c>
      <c r="I44">
        <v>9.4700000000000006</v>
      </c>
      <c r="J44">
        <v>1.17546757839131</v>
      </c>
      <c r="K44">
        <v>1.9009763532841599</v>
      </c>
      <c r="L44">
        <v>0.06</v>
      </c>
      <c r="M44">
        <v>0.26</v>
      </c>
      <c r="N44">
        <v>2.2000000000000002</v>
      </c>
      <c r="O44">
        <v>0.06</v>
      </c>
      <c r="P44" s="2" t="d">
        <v>2026-01-23</v>
      </c>
      <c r="Q44" t="s">
        <v>406</v>
      </c>
      <c r="R44">
        <f>IFERROR(VLOOKUP($A44,Actual!$A:$D,4,FALSE),IFERROR(VLOOKUP($A44,FC!$A:$AC,29,FALSE), "Not Found"))</f>
        <v>12.5</v>
      </c>
      <c r="S44">
        <f>IFERROR(VLOOKUP($A44,Actual!$A:$D,3,FALSE),"0")</f>
        <v>4.7399999999999998E-2</v>
      </c>
      <c r="T44">
        <f>VLOOKUP(A44,NHT!B:F,5,FALSE)</f>
        <v>22.766666666667</v>
      </c>
    </row>
    <row r="45" spans="1:20" x14ac:dyDescent="0.2">
      <c r="A45" t="s">
        <v>102</v>
      </c>
      <c r="B45" t="s">
        <v>412</v>
      </c>
      <c r="C45" t="s">
        <v>57</v>
      </c>
      <c r="D45" t="s">
        <v>57</v>
      </c>
      <c r="E45">
        <v>2600</v>
      </c>
      <c r="F45">
        <v>5.5711712094230901</v>
      </c>
      <c r="G45">
        <v>2.2284684837692299</v>
      </c>
      <c r="H45">
        <v>18.927928023557701</v>
      </c>
      <c r="I45">
        <v>4.8899999999999997</v>
      </c>
      <c r="J45">
        <v>0.68117120942309395</v>
      </c>
      <c r="K45">
        <v>2.14275815747042</v>
      </c>
      <c r="L45">
        <v>0</v>
      </c>
      <c r="M45">
        <v>0.12</v>
      </c>
      <c r="N45">
        <v>0.82</v>
      </c>
      <c r="O45">
        <v>0</v>
      </c>
      <c r="P45" s="2" t="d">
        <v>2026-01-23</v>
      </c>
      <c r="Q45" t="s">
        <v>406</v>
      </c>
      <c r="R45">
        <f>IFERROR(VLOOKUP($A45,Actual!$A:$D,4,FALSE),IFERROR(VLOOKUP($A45,FC!$A:$AC,29,FALSE), "Not Found"))</f>
        <v>9.3000000000000007</v>
      </c>
      <c r="S45">
        <f>IFERROR(VLOOKUP($A45,Actual!$A:$D,3,FALSE),"0")</f>
        <v>1.15E-2</v>
      </c>
      <c r="T45">
        <f>VLOOKUP(A45,NHT!B:F,5,FALSE)</f>
        <v>22.766666666667</v>
      </c>
    </row>
    <row r="46" spans="1:20" x14ac:dyDescent="0.2">
      <c r="A46" t="s">
        <v>295</v>
      </c>
      <c r="B46" t="s">
        <v>85</v>
      </c>
      <c r="C46" t="s">
        <v>57</v>
      </c>
      <c r="D46" t="s">
        <v>57</v>
      </c>
      <c r="E46">
        <v>3100</v>
      </c>
      <c r="F46">
        <v>7.1131274372235698</v>
      </c>
      <c r="G46">
        <v>2.8452509748894199</v>
      </c>
      <c r="H46">
        <v>22.782818593058899</v>
      </c>
      <c r="I46">
        <v>5.86</v>
      </c>
      <c r="J46">
        <v>1.2531274372235699</v>
      </c>
      <c r="K46">
        <v>2.29455723781405</v>
      </c>
      <c r="L46">
        <v>3.9215686274509803E-2</v>
      </c>
      <c r="M46">
        <v>0.15686274509803899</v>
      </c>
      <c r="N46">
        <v>1.2745098039215601</v>
      </c>
      <c r="O46">
        <v>0</v>
      </c>
      <c r="P46" s="2" t="d">
        <v>2026-01-23</v>
      </c>
      <c r="Q46" t="s">
        <v>406</v>
      </c>
      <c r="R46">
        <f>IFERROR(VLOOKUP($A46,Actual!$A:$D,4,FALSE),IFERROR(VLOOKUP($A46,FC!$A:$AC,29,FALSE), "Not Found"))</f>
        <v>2.6</v>
      </c>
      <c r="S46">
        <f>IFERROR(VLOOKUP($A46,Actual!$A:$D,3,FALSE),"0")</f>
        <v>1.9099999999999999E-2</v>
      </c>
      <c r="T46">
        <f>VLOOKUP(A46,NHT!B:F,5,FALSE)</f>
        <v>22.766666666667</v>
      </c>
    </row>
    <row r="47" spans="1:20" x14ac:dyDescent="0.2">
      <c r="A47" t="s">
        <v>177</v>
      </c>
      <c r="B47" t="s">
        <v>48</v>
      </c>
      <c r="C47" t="s">
        <v>42</v>
      </c>
      <c r="D47" t="s">
        <v>42</v>
      </c>
      <c r="E47">
        <v>7000</v>
      </c>
      <c r="F47">
        <v>14.777540207484099</v>
      </c>
      <c r="G47">
        <v>5.91101608299366</v>
      </c>
      <c r="H47">
        <v>41.943850518710398</v>
      </c>
      <c r="I47">
        <v>11.31</v>
      </c>
      <c r="J47">
        <v>3.4675402074841601</v>
      </c>
      <c r="K47">
        <v>2.1110771724977302</v>
      </c>
      <c r="L47">
        <v>0.5</v>
      </c>
      <c r="M47">
        <v>0.375</v>
      </c>
      <c r="N47">
        <v>2.3125</v>
      </c>
      <c r="O47">
        <v>0.22916666666666599</v>
      </c>
      <c r="P47" s="2" t="d">
        <v>2026-01-23</v>
      </c>
      <c r="Q47" t="s">
        <v>406</v>
      </c>
      <c r="R47">
        <f>IFERROR(VLOOKUP($A47,Actual!$A:$D,4,FALSE),IFERROR(VLOOKUP($A47,FC!$A:$AC,29,FALSE), "Not Found"))</f>
        <v>4.0999999999999996</v>
      </c>
      <c r="S47">
        <f>IFERROR(VLOOKUP($A47,Actual!$A:$D,3,FALSE),"0")</f>
        <v>6.8699999999999997E-2</v>
      </c>
      <c r="T47">
        <f>VLOOKUP(A47,NHT!B:F,5,FALSE)</f>
        <v>22.633333333332999</v>
      </c>
    </row>
    <row r="48" spans="1:20" x14ac:dyDescent="0.2">
      <c r="A48" t="s">
        <v>196</v>
      </c>
      <c r="B48" t="s">
        <v>64</v>
      </c>
      <c r="C48" t="s">
        <v>57</v>
      </c>
      <c r="D48" t="s">
        <v>57</v>
      </c>
      <c r="E48">
        <v>5200</v>
      </c>
      <c r="F48">
        <v>11.1079477826827</v>
      </c>
      <c r="G48">
        <v>4.4431791130731098</v>
      </c>
      <c r="H48">
        <v>32.7698694567069</v>
      </c>
      <c r="I48">
        <v>9.24</v>
      </c>
      <c r="J48">
        <v>1.86794778268277</v>
      </c>
      <c r="K48">
        <v>2.13614380436207</v>
      </c>
      <c r="L48">
        <v>0.163265306122448</v>
      </c>
      <c r="M48">
        <v>0.265306122448979</v>
      </c>
      <c r="N48">
        <v>1.9183673469387701</v>
      </c>
      <c r="O48">
        <v>2.04081632653061E-2</v>
      </c>
      <c r="P48" s="2" t="d">
        <v>2026-01-23</v>
      </c>
      <c r="Q48" t="s">
        <v>406</v>
      </c>
      <c r="R48">
        <f>IFERROR(VLOOKUP($A48,Actual!$A:$D,4,FALSE),IFERROR(VLOOKUP($A48,FC!$A:$AC,29,FALSE), "Not Found"))</f>
        <v>0</v>
      </c>
      <c r="S48">
        <f>IFERROR(VLOOKUP($A48,Actual!$A:$D,3,FALSE),"0")</f>
        <v>3.1699999999999999E-2</v>
      </c>
      <c r="T48">
        <f>VLOOKUP(A48,NHT!B:F,5,FALSE)</f>
        <v>22.533333333333001</v>
      </c>
    </row>
    <row r="49" spans="1:20" x14ac:dyDescent="0.2">
      <c r="A49" t="s">
        <v>299</v>
      </c>
      <c r="B49" t="s">
        <v>35</v>
      </c>
      <c r="C49" t="s">
        <v>57</v>
      </c>
      <c r="D49" t="s">
        <v>57</v>
      </c>
      <c r="E49">
        <v>3300</v>
      </c>
      <c r="F49">
        <v>7.9270071634303498</v>
      </c>
      <c r="G49">
        <v>3.1708028653721398</v>
      </c>
      <c r="H49">
        <v>24.817517908575802</v>
      </c>
      <c r="I49">
        <v>5.81</v>
      </c>
      <c r="J49">
        <v>2.1170071634303498</v>
      </c>
      <c r="K49">
        <v>2.4021233828576798</v>
      </c>
      <c r="L49">
        <v>6.5217391304347797E-2</v>
      </c>
      <c r="M49">
        <v>0.36956521739130399</v>
      </c>
      <c r="N49">
        <v>1.1956521739130399</v>
      </c>
      <c r="O49">
        <v>8.6956521739130405E-2</v>
      </c>
      <c r="P49" s="2" t="d">
        <v>2026-01-23</v>
      </c>
      <c r="Q49" t="s">
        <v>406</v>
      </c>
      <c r="R49">
        <f>IFERROR(VLOOKUP($A49,Actual!$A:$D,4,FALSE),IFERROR(VLOOKUP($A49,FC!$A:$AC,29,FALSE), "Not Found"))</f>
        <v>8.1999999999999993</v>
      </c>
      <c r="S49">
        <f>IFERROR(VLOOKUP($A49,Actual!$A:$D,3,FALSE),"0")</f>
        <v>1.35E-2</v>
      </c>
      <c r="T49">
        <f>VLOOKUP(A49,NHT!B:F,5,FALSE)</f>
        <v>22.5</v>
      </c>
    </row>
    <row r="50" spans="1:20" x14ac:dyDescent="0.2">
      <c r="A50" t="s">
        <v>226</v>
      </c>
      <c r="B50" t="s">
        <v>39</v>
      </c>
      <c r="C50" t="s">
        <v>57</v>
      </c>
      <c r="D50" t="s">
        <v>57</v>
      </c>
      <c r="E50">
        <v>4700</v>
      </c>
      <c r="F50">
        <v>11.8140334675243</v>
      </c>
      <c r="G50">
        <v>4.7256133870097301</v>
      </c>
      <c r="H50">
        <v>34.535083668810799</v>
      </c>
      <c r="I50">
        <v>9.19</v>
      </c>
      <c r="J50">
        <v>2.6240334675243302</v>
      </c>
      <c r="K50">
        <v>2.5136241420264498</v>
      </c>
      <c r="L50">
        <v>5.1282051282051197E-2</v>
      </c>
      <c r="M50">
        <v>0.46153846153846101</v>
      </c>
      <c r="N50">
        <v>2.2307692307692299</v>
      </c>
      <c r="O50">
        <v>0.15384615384615299</v>
      </c>
      <c r="P50" s="2" t="d">
        <v>2026-01-23</v>
      </c>
      <c r="Q50" t="s">
        <v>406</v>
      </c>
      <c r="R50">
        <f>IFERROR(VLOOKUP($A50,Actual!$A:$D,4,FALSE),IFERROR(VLOOKUP($A50,FC!$A:$AC,29,FALSE), "Not Found"))</f>
        <v>6.9</v>
      </c>
      <c r="S50">
        <f>IFERROR(VLOOKUP($A50,Actual!$A:$D,3,FALSE),"0")</f>
        <v>1.29E-2</v>
      </c>
      <c r="T50">
        <f>VLOOKUP(A50,NHT!B:F,5,FALSE)</f>
        <v>22.45</v>
      </c>
    </row>
    <row r="51" spans="1:20" x14ac:dyDescent="0.2">
      <c r="A51" t="s">
        <v>202</v>
      </c>
      <c r="B51" t="s">
        <v>61</v>
      </c>
      <c r="C51" t="s">
        <v>57</v>
      </c>
      <c r="D51" t="s">
        <v>57</v>
      </c>
      <c r="E51">
        <v>3400</v>
      </c>
      <c r="F51">
        <v>7.0049697872163703</v>
      </c>
      <c r="G51">
        <v>2.8019879148865501</v>
      </c>
      <c r="H51">
        <v>22.512424468040901</v>
      </c>
      <c r="I51">
        <v>7.86</v>
      </c>
      <c r="J51">
        <v>-0.85503021278362201</v>
      </c>
      <c r="K51">
        <v>2.0602852315342202</v>
      </c>
      <c r="L51">
        <v>6.25E-2</v>
      </c>
      <c r="M51">
        <v>0.29166666666666602</v>
      </c>
      <c r="N51">
        <v>0.8125</v>
      </c>
      <c r="O51">
        <v>0</v>
      </c>
      <c r="P51" s="2" t="d">
        <v>2026-01-23</v>
      </c>
      <c r="Q51" t="s">
        <v>406</v>
      </c>
      <c r="R51">
        <f>IFERROR(VLOOKUP($A51,Actual!$A:$D,4,FALSE),IFERROR(VLOOKUP($A51,FC!$A:$AC,29,FALSE), "Not Found"))</f>
        <v>0</v>
      </c>
      <c r="S51">
        <f>IFERROR(VLOOKUP($A51,Actual!$A:$D,3,FALSE),"0")</f>
        <v>1.21E-2</v>
      </c>
      <c r="T51">
        <f>VLOOKUP(A51,NHT!B:F,5,FALSE)</f>
        <v>22.383333333332999</v>
      </c>
    </row>
    <row r="52" spans="1:20" x14ac:dyDescent="0.2">
      <c r="A52" t="s">
        <v>206</v>
      </c>
      <c r="B52" t="s">
        <v>407</v>
      </c>
      <c r="C52" t="s">
        <v>42</v>
      </c>
      <c r="D52" t="s">
        <v>410</v>
      </c>
      <c r="E52">
        <v>7200</v>
      </c>
      <c r="F52">
        <v>16.326000093317099</v>
      </c>
      <c r="G52">
        <v>6.5304000373268503</v>
      </c>
      <c r="H52">
        <v>45.8150002332928</v>
      </c>
      <c r="I52">
        <v>12.72</v>
      </c>
      <c r="J52">
        <v>3.6060000933171201</v>
      </c>
      <c r="K52">
        <v>2.2675000129607099</v>
      </c>
      <c r="L52">
        <v>0.45833333333333298</v>
      </c>
      <c r="M52">
        <v>0.60416666666666596</v>
      </c>
      <c r="N52">
        <v>2.6666666666666599</v>
      </c>
      <c r="O52">
        <v>0.35416666666666602</v>
      </c>
      <c r="P52" s="2" t="d">
        <v>2026-01-23</v>
      </c>
      <c r="Q52" t="s">
        <v>406</v>
      </c>
      <c r="R52">
        <f>IFERROR(VLOOKUP($A52,Actual!$A:$D,4,FALSE),IFERROR(VLOOKUP($A52,FC!$A:$AC,29,FALSE), "Not Found"))</f>
        <v>5.8</v>
      </c>
      <c r="S52">
        <f>IFERROR(VLOOKUP($A52,Actual!$A:$D,3,FALSE),"0")</f>
        <v>6.3100000000000003E-2</v>
      </c>
      <c r="T52">
        <f>VLOOKUP(A52,NHT!B:F,5,FALSE)</f>
        <v>22.366666666667001</v>
      </c>
    </row>
    <row r="53" spans="1:20" x14ac:dyDescent="0.2">
      <c r="A53" t="s">
        <v>200</v>
      </c>
      <c r="B53" t="s">
        <v>52</v>
      </c>
      <c r="C53" t="s">
        <v>57</v>
      </c>
      <c r="D53" t="s">
        <v>57</v>
      </c>
      <c r="E53">
        <v>3400</v>
      </c>
      <c r="F53">
        <v>7.7343773710424601</v>
      </c>
      <c r="G53">
        <v>3.0937509484169801</v>
      </c>
      <c r="H53">
        <v>24.3359434276061</v>
      </c>
      <c r="I53">
        <v>7.76</v>
      </c>
      <c r="J53">
        <v>-2.5622628957532499E-2</v>
      </c>
      <c r="K53">
        <v>2.2748168738360199</v>
      </c>
      <c r="L53">
        <v>9.8039215686274495E-2</v>
      </c>
      <c r="M53">
        <v>0.31372549019607798</v>
      </c>
      <c r="N53">
        <v>0.96078431372549</v>
      </c>
      <c r="O53">
        <v>0</v>
      </c>
      <c r="P53" s="2" t="d">
        <v>2026-01-23</v>
      </c>
      <c r="Q53" t="s">
        <v>406</v>
      </c>
      <c r="R53">
        <f>IFERROR(VLOOKUP($A53,Actual!$A:$D,4,FALSE),IFERROR(VLOOKUP($A53,FC!$A:$AC,29,FALSE), "Not Found"))</f>
        <v>12.5</v>
      </c>
      <c r="S53">
        <f>IFERROR(VLOOKUP($A53,Actual!$A:$D,3,FALSE),"0")</f>
        <v>3.2199999999999999E-2</v>
      </c>
      <c r="T53">
        <f>VLOOKUP(A53,NHT!B:F,5,FALSE)</f>
        <v>22.266666666667</v>
      </c>
    </row>
    <row r="54" spans="1:20" x14ac:dyDescent="0.2">
      <c r="A54" t="s">
        <v>183</v>
      </c>
      <c r="B54" t="s">
        <v>35</v>
      </c>
      <c r="C54" t="s">
        <v>57</v>
      </c>
      <c r="D54" t="s">
        <v>57</v>
      </c>
      <c r="E54">
        <v>2900</v>
      </c>
      <c r="F54">
        <v>6.4286348010902001</v>
      </c>
      <c r="G54">
        <v>2.5714539204360798</v>
      </c>
      <c r="H54">
        <v>21.071587002725501</v>
      </c>
      <c r="I54">
        <v>6.3</v>
      </c>
      <c r="J54">
        <v>0.128634801090204</v>
      </c>
      <c r="K54">
        <v>2.2167706210655802</v>
      </c>
      <c r="L54">
        <v>4.08163265306122E-2</v>
      </c>
      <c r="M54">
        <v>0.10204081632653</v>
      </c>
      <c r="N54">
        <v>1.3469387755102</v>
      </c>
      <c r="O54">
        <v>0</v>
      </c>
      <c r="P54" s="2" t="d">
        <v>2026-01-23</v>
      </c>
      <c r="Q54" t="s">
        <v>406</v>
      </c>
      <c r="R54">
        <f>IFERROR(VLOOKUP($A54,Actual!$A:$D,4,FALSE),IFERROR(VLOOKUP($A54,FC!$A:$AC,29,FALSE), "Not Found"))</f>
        <v>6.9</v>
      </c>
      <c r="S54">
        <f>IFERROR(VLOOKUP($A54,Actual!$A:$D,3,FALSE),"0")</f>
        <v>3.78E-2</v>
      </c>
      <c r="T54">
        <f>VLOOKUP(A54,NHT!B:F,5,FALSE)</f>
        <v>22.266666666667</v>
      </c>
    </row>
    <row r="55" spans="1:20" x14ac:dyDescent="0.2">
      <c r="A55" t="s">
        <v>210</v>
      </c>
      <c r="B55" t="s">
        <v>39</v>
      </c>
      <c r="C55" t="s">
        <v>57</v>
      </c>
      <c r="D55" t="s">
        <v>57</v>
      </c>
      <c r="E55">
        <v>5300</v>
      </c>
      <c r="F55">
        <v>13.6975154858373</v>
      </c>
      <c r="G55">
        <v>5.4790061943349402</v>
      </c>
      <c r="H55">
        <v>39.2437887145934</v>
      </c>
      <c r="I55">
        <v>10.46</v>
      </c>
      <c r="J55">
        <v>3.2375154858373598</v>
      </c>
      <c r="K55">
        <v>2.5844368841202501</v>
      </c>
      <c r="L55">
        <v>0.18421052631578899</v>
      </c>
      <c r="M55">
        <v>0.5</v>
      </c>
      <c r="N55">
        <v>2.2894736842105199</v>
      </c>
      <c r="O55">
        <v>0.105263157894736</v>
      </c>
      <c r="P55" s="2" t="d">
        <v>2026-01-23</v>
      </c>
      <c r="Q55" t="s">
        <v>406</v>
      </c>
      <c r="R55">
        <f>IFERROR(VLOOKUP($A55,Actual!$A:$D,4,FALSE),IFERROR(VLOOKUP($A55,FC!$A:$AC,29,FALSE), "Not Found"))</f>
        <v>2.6</v>
      </c>
      <c r="S55">
        <f>IFERROR(VLOOKUP($A55,Actual!$A:$D,3,FALSE),"0")</f>
        <v>2.75E-2</v>
      </c>
      <c r="T55">
        <f>VLOOKUP(A55,NHT!B:F,5,FALSE)</f>
        <v>22.15</v>
      </c>
    </row>
    <row r="56" spans="1:20" x14ac:dyDescent="0.2">
      <c r="A56" t="s">
        <v>220</v>
      </c>
      <c r="B56" t="s">
        <v>35</v>
      </c>
      <c r="C56" t="s">
        <v>57</v>
      </c>
      <c r="D56" t="s">
        <v>57</v>
      </c>
      <c r="E56">
        <v>3700</v>
      </c>
      <c r="F56">
        <v>8.4961439325611501</v>
      </c>
      <c r="G56">
        <v>3.3984575730244599</v>
      </c>
      <c r="H56">
        <v>26.240359831402898</v>
      </c>
      <c r="I56">
        <v>7.71</v>
      </c>
      <c r="J56">
        <v>0.786143932561159</v>
      </c>
      <c r="K56">
        <v>2.2962551169084202</v>
      </c>
      <c r="L56">
        <v>0.122448979591836</v>
      </c>
      <c r="M56">
        <v>0.32653061224489699</v>
      </c>
      <c r="N56">
        <v>1.2653061224489699</v>
      </c>
      <c r="O56">
        <v>6.1224489795918297E-2</v>
      </c>
      <c r="P56" s="2" t="d">
        <v>2026-01-23</v>
      </c>
      <c r="Q56" t="s">
        <v>406</v>
      </c>
      <c r="R56">
        <f>IFERROR(VLOOKUP($A56,Actual!$A:$D,4,FALSE),IFERROR(VLOOKUP($A56,FC!$A:$AC,29,FALSE), "Not Found"))</f>
        <v>6.9</v>
      </c>
      <c r="S56">
        <f>IFERROR(VLOOKUP($A56,Actual!$A:$D,3,FALSE),"0")</f>
        <v>4.4999999999999997E-3</v>
      </c>
      <c r="T56">
        <f>VLOOKUP(A56,NHT!B:F,5,FALSE)</f>
        <v>22.083333333333002</v>
      </c>
    </row>
    <row r="57" spans="1:20" x14ac:dyDescent="0.2">
      <c r="A57" t="s">
        <v>334</v>
      </c>
      <c r="B57" t="s">
        <v>148</v>
      </c>
      <c r="C57" t="s">
        <v>57</v>
      </c>
      <c r="D57" t="s">
        <v>57</v>
      </c>
      <c r="E57">
        <v>3800</v>
      </c>
      <c r="F57">
        <v>8.0344276527237604</v>
      </c>
      <c r="G57">
        <v>3.2137710610895001</v>
      </c>
      <c r="H57">
        <v>25.086069131809399</v>
      </c>
      <c r="I57">
        <v>5.82</v>
      </c>
      <c r="J57">
        <v>2.2144276527237601</v>
      </c>
      <c r="K57">
        <v>2.11432306650625</v>
      </c>
      <c r="L57">
        <v>4.1666666666666602E-2</v>
      </c>
      <c r="M57">
        <v>0.39583333333333298</v>
      </c>
      <c r="N57">
        <v>1.3125</v>
      </c>
      <c r="O57">
        <v>0.22916666666666599</v>
      </c>
      <c r="P57" s="2" t="d">
        <v>2026-01-23</v>
      </c>
      <c r="Q57" t="s">
        <v>406</v>
      </c>
      <c r="R57">
        <f>IFERROR(VLOOKUP($A57,Actual!$A:$D,4,FALSE),IFERROR(VLOOKUP($A57,FC!$A:$AC,29,FALSE), "Not Found"))</f>
        <v>0</v>
      </c>
      <c r="S57">
        <f>IFERROR(VLOOKUP($A57,Actual!$A:$D,3,FALSE),"0")</f>
        <v>9.7999999999999997E-3</v>
      </c>
      <c r="T57">
        <f>VLOOKUP(A57,NHT!B:F,5,FALSE)</f>
        <v>21.983333333333</v>
      </c>
    </row>
    <row r="58" spans="1:20" x14ac:dyDescent="0.2">
      <c r="A58" t="s">
        <v>199</v>
      </c>
      <c r="B58" t="s">
        <v>45</v>
      </c>
      <c r="C58" t="s">
        <v>57</v>
      </c>
      <c r="D58" t="s">
        <v>57</v>
      </c>
      <c r="E58">
        <v>3800</v>
      </c>
      <c r="F58">
        <v>6.7813333692975402</v>
      </c>
      <c r="G58">
        <v>2.7125333477190101</v>
      </c>
      <c r="H58">
        <v>21.953333423243802</v>
      </c>
      <c r="I58">
        <v>7.79</v>
      </c>
      <c r="J58">
        <v>-1.0086666307024501</v>
      </c>
      <c r="K58">
        <v>1.7845614129730301</v>
      </c>
      <c r="L58">
        <v>0</v>
      </c>
      <c r="M58">
        <v>0.24</v>
      </c>
      <c r="N58">
        <v>1.24</v>
      </c>
      <c r="O58">
        <v>0</v>
      </c>
      <c r="P58" s="2" t="d">
        <v>2026-01-23</v>
      </c>
      <c r="Q58" t="s">
        <v>406</v>
      </c>
      <c r="R58">
        <f>IFERROR(VLOOKUP($A58,Actual!$A:$D,4,FALSE),IFERROR(VLOOKUP($A58,FC!$A:$AC,29,FALSE), "Not Found"))</f>
        <v>8.4</v>
      </c>
      <c r="S58">
        <f>IFERROR(VLOOKUP($A58,Actual!$A:$D,3,FALSE),"0")</f>
        <v>1.8800000000000001E-2</v>
      </c>
      <c r="T58">
        <f>VLOOKUP(A58,NHT!B:F,5,FALSE)</f>
        <v>21.883333333332999</v>
      </c>
    </row>
    <row r="59" spans="1:20" x14ac:dyDescent="0.2">
      <c r="A59" t="s">
        <v>304</v>
      </c>
      <c r="B59" t="s">
        <v>148</v>
      </c>
      <c r="C59" t="s">
        <v>57</v>
      </c>
      <c r="D59" t="s">
        <v>57</v>
      </c>
      <c r="E59">
        <v>2500</v>
      </c>
      <c r="F59">
        <v>6.4523895436216101</v>
      </c>
      <c r="G59">
        <v>2.5809558174486402</v>
      </c>
      <c r="H59">
        <v>21.130973859053999</v>
      </c>
      <c r="I59">
        <v>4.3</v>
      </c>
      <c r="J59">
        <v>2.1523895436216098</v>
      </c>
      <c r="K59">
        <v>2.5809558174486402</v>
      </c>
      <c r="L59">
        <v>0.1</v>
      </c>
      <c r="M59">
        <v>0.12</v>
      </c>
      <c r="N59">
        <v>1.06</v>
      </c>
      <c r="O59">
        <v>0</v>
      </c>
      <c r="P59" s="2" t="d">
        <v>2026-01-23</v>
      </c>
      <c r="Q59" t="s">
        <v>406</v>
      </c>
      <c r="R59">
        <f>IFERROR(VLOOKUP($A59,Actual!$A:$D,4,FALSE),IFERROR(VLOOKUP($A59,FC!$A:$AC,29,FALSE), "Not Found"))</f>
        <v>3</v>
      </c>
      <c r="S59">
        <f>IFERROR(VLOOKUP($A59,Actual!$A:$D,3,FALSE),"0")</f>
        <v>2.5000000000000001E-3</v>
      </c>
      <c r="T59">
        <f>VLOOKUP(A59,NHT!B:F,5,FALSE)</f>
        <v>21.75</v>
      </c>
    </row>
    <row r="60" spans="1:20" x14ac:dyDescent="0.2">
      <c r="A60" t="s">
        <v>326</v>
      </c>
      <c r="B60" t="s">
        <v>148</v>
      </c>
      <c r="C60" t="s">
        <v>42</v>
      </c>
      <c r="D60" t="s">
        <v>42</v>
      </c>
      <c r="E60">
        <v>7800</v>
      </c>
      <c r="F60">
        <v>18.3947733036321</v>
      </c>
      <c r="G60">
        <v>7.3579093214528699</v>
      </c>
      <c r="H60">
        <v>50.986933259080402</v>
      </c>
      <c r="I60">
        <v>15.6</v>
      </c>
      <c r="J60">
        <v>2.79477330363218</v>
      </c>
      <c r="K60">
        <v>2.35830426969643</v>
      </c>
      <c r="L60">
        <v>0.54054054054054002</v>
      </c>
      <c r="M60">
        <v>0.75675675675675602</v>
      </c>
      <c r="N60">
        <v>3.3783783783783701</v>
      </c>
      <c r="O60">
        <v>0.37837837837837801</v>
      </c>
      <c r="P60" s="2" t="d">
        <v>2026-01-23</v>
      </c>
      <c r="Q60" t="s">
        <v>406</v>
      </c>
      <c r="R60">
        <f>IFERROR(VLOOKUP($A60,Actual!$A:$D,4,FALSE),IFERROR(VLOOKUP($A60,FC!$A:$AC,29,FALSE), "Not Found"))</f>
        <v>1.3</v>
      </c>
      <c r="S60">
        <f>IFERROR(VLOOKUP($A60,Actual!$A:$D,3,FALSE),"0")</f>
        <v>2.3800000000000002E-2</v>
      </c>
      <c r="T60">
        <f>VLOOKUP(A60,NHT!B:F,5,FALSE)</f>
        <v>21.6</v>
      </c>
    </row>
    <row r="61" spans="1:20" x14ac:dyDescent="0.2">
      <c r="A61" t="s">
        <v>101</v>
      </c>
      <c r="B61" t="s">
        <v>117</v>
      </c>
      <c r="C61" t="s">
        <v>57</v>
      </c>
      <c r="D61" t="s">
        <v>57</v>
      </c>
      <c r="E61">
        <v>5500</v>
      </c>
      <c r="F61">
        <v>13.6318605858481</v>
      </c>
      <c r="G61">
        <v>5.4527442343392503</v>
      </c>
      <c r="H61">
        <v>39.079651464620298</v>
      </c>
      <c r="I61">
        <v>11.35</v>
      </c>
      <c r="J61">
        <v>2.28186058584813</v>
      </c>
      <c r="K61">
        <v>2.4785201065178399</v>
      </c>
      <c r="L61">
        <v>0.20833333333333301</v>
      </c>
      <c r="M61">
        <v>0.41666666666666602</v>
      </c>
      <c r="N61">
        <v>2.3333333333333299</v>
      </c>
      <c r="O61">
        <v>0.20833333333333301</v>
      </c>
      <c r="P61" s="2" t="d">
        <v>2026-01-23</v>
      </c>
      <c r="Q61" t="s">
        <v>406</v>
      </c>
      <c r="R61">
        <f>IFERROR(VLOOKUP($A61,Actual!$A:$D,4,FALSE),IFERROR(VLOOKUP($A61,FC!$A:$AC,29,FALSE), "Not Found"))</f>
        <v>14.9</v>
      </c>
      <c r="S61">
        <f>IFERROR(VLOOKUP($A61,Actual!$A:$D,3,FALSE),"0")</f>
        <v>9.2999999999999992E-3</v>
      </c>
      <c r="T61">
        <f>VLOOKUP(A61,NHT!B:F,5,FALSE)</f>
        <v>21.55</v>
      </c>
    </row>
    <row r="62" spans="1:20" x14ac:dyDescent="0.2">
      <c r="A62" t="s">
        <v>125</v>
      </c>
      <c r="B62" t="s">
        <v>35</v>
      </c>
      <c r="C62" t="s">
        <v>57</v>
      </c>
      <c r="D62" t="s">
        <v>57</v>
      </c>
      <c r="E62">
        <v>3900</v>
      </c>
      <c r="F62">
        <v>8.6023584485011106</v>
      </c>
      <c r="G62">
        <v>3.4409433794004398</v>
      </c>
      <c r="H62">
        <v>26.5058961212527</v>
      </c>
      <c r="I62">
        <v>8.42</v>
      </c>
      <c r="J62">
        <v>0.18235844850111699</v>
      </c>
      <c r="K62">
        <v>2.2057329355131001</v>
      </c>
      <c r="L62">
        <v>9.5238095238095205E-2</v>
      </c>
      <c r="M62">
        <v>0.38095238095237999</v>
      </c>
      <c r="N62">
        <v>1.3333333333333299</v>
      </c>
      <c r="O62">
        <v>0.16666666666666599</v>
      </c>
      <c r="P62" s="2" t="d">
        <v>2026-01-23</v>
      </c>
      <c r="Q62" t="s">
        <v>406</v>
      </c>
      <c r="R62">
        <f>IFERROR(VLOOKUP($A62,Actual!$A:$D,4,FALSE),IFERROR(VLOOKUP($A62,FC!$A:$AC,29,FALSE), "Not Found"))</f>
        <v>9.1</v>
      </c>
      <c r="S62">
        <f>IFERROR(VLOOKUP($A62,Actual!$A:$D,3,FALSE),"0")</f>
        <v>1.46E-2</v>
      </c>
      <c r="T62">
        <f>VLOOKUP(A62,NHT!B:F,5,FALSE)</f>
        <v>21.55</v>
      </c>
    </row>
    <row r="63" spans="1:20" x14ac:dyDescent="0.2">
      <c r="A63" t="s">
        <v>235</v>
      </c>
      <c r="B63" t="s">
        <v>39</v>
      </c>
      <c r="C63" t="s">
        <v>57</v>
      </c>
      <c r="D63" t="s">
        <v>57</v>
      </c>
      <c r="E63">
        <v>2600</v>
      </c>
      <c r="F63">
        <v>6.5817802704461501</v>
      </c>
      <c r="G63">
        <v>2.6327121081784601</v>
      </c>
      <c r="H63">
        <v>21.4544506761153</v>
      </c>
      <c r="I63">
        <v>5.58</v>
      </c>
      <c r="J63">
        <v>1.00178027044615</v>
      </c>
      <c r="K63">
        <v>2.5314539501715898</v>
      </c>
      <c r="L63">
        <v>0</v>
      </c>
      <c r="M63">
        <v>0.22857142857142801</v>
      </c>
      <c r="N63">
        <v>1</v>
      </c>
      <c r="O63">
        <v>0</v>
      </c>
      <c r="P63" s="2" t="d">
        <v>2026-01-23</v>
      </c>
      <c r="Q63" t="s">
        <v>406</v>
      </c>
      <c r="R63">
        <f>IFERROR(VLOOKUP($A63,Actual!$A:$D,4,FALSE),IFERROR(VLOOKUP($A63,FC!$A:$AC,29,FALSE), "Not Found"))</f>
        <v>6.9</v>
      </c>
      <c r="S63">
        <f>IFERROR(VLOOKUP($A63,Actual!$A:$D,3,FALSE),"0")</f>
        <v>7.7999999999999996E-3</v>
      </c>
      <c r="T63">
        <f>VLOOKUP(A63,NHT!B:F,5,FALSE)</f>
        <v>21.45</v>
      </c>
    </row>
    <row r="64" spans="1:20" x14ac:dyDescent="0.2">
      <c r="A64" t="s">
        <v>209</v>
      </c>
      <c r="B64" t="s">
        <v>148</v>
      </c>
      <c r="C64" t="s">
        <v>46</v>
      </c>
      <c r="D64" t="s">
        <v>408</v>
      </c>
      <c r="E64">
        <v>3500</v>
      </c>
      <c r="F64">
        <v>8.5897652982761095</v>
      </c>
      <c r="G64">
        <v>3.4359061193104399</v>
      </c>
      <c r="H64">
        <v>26.474413245690201</v>
      </c>
      <c r="I64">
        <v>7.21</v>
      </c>
      <c r="J64">
        <v>1.3797652982761099</v>
      </c>
      <c r="K64">
        <v>2.4542186566503101</v>
      </c>
      <c r="L64">
        <v>0.22727272727272699</v>
      </c>
      <c r="M64">
        <v>0.45454545454545398</v>
      </c>
      <c r="N64">
        <v>1.4090909090909001</v>
      </c>
      <c r="O64">
        <v>0.22727272727272699</v>
      </c>
      <c r="P64" s="2" t="d">
        <v>2026-01-23</v>
      </c>
      <c r="Q64" t="s">
        <v>406</v>
      </c>
      <c r="R64">
        <f>IFERROR(VLOOKUP($A64,Actual!$A:$D,4,FALSE),IFERROR(VLOOKUP($A64,FC!$A:$AC,29,FALSE), "Not Found"))</f>
        <v>5.8</v>
      </c>
      <c r="S64">
        <f>IFERROR(VLOOKUP($A64,Actual!$A:$D,3,FALSE),"0")</f>
        <v>1.46E-2</v>
      </c>
      <c r="T64">
        <f>VLOOKUP(A64,NHT!B:F,5,FALSE)</f>
        <v>21.433333333333</v>
      </c>
    </row>
    <row r="65" spans="1:20" x14ac:dyDescent="0.2">
      <c r="A65" t="s">
        <v>89</v>
      </c>
      <c r="B65" t="s">
        <v>412</v>
      </c>
      <c r="C65" t="s">
        <v>57</v>
      </c>
      <c r="D65" t="s">
        <v>57</v>
      </c>
      <c r="E65">
        <v>4300</v>
      </c>
      <c r="F65">
        <v>12.0386543876938</v>
      </c>
      <c r="G65">
        <v>4.8154617550775498</v>
      </c>
      <c r="H65">
        <v>35.096635969234597</v>
      </c>
      <c r="I65">
        <v>8.17</v>
      </c>
      <c r="J65">
        <v>3.8686543876938702</v>
      </c>
      <c r="K65">
        <v>2.79968706690555</v>
      </c>
      <c r="L65">
        <v>0.11111111111111099</v>
      </c>
      <c r="M65">
        <v>0.24444444444444399</v>
      </c>
      <c r="N65">
        <v>2.6</v>
      </c>
      <c r="O65">
        <v>0.133333333333333</v>
      </c>
      <c r="P65" s="2" t="d">
        <v>2026-01-23</v>
      </c>
      <c r="Q65" t="s">
        <v>406</v>
      </c>
      <c r="R65">
        <f>IFERROR(VLOOKUP($A65,Actual!$A:$D,4,FALSE),IFERROR(VLOOKUP($A65,FC!$A:$AC,29,FALSE), "Not Found"))</f>
        <v>7.8</v>
      </c>
      <c r="S65">
        <f>IFERROR(VLOOKUP($A65,Actual!$A:$D,3,FALSE),"0")</f>
        <v>0.1772</v>
      </c>
      <c r="T65">
        <f>VLOOKUP(A65,NHT!B:F,5,FALSE)</f>
        <v>21.366666666667001</v>
      </c>
    </row>
    <row r="66" spans="1:20" x14ac:dyDescent="0.2">
      <c r="A66" t="s">
        <v>240</v>
      </c>
      <c r="B66" t="s">
        <v>85</v>
      </c>
      <c r="C66" t="s">
        <v>46</v>
      </c>
      <c r="D66" t="s">
        <v>410</v>
      </c>
      <c r="E66">
        <v>8300</v>
      </c>
      <c r="F66">
        <v>17.3020311963352</v>
      </c>
      <c r="G66">
        <v>6.9208124785341099</v>
      </c>
      <c r="H66">
        <v>48.255077990838203</v>
      </c>
      <c r="I66">
        <v>12.98</v>
      </c>
      <c r="J66">
        <v>4.3220311963352804</v>
      </c>
      <c r="K66">
        <v>2.08458207184762</v>
      </c>
      <c r="L66">
        <v>0.38</v>
      </c>
      <c r="M66">
        <v>0.74</v>
      </c>
      <c r="N66">
        <v>3.06</v>
      </c>
      <c r="O66">
        <v>0.34</v>
      </c>
      <c r="P66" s="2" t="d">
        <v>2026-01-23</v>
      </c>
      <c r="Q66" t="s">
        <v>406</v>
      </c>
      <c r="R66">
        <f>IFERROR(VLOOKUP($A66,Actual!$A:$D,4,FALSE),IFERROR(VLOOKUP($A66,FC!$A:$AC,29,FALSE), "Not Found"))</f>
        <v>4.5</v>
      </c>
      <c r="S66">
        <f>IFERROR(VLOOKUP($A66,Actual!$A:$D,3,FALSE),"0")</f>
        <v>8.1000000000000003E-2</v>
      </c>
      <c r="T66">
        <f>VLOOKUP(A66,NHT!B:F,5,FALSE)</f>
        <v>21.166666666666998</v>
      </c>
    </row>
    <row r="67" spans="1:20" x14ac:dyDescent="0.2">
      <c r="A67" t="s">
        <v>90</v>
      </c>
      <c r="B67" t="s">
        <v>61</v>
      </c>
      <c r="C67" t="s">
        <v>57</v>
      </c>
      <c r="D67" t="s">
        <v>57</v>
      </c>
      <c r="E67">
        <v>4400</v>
      </c>
      <c r="F67">
        <v>11.4417295685322</v>
      </c>
      <c r="G67">
        <v>4.5766918274128798</v>
      </c>
      <c r="H67">
        <v>33.604323921330497</v>
      </c>
      <c r="I67">
        <v>8.81</v>
      </c>
      <c r="J67">
        <v>2.6317295685322</v>
      </c>
      <c r="K67">
        <v>2.6003930837573099</v>
      </c>
      <c r="L67">
        <v>0.122448979591836</v>
      </c>
      <c r="M67">
        <v>0.46938775510204001</v>
      </c>
      <c r="N67">
        <v>1.9591836734693799</v>
      </c>
      <c r="O67">
        <v>0.10204081632653</v>
      </c>
      <c r="P67" s="2" t="d">
        <v>2026-01-23</v>
      </c>
      <c r="Q67" t="s">
        <v>406</v>
      </c>
      <c r="R67">
        <f>IFERROR(VLOOKUP($A67,Actual!$A:$D,4,FALSE),IFERROR(VLOOKUP($A67,FC!$A:$AC,29,FALSE), "Not Found"))</f>
        <v>9.1</v>
      </c>
      <c r="S67">
        <f>IFERROR(VLOOKUP($A67,Actual!$A:$D,3,FALSE),"0")</f>
        <v>5.8900000000000001E-2</v>
      </c>
      <c r="T67">
        <f>VLOOKUP(A67,NHT!B:F,5,FALSE)</f>
        <v>21.05</v>
      </c>
    </row>
    <row r="68" spans="1:20" x14ac:dyDescent="0.2">
      <c r="A68" t="s">
        <v>266</v>
      </c>
      <c r="B68" t="s">
        <v>407</v>
      </c>
      <c r="C68" t="s">
        <v>57</v>
      </c>
      <c r="D68" t="s">
        <v>57</v>
      </c>
      <c r="E68">
        <v>3000</v>
      </c>
      <c r="F68">
        <v>8.5635154858437605</v>
      </c>
      <c r="G68">
        <v>3.4254061943375</v>
      </c>
      <c r="H68">
        <v>26.4087887146094</v>
      </c>
      <c r="I68">
        <v>5.92</v>
      </c>
      <c r="J68">
        <v>2.6435154858437602</v>
      </c>
      <c r="K68">
        <v>2.85450516194792</v>
      </c>
      <c r="L68">
        <v>7.3170731707316999E-2</v>
      </c>
      <c r="M68">
        <v>0.34146341463414598</v>
      </c>
      <c r="N68">
        <v>1.2195121951219501</v>
      </c>
      <c r="O68">
        <v>4.8780487804878002E-2</v>
      </c>
      <c r="P68" s="2" t="d">
        <v>2026-01-23</v>
      </c>
      <c r="Q68" t="s">
        <v>406</v>
      </c>
      <c r="R68">
        <f>IFERROR(VLOOKUP($A68,Actual!$A:$D,4,FALSE),IFERROR(VLOOKUP($A68,FC!$A:$AC,29,FALSE), "Not Found"))</f>
        <v>1.3</v>
      </c>
      <c r="S68">
        <f>IFERROR(VLOOKUP($A68,Actual!$A:$D,3,FALSE),"0")</f>
        <v>1.23E-2</v>
      </c>
      <c r="T68">
        <f>VLOOKUP(A68,NHT!B:F,5,FALSE)</f>
        <v>20.85</v>
      </c>
    </row>
    <row r="69" spans="1:20" x14ac:dyDescent="0.2">
      <c r="A69" t="s">
        <v>224</v>
      </c>
      <c r="B69" t="s">
        <v>35</v>
      </c>
      <c r="C69" t="s">
        <v>42</v>
      </c>
      <c r="D69" t="s">
        <v>42</v>
      </c>
      <c r="E69">
        <v>4900</v>
      </c>
      <c r="F69">
        <v>10.2342901696023</v>
      </c>
      <c r="G69">
        <v>4.0937160678409503</v>
      </c>
      <c r="H69">
        <v>30.585725424005901</v>
      </c>
      <c r="I69">
        <v>8.44</v>
      </c>
      <c r="J69">
        <v>1.7942901696023901</v>
      </c>
      <c r="K69">
        <v>2.0886306468576299</v>
      </c>
      <c r="L69">
        <v>0.25</v>
      </c>
      <c r="M69">
        <v>0.41666666666666602</v>
      </c>
      <c r="N69">
        <v>2.0625</v>
      </c>
      <c r="O69">
        <v>4.1666666666666602E-2</v>
      </c>
      <c r="P69" s="2" t="d">
        <v>2026-01-23</v>
      </c>
      <c r="Q69" t="s">
        <v>406</v>
      </c>
      <c r="R69">
        <f>IFERROR(VLOOKUP($A69,Actual!$A:$D,4,FALSE),IFERROR(VLOOKUP($A69,FC!$A:$AC,29,FALSE), "Not Found"))</f>
        <v>5.8</v>
      </c>
      <c r="S69">
        <f>IFERROR(VLOOKUP($A69,Actual!$A:$D,3,FALSE),"0")</f>
        <v>1.9099999999999999E-2</v>
      </c>
      <c r="T69">
        <f>VLOOKUP(A69,NHT!B:F,5,FALSE)</f>
        <v>20.8</v>
      </c>
    </row>
    <row r="70" spans="1:20" x14ac:dyDescent="0.2">
      <c r="A70" t="s">
        <v>294</v>
      </c>
      <c r="B70" t="s">
        <v>148</v>
      </c>
      <c r="C70" t="s">
        <v>57</v>
      </c>
      <c r="D70" t="s">
        <v>57</v>
      </c>
      <c r="E70">
        <v>2800</v>
      </c>
      <c r="F70">
        <v>7.9553467982370902</v>
      </c>
      <c r="G70">
        <v>3.1821387192948301</v>
      </c>
      <c r="H70">
        <v>24.888366995592701</v>
      </c>
      <c r="I70">
        <v>5.78</v>
      </c>
      <c r="J70">
        <v>2.17534679823709</v>
      </c>
      <c r="K70">
        <v>2.84119528508467</v>
      </c>
      <c r="L70">
        <v>8.5106382978723402E-2</v>
      </c>
      <c r="M70">
        <v>0.21276595744680801</v>
      </c>
      <c r="N70">
        <v>1.5106382978723401</v>
      </c>
      <c r="O70">
        <v>0</v>
      </c>
      <c r="P70" s="2" t="d">
        <v>2026-01-23</v>
      </c>
      <c r="Q70" t="s">
        <v>406</v>
      </c>
      <c r="R70">
        <f>IFERROR(VLOOKUP($A70,Actual!$A:$D,4,FALSE),IFERROR(VLOOKUP($A70,FC!$A:$AC,29,FALSE), "Not Found"))</f>
        <v>3</v>
      </c>
      <c r="S70">
        <f>IFERROR(VLOOKUP($A70,Actual!$A:$D,3,FALSE),"0")</f>
        <v>1.8499999999999999E-2</v>
      </c>
      <c r="T70">
        <f>VLOOKUP(A70,NHT!B:F,5,FALSE)</f>
        <v>20.75</v>
      </c>
    </row>
    <row r="71" spans="1:20" x14ac:dyDescent="0.2">
      <c r="A71" t="s">
        <v>171</v>
      </c>
      <c r="B71" t="s">
        <v>409</v>
      </c>
      <c r="C71" t="s">
        <v>57</v>
      </c>
      <c r="D71" t="s">
        <v>57</v>
      </c>
      <c r="E71">
        <v>2900</v>
      </c>
      <c r="F71">
        <v>8.1232979166142201</v>
      </c>
      <c r="G71">
        <v>3.24931916664569</v>
      </c>
      <c r="H71">
        <v>25.3082447915355</v>
      </c>
      <c r="I71">
        <v>5.49</v>
      </c>
      <c r="J71">
        <v>2.6332979166142199</v>
      </c>
      <c r="K71">
        <v>2.8011372126255898</v>
      </c>
      <c r="L71">
        <v>2.04081632653061E-2</v>
      </c>
      <c r="M71">
        <v>0.44897959183673403</v>
      </c>
      <c r="N71">
        <v>0.97959183673469297</v>
      </c>
      <c r="O71">
        <v>0.22448979591836701</v>
      </c>
      <c r="P71" s="2" t="d">
        <v>2026-01-23</v>
      </c>
      <c r="Q71" t="s">
        <v>406</v>
      </c>
      <c r="R71">
        <f>IFERROR(VLOOKUP($A71,Actual!$A:$D,4,FALSE),IFERROR(VLOOKUP($A71,FC!$A:$AC,29,FALSE), "Not Found"))</f>
        <v>1.5</v>
      </c>
      <c r="S71">
        <f>IFERROR(VLOOKUP($A71,Actual!$A:$D,3,FALSE),"0")</f>
        <v>3.2000000000000001E-2</v>
      </c>
      <c r="T71">
        <f>VLOOKUP(A71,NHT!B:F,5,FALSE)</f>
        <v>20.666666666666998</v>
      </c>
    </row>
    <row r="72" spans="1:20" x14ac:dyDescent="0.2">
      <c r="A72" t="s">
        <v>100</v>
      </c>
      <c r="B72" t="s">
        <v>48</v>
      </c>
      <c r="C72" t="s">
        <v>46</v>
      </c>
      <c r="D72" t="s">
        <v>410</v>
      </c>
      <c r="E72">
        <v>3600</v>
      </c>
      <c r="F72">
        <v>9.3616529879971004</v>
      </c>
      <c r="G72">
        <v>3.74466119519884</v>
      </c>
      <c r="H72">
        <v>28.4041324699927</v>
      </c>
      <c r="I72">
        <v>6.63</v>
      </c>
      <c r="J72">
        <v>2.7316529879971001</v>
      </c>
      <c r="K72">
        <v>2.6004591633325198</v>
      </c>
      <c r="L72">
        <v>0.1875</v>
      </c>
      <c r="M72">
        <v>0.29166666666666602</v>
      </c>
      <c r="N72">
        <v>1.875</v>
      </c>
      <c r="O72">
        <v>0.14583333333333301</v>
      </c>
      <c r="P72" s="2" t="d">
        <v>2026-01-23</v>
      </c>
      <c r="Q72" t="s">
        <v>406</v>
      </c>
      <c r="R72">
        <f>IFERROR(VLOOKUP($A72,Actual!$A:$D,4,FALSE),IFERROR(VLOOKUP($A72,FC!$A:$AC,29,FALSE), "Not Found"))</f>
        <v>14.3</v>
      </c>
      <c r="S72">
        <f>IFERROR(VLOOKUP($A72,Actual!$A:$D,3,FALSE),"0")</f>
        <v>0.2487</v>
      </c>
      <c r="T72">
        <f>VLOOKUP(A72,NHT!B:F,5,FALSE)</f>
        <v>20.65</v>
      </c>
    </row>
    <row r="73" spans="1:20" x14ac:dyDescent="0.2">
      <c r="A73" t="s">
        <v>319</v>
      </c>
      <c r="B73" t="s">
        <v>148</v>
      </c>
      <c r="C73" t="s">
        <v>42</v>
      </c>
      <c r="D73" t="s">
        <v>42</v>
      </c>
      <c r="E73">
        <v>4300</v>
      </c>
      <c r="F73">
        <v>9.6195262176651308</v>
      </c>
      <c r="G73">
        <v>3.8478104870660501</v>
      </c>
      <c r="H73">
        <v>29.0488155441628</v>
      </c>
      <c r="I73">
        <v>8.07</v>
      </c>
      <c r="J73">
        <v>1.5495262176651301</v>
      </c>
      <c r="K73">
        <v>2.2370991203872399</v>
      </c>
      <c r="L73">
        <v>0.17647058823529399</v>
      </c>
      <c r="M73">
        <v>0.441176470588235</v>
      </c>
      <c r="N73">
        <v>2.0588235294117601</v>
      </c>
      <c r="O73">
        <v>0.17647058823529399</v>
      </c>
      <c r="P73" s="2" t="d">
        <v>2026-01-23</v>
      </c>
      <c r="Q73" t="s">
        <v>406</v>
      </c>
      <c r="R73">
        <f>IFERROR(VLOOKUP($A73,Actual!$A:$D,4,FALSE),IFERROR(VLOOKUP($A73,FC!$A:$AC,29,FALSE), "Not Found"))</f>
        <v>6</v>
      </c>
      <c r="S73">
        <f>IFERROR(VLOOKUP($A73,Actual!$A:$D,3,FALSE),"0")</f>
        <v>9.2999999999999992E-3</v>
      </c>
      <c r="T73">
        <f>VLOOKUP(A73,NHT!B:F,5,FALSE)</f>
        <v>20.616666666667001</v>
      </c>
    </row>
    <row r="74" spans="1:20" x14ac:dyDescent="0.2">
      <c r="A74" t="s">
        <v>75</v>
      </c>
      <c r="B74" t="s">
        <v>56</v>
      </c>
      <c r="C74" t="s">
        <v>57</v>
      </c>
      <c r="D74" t="s">
        <v>57</v>
      </c>
      <c r="E74">
        <v>5700</v>
      </c>
      <c r="F74">
        <v>12.9243915699276</v>
      </c>
      <c r="G74">
        <v>5.1697566279710401</v>
      </c>
      <c r="H74">
        <v>37.310978924818997</v>
      </c>
      <c r="I74">
        <v>10.93</v>
      </c>
      <c r="J74">
        <v>1.9943915699276</v>
      </c>
      <c r="K74">
        <v>2.2674371175311498</v>
      </c>
      <c r="L74">
        <v>0.19148936170212699</v>
      </c>
      <c r="M74">
        <v>0.659574468085106</v>
      </c>
      <c r="N74">
        <v>2.1276595744680802</v>
      </c>
      <c r="O74">
        <v>0.170212765957446</v>
      </c>
      <c r="P74" s="2" t="d">
        <v>2026-01-23</v>
      </c>
      <c r="Q74" t="s">
        <v>406</v>
      </c>
      <c r="R74">
        <f>IFERROR(VLOOKUP($A74,Actual!$A:$D,4,FALSE),IFERROR(VLOOKUP($A74,FC!$A:$AC,29,FALSE), "Not Found"))</f>
        <v>9.3000000000000007</v>
      </c>
      <c r="S74">
        <f>IFERROR(VLOOKUP($A74,Actual!$A:$D,3,FALSE),"0")</f>
        <v>3.4500000000000003E-2</v>
      </c>
      <c r="T74">
        <f>VLOOKUP(A74,NHT!B:F,5,FALSE)</f>
        <v>20.466666666666999</v>
      </c>
    </row>
    <row r="75" spans="1:20" x14ac:dyDescent="0.2">
      <c r="A75" t="s">
        <v>65</v>
      </c>
      <c r="B75" t="s">
        <v>64</v>
      </c>
      <c r="C75" t="s">
        <v>57</v>
      </c>
      <c r="D75" t="s">
        <v>57</v>
      </c>
      <c r="E75">
        <v>2900</v>
      </c>
      <c r="F75">
        <v>7.4267657837223604</v>
      </c>
      <c r="G75">
        <v>2.97070631348894</v>
      </c>
      <c r="H75">
        <v>23.566914459305899</v>
      </c>
      <c r="I75">
        <v>5.89</v>
      </c>
      <c r="J75">
        <v>1.5367657837223601</v>
      </c>
      <c r="K75">
        <v>2.5609537185249498</v>
      </c>
      <c r="L75">
        <v>0.11111111111111099</v>
      </c>
      <c r="M75">
        <v>0.155555555555555</v>
      </c>
      <c r="N75">
        <v>1.0222222222222199</v>
      </c>
      <c r="O75">
        <v>2.2222222222222199E-2</v>
      </c>
      <c r="P75" s="2" t="d">
        <v>2026-01-23</v>
      </c>
      <c r="Q75" t="s">
        <v>406</v>
      </c>
      <c r="R75">
        <f>IFERROR(VLOOKUP($A75,Actual!$A:$D,4,FALSE),IFERROR(VLOOKUP($A75,FC!$A:$AC,29,FALSE), "Not Found"))</f>
        <v>20.6</v>
      </c>
      <c r="S75">
        <f>IFERROR(VLOOKUP($A75,Actual!$A:$D,3,FALSE),"0")</f>
        <v>3.1399999999999997E-2</v>
      </c>
      <c r="T75">
        <f>VLOOKUP(A75,NHT!B:F,5,FALSE)</f>
        <v>20.45</v>
      </c>
    </row>
    <row r="76" spans="1:20" x14ac:dyDescent="0.2">
      <c r="A76" t="s">
        <v>107</v>
      </c>
      <c r="B76" t="s">
        <v>59</v>
      </c>
      <c r="C76" t="s">
        <v>36</v>
      </c>
      <c r="D76" t="s">
        <v>408</v>
      </c>
      <c r="E76">
        <v>4400</v>
      </c>
      <c r="F76">
        <v>9.9509475479683793</v>
      </c>
      <c r="G76">
        <v>3.98037901918735</v>
      </c>
      <c r="H76">
        <v>29.8773688699209</v>
      </c>
      <c r="I76">
        <v>7.66</v>
      </c>
      <c r="J76">
        <v>2.2909475479683801</v>
      </c>
      <c r="K76">
        <v>2.2615789881746302</v>
      </c>
      <c r="L76">
        <v>0.22916666666666599</v>
      </c>
      <c r="M76">
        <v>0.27083333333333298</v>
      </c>
      <c r="N76">
        <v>2.2291666666666599</v>
      </c>
      <c r="O76">
        <v>0.1875</v>
      </c>
      <c r="P76" s="2" t="d">
        <v>2026-01-23</v>
      </c>
      <c r="Q76" t="s">
        <v>406</v>
      </c>
      <c r="R76">
        <f>IFERROR(VLOOKUP($A76,Actual!$A:$D,4,FALSE),IFERROR(VLOOKUP($A76,FC!$A:$AC,29,FALSE), "Not Found"))</f>
        <v>11.5</v>
      </c>
      <c r="S76">
        <f>IFERROR(VLOOKUP($A76,Actual!$A:$D,3,FALSE),"0")</f>
        <v>2.69E-2</v>
      </c>
      <c r="T76">
        <f>VLOOKUP(A76,NHT!B:F,5,FALSE)</f>
        <v>20.433333333333</v>
      </c>
    </row>
    <row r="77" spans="1:20" x14ac:dyDescent="0.2">
      <c r="A77" t="s">
        <v>173</v>
      </c>
      <c r="B77" t="s">
        <v>412</v>
      </c>
      <c r="C77" t="s">
        <v>57</v>
      </c>
      <c r="D77" t="s">
        <v>57</v>
      </c>
      <c r="E77">
        <v>2500</v>
      </c>
      <c r="F77">
        <v>6.4821129694932598</v>
      </c>
      <c r="G77">
        <v>2.5928451877973</v>
      </c>
      <c r="H77">
        <v>21.205282423733099</v>
      </c>
      <c r="I77">
        <v>4.8600000000000003</v>
      </c>
      <c r="J77">
        <v>1.6221129694932599</v>
      </c>
      <c r="K77">
        <v>2.5928451877973</v>
      </c>
      <c r="L77">
        <v>0.06</v>
      </c>
      <c r="M77">
        <v>0.18</v>
      </c>
      <c r="N77">
        <v>0.76</v>
      </c>
      <c r="O77">
        <v>0</v>
      </c>
      <c r="P77" s="2" t="d">
        <v>2026-01-23</v>
      </c>
      <c r="Q77" t="s">
        <v>406</v>
      </c>
      <c r="R77">
        <f>IFERROR(VLOOKUP($A77,Actual!$A:$D,4,FALSE),IFERROR(VLOOKUP($A77,FC!$A:$AC,29,FALSE), "Not Found"))</f>
        <v>2.6</v>
      </c>
      <c r="S77">
        <f>IFERROR(VLOOKUP($A77,Actual!$A:$D,3,FALSE),"0")</f>
        <v>4.7999999999999996E-3</v>
      </c>
      <c r="T77">
        <f>VLOOKUP(A77,NHT!B:F,5,FALSE)</f>
        <v>20.383333333332999</v>
      </c>
    </row>
    <row r="78" spans="1:20" x14ac:dyDescent="0.2">
      <c r="A78" t="s">
        <v>184</v>
      </c>
      <c r="B78" t="s">
        <v>85</v>
      </c>
      <c r="C78" t="s">
        <v>42</v>
      </c>
      <c r="D78" t="s">
        <v>42</v>
      </c>
      <c r="E78">
        <v>5900</v>
      </c>
      <c r="F78">
        <v>11.987988584709001</v>
      </c>
      <c r="G78">
        <v>4.7951954338836096</v>
      </c>
      <c r="H78">
        <v>34.969971461772602</v>
      </c>
      <c r="I78">
        <v>9.57</v>
      </c>
      <c r="J78">
        <v>2.4179885847090401</v>
      </c>
      <c r="K78">
        <v>2.0318624719845801</v>
      </c>
      <c r="L78">
        <v>0.29729729729729698</v>
      </c>
      <c r="M78">
        <v>0.56756756756756699</v>
      </c>
      <c r="N78">
        <v>1.8378378378378299</v>
      </c>
      <c r="O78">
        <v>0.27027027027027001</v>
      </c>
      <c r="P78" s="2" t="d">
        <v>2026-01-23</v>
      </c>
      <c r="Q78" t="s">
        <v>406</v>
      </c>
      <c r="R78">
        <f>IFERROR(VLOOKUP($A78,Actual!$A:$D,4,FALSE),IFERROR(VLOOKUP($A78,FC!$A:$AC,29,FALSE), "Not Found"))</f>
        <v>3</v>
      </c>
      <c r="S78">
        <f>IFERROR(VLOOKUP($A78,Actual!$A:$D,3,FALSE),"0")</f>
        <v>8.6300000000000002E-2</v>
      </c>
      <c r="T78">
        <f>VLOOKUP(A78,NHT!B:F,5,FALSE)</f>
        <v>20.316666666667</v>
      </c>
    </row>
    <row r="79" spans="1:20" x14ac:dyDescent="0.2">
      <c r="A79" t="s">
        <v>291</v>
      </c>
      <c r="B79" t="s">
        <v>148</v>
      </c>
      <c r="C79" t="s">
        <v>36</v>
      </c>
      <c r="D79" t="s">
        <v>408</v>
      </c>
      <c r="E79">
        <v>2900</v>
      </c>
      <c r="F79">
        <v>7.2756815839402398</v>
      </c>
      <c r="G79">
        <v>2.9102726335760898</v>
      </c>
      <c r="H79">
        <v>23.189203959850602</v>
      </c>
      <c r="I79">
        <v>5.58</v>
      </c>
      <c r="J79">
        <v>1.6956815839402399</v>
      </c>
      <c r="K79">
        <v>2.5088557186000799</v>
      </c>
      <c r="L79">
        <v>0.2</v>
      </c>
      <c r="M79">
        <v>0.17777777777777701</v>
      </c>
      <c r="N79">
        <v>1.62222222222222</v>
      </c>
      <c r="O79">
        <v>0</v>
      </c>
      <c r="P79" s="2" t="d">
        <v>2026-01-23</v>
      </c>
      <c r="Q79" t="s">
        <v>406</v>
      </c>
      <c r="R79">
        <f>IFERROR(VLOOKUP($A79,Actual!$A:$D,4,FALSE),IFERROR(VLOOKUP($A79,FC!$A:$AC,29,FALSE), "Not Found"))</f>
        <v>3</v>
      </c>
      <c r="S79">
        <f>IFERROR(VLOOKUP($A79,Actual!$A:$D,3,FALSE),"0")</f>
        <v>5.3E-3</v>
      </c>
      <c r="T79">
        <f>VLOOKUP(A79,NHT!B:F,5,FALSE)</f>
        <v>20.266666666667</v>
      </c>
    </row>
    <row r="80" spans="1:20" x14ac:dyDescent="0.2">
      <c r="A80" t="s">
        <v>165</v>
      </c>
      <c r="B80" t="s">
        <v>117</v>
      </c>
      <c r="C80" t="s">
        <v>42</v>
      </c>
      <c r="D80" t="s">
        <v>42</v>
      </c>
      <c r="E80">
        <v>4800</v>
      </c>
      <c r="F80">
        <v>12.037501627736299</v>
      </c>
      <c r="G80">
        <v>4.81500065109452</v>
      </c>
      <c r="H80">
        <v>35.093754069340697</v>
      </c>
      <c r="I80">
        <v>8.67</v>
      </c>
      <c r="J80">
        <v>3.3675016277363099</v>
      </c>
      <c r="K80">
        <v>2.5078128391117298</v>
      </c>
      <c r="L80">
        <v>0.24</v>
      </c>
      <c r="M80">
        <v>0.38</v>
      </c>
      <c r="N80">
        <v>2.44</v>
      </c>
      <c r="O80">
        <v>0.06</v>
      </c>
      <c r="P80" s="2" t="d">
        <v>2026-01-23</v>
      </c>
      <c r="Q80" t="s">
        <v>406</v>
      </c>
      <c r="R80">
        <f>IFERROR(VLOOKUP($A80,Actual!$A:$D,4,FALSE),IFERROR(VLOOKUP($A80,FC!$A:$AC,29,FALSE), "Not Found"))</f>
        <v>1.5</v>
      </c>
      <c r="S80">
        <f>IFERROR(VLOOKUP($A80,Actual!$A:$D,3,FALSE),"0")</f>
        <v>2.7199999999999998E-2</v>
      </c>
      <c r="T80">
        <f>VLOOKUP(A80,NHT!B:F,5,FALSE)</f>
        <v>20.233333333333</v>
      </c>
    </row>
    <row r="81" spans="1:20" x14ac:dyDescent="0.2">
      <c r="A81" t="s">
        <v>280</v>
      </c>
      <c r="B81" t="s">
        <v>117</v>
      </c>
      <c r="C81" t="s">
        <v>42</v>
      </c>
      <c r="D81" t="s">
        <v>410</v>
      </c>
      <c r="E81">
        <v>3600</v>
      </c>
      <c r="F81">
        <v>9.1944037898948299</v>
      </c>
      <c r="G81">
        <v>3.67776151595793</v>
      </c>
      <c r="H81">
        <v>27.986009474736999</v>
      </c>
      <c r="I81">
        <v>6.5</v>
      </c>
      <c r="J81">
        <v>2.6944037898948299</v>
      </c>
      <c r="K81">
        <v>2.5540010527485602</v>
      </c>
      <c r="L81">
        <v>0.23913043478260801</v>
      </c>
      <c r="M81">
        <v>0.19565217391304299</v>
      </c>
      <c r="N81">
        <v>1.89130434782608</v>
      </c>
      <c r="O81">
        <v>0.108695652173913</v>
      </c>
      <c r="P81" s="2" t="d">
        <v>2026-01-23</v>
      </c>
      <c r="Q81" t="s">
        <v>406</v>
      </c>
      <c r="R81">
        <f>IFERROR(VLOOKUP($A81,Actual!$A:$D,4,FALSE),IFERROR(VLOOKUP($A81,FC!$A:$AC,29,FALSE), "Not Found"))</f>
        <v>17.399999999999999</v>
      </c>
      <c r="S81">
        <f>IFERROR(VLOOKUP($A81,Actual!$A:$D,3,FALSE),"0")</f>
        <v>4.8800000000000003E-2</v>
      </c>
      <c r="T81">
        <f>VLOOKUP(A81,NHT!B:F,5,FALSE)</f>
        <v>20.216666666666999</v>
      </c>
    </row>
    <row r="82" spans="1:20" x14ac:dyDescent="0.2">
      <c r="A82" t="s">
        <v>176</v>
      </c>
      <c r="B82" t="s">
        <v>45</v>
      </c>
      <c r="C82" t="s">
        <v>57</v>
      </c>
      <c r="D82" t="s">
        <v>57</v>
      </c>
      <c r="E82">
        <v>4100</v>
      </c>
      <c r="F82">
        <v>10.6556849533989</v>
      </c>
      <c r="G82">
        <v>4.2622739813595798</v>
      </c>
      <c r="H82">
        <v>31.639212383497298</v>
      </c>
      <c r="I82">
        <v>9.32</v>
      </c>
      <c r="J82">
        <v>1.3356849533989399</v>
      </c>
      <c r="K82">
        <v>2.5989475496094898</v>
      </c>
      <c r="L82">
        <v>0.22</v>
      </c>
      <c r="M82">
        <v>0.24</v>
      </c>
      <c r="N82">
        <v>1.88</v>
      </c>
      <c r="O82">
        <v>0.16</v>
      </c>
      <c r="P82" s="2" t="d">
        <v>2026-01-23</v>
      </c>
      <c r="Q82" t="s">
        <v>406</v>
      </c>
      <c r="R82">
        <f>IFERROR(VLOOKUP($A82,Actual!$A:$D,4,FALSE),IFERROR(VLOOKUP($A82,FC!$A:$AC,29,FALSE), "Not Found"))</f>
        <v>3</v>
      </c>
      <c r="S82">
        <f>IFERROR(VLOOKUP($A82,Actual!$A:$D,3,FALSE),"0")</f>
        <v>2.9399999999999999E-2</v>
      </c>
      <c r="T82">
        <f>VLOOKUP(A82,NHT!B:F,5,FALSE)</f>
        <v>20.216666666666999</v>
      </c>
    </row>
    <row r="83" spans="1:20" x14ac:dyDescent="0.2">
      <c r="A83" t="s">
        <v>51</v>
      </c>
      <c r="B83" t="s">
        <v>52</v>
      </c>
      <c r="C83" t="s">
        <v>42</v>
      </c>
      <c r="D83" t="s">
        <v>42</v>
      </c>
      <c r="E83">
        <v>5500</v>
      </c>
      <c r="F83">
        <v>12.582849137563301</v>
      </c>
      <c r="G83">
        <v>5.0331396550253302</v>
      </c>
      <c r="H83">
        <v>36.457122843908301</v>
      </c>
      <c r="I83">
        <v>9.5500000000000007</v>
      </c>
      <c r="J83">
        <v>3.0328491375633302</v>
      </c>
      <c r="K83">
        <v>2.28779075228424</v>
      </c>
      <c r="L83">
        <v>0.30434782608695599</v>
      </c>
      <c r="M83">
        <v>0.52173913043478204</v>
      </c>
      <c r="N83">
        <v>2.4130434782608599</v>
      </c>
      <c r="O83">
        <v>0.34782608695652101</v>
      </c>
      <c r="P83" s="2" t="d">
        <v>2026-01-23</v>
      </c>
      <c r="Q83" t="s">
        <v>406</v>
      </c>
      <c r="R83">
        <f>IFERROR(VLOOKUP($A83,Actual!$A:$D,4,FALSE),IFERROR(VLOOKUP($A83,FC!$A:$AC,29,FALSE), "Not Found"))</f>
        <v>12.8</v>
      </c>
      <c r="S83">
        <f>IFERROR(VLOOKUP($A83,Actual!$A:$D,3,FALSE),"0")</f>
        <v>8.4699999999999998E-2</v>
      </c>
      <c r="T83">
        <f>VLOOKUP(A83,NHT!B:F,5,FALSE)</f>
        <v>20.2</v>
      </c>
    </row>
    <row r="84" spans="1:20" x14ac:dyDescent="0.2">
      <c r="A84" t="s">
        <v>60</v>
      </c>
      <c r="B84" t="s">
        <v>61</v>
      </c>
      <c r="C84" t="s">
        <v>46</v>
      </c>
      <c r="D84" t="s">
        <v>408</v>
      </c>
      <c r="E84">
        <v>4500</v>
      </c>
      <c r="F84">
        <v>11.7929059888843</v>
      </c>
      <c r="G84">
        <v>4.7171623955537303</v>
      </c>
      <c r="H84">
        <v>34.4822649722108</v>
      </c>
      <c r="I84">
        <v>9.25</v>
      </c>
      <c r="J84">
        <v>2.5429059888843302</v>
      </c>
      <c r="K84">
        <v>2.6206457753076302</v>
      </c>
      <c r="L84">
        <v>0.25531914893617003</v>
      </c>
      <c r="M84">
        <v>0.61702127659574402</v>
      </c>
      <c r="N84">
        <v>1.9361702127659499</v>
      </c>
      <c r="O84">
        <v>0.12765957446808501</v>
      </c>
      <c r="P84" s="2" t="d">
        <v>2026-01-23</v>
      </c>
      <c r="Q84" t="s">
        <v>406</v>
      </c>
      <c r="R84">
        <f>IFERROR(VLOOKUP($A84,Actual!$A:$D,4,FALSE),IFERROR(VLOOKUP($A84,FC!$A:$AC,29,FALSE), "Not Found"))</f>
        <v>14.5</v>
      </c>
      <c r="S84">
        <f>IFERROR(VLOOKUP($A84,Actual!$A:$D,3,FALSE),"0")</f>
        <v>4.7699999999999999E-2</v>
      </c>
      <c r="T84">
        <f>VLOOKUP(A84,NHT!B:F,5,FALSE)</f>
        <v>20.149999999999999</v>
      </c>
    </row>
    <row r="85" spans="1:20" x14ac:dyDescent="0.2">
      <c r="A85" t="s">
        <v>302</v>
      </c>
      <c r="B85" t="s">
        <v>117</v>
      </c>
      <c r="C85" t="s">
        <v>57</v>
      </c>
      <c r="D85" t="s">
        <v>57</v>
      </c>
      <c r="E85">
        <v>2600</v>
      </c>
      <c r="F85">
        <v>7.3701236245396498</v>
      </c>
      <c r="G85">
        <v>2.9480494498158598</v>
      </c>
      <c r="H85">
        <v>23.4253090613491</v>
      </c>
      <c r="I85">
        <v>5.88</v>
      </c>
      <c r="J85">
        <v>1.4901236245396501</v>
      </c>
      <c r="K85">
        <v>2.8346629325152501</v>
      </c>
      <c r="L85">
        <v>0.11111111111111099</v>
      </c>
      <c r="M85">
        <v>0.13888888888888801</v>
      </c>
      <c r="N85">
        <v>1</v>
      </c>
      <c r="O85">
        <v>0</v>
      </c>
      <c r="P85" s="2" t="d">
        <v>2026-01-23</v>
      </c>
      <c r="Q85" t="s">
        <v>406</v>
      </c>
      <c r="R85">
        <f>IFERROR(VLOOKUP($A85,Actual!$A:$D,4,FALSE),IFERROR(VLOOKUP($A85,FC!$A:$AC,29,FALSE), "Not Found"))</f>
        <v>8.4</v>
      </c>
      <c r="S85">
        <f>IFERROR(VLOOKUP($A85,Actual!$A:$D,3,FALSE),"0")</f>
        <v>6.7000000000000002E-3</v>
      </c>
      <c r="T85">
        <f>VLOOKUP(A85,NHT!B:F,5,FALSE)</f>
        <v>20.100000000000001</v>
      </c>
    </row>
    <row r="86" spans="1:20" x14ac:dyDescent="0.2">
      <c r="A86" t="s">
        <v>68</v>
      </c>
      <c r="B86" t="s">
        <v>409</v>
      </c>
      <c r="C86" t="s">
        <v>42</v>
      </c>
      <c r="D86" t="s">
        <v>408</v>
      </c>
      <c r="E86">
        <v>4500</v>
      </c>
      <c r="F86">
        <v>13.871240766092599</v>
      </c>
      <c r="G86">
        <v>5.5484963064370696</v>
      </c>
      <c r="H86">
        <v>39.6781019152317</v>
      </c>
      <c r="I86">
        <v>10.039999999999999</v>
      </c>
      <c r="J86">
        <v>3.8312407660926899</v>
      </c>
      <c r="K86">
        <v>3.0824979480205901</v>
      </c>
      <c r="L86">
        <v>0.38888888888888801</v>
      </c>
      <c r="M86">
        <v>0.47222222222222199</v>
      </c>
      <c r="N86">
        <v>2.38888888888888</v>
      </c>
      <c r="O86">
        <v>0.22222222222222199</v>
      </c>
      <c r="P86" s="2" t="d">
        <v>2026-01-23</v>
      </c>
      <c r="Q86" t="s">
        <v>406</v>
      </c>
      <c r="R86">
        <f>IFERROR(VLOOKUP($A86,Actual!$A:$D,4,FALSE),IFERROR(VLOOKUP($A86,FC!$A:$AC,29,FALSE), "Not Found"))</f>
        <v>13</v>
      </c>
      <c r="S86">
        <f>IFERROR(VLOOKUP($A86,Actual!$A:$D,3,FALSE),"0")</f>
        <v>0.2414</v>
      </c>
      <c r="T86">
        <f>VLOOKUP(A86,NHT!B:F,5,FALSE)</f>
        <v>20.05</v>
      </c>
    </row>
    <row r="87" spans="1:20" x14ac:dyDescent="0.2">
      <c r="A87" t="s">
        <v>133</v>
      </c>
      <c r="B87" t="s">
        <v>61</v>
      </c>
      <c r="C87" t="s">
        <v>46</v>
      </c>
      <c r="D87" t="s">
        <v>410</v>
      </c>
      <c r="E87">
        <v>3400</v>
      </c>
      <c r="F87">
        <v>6.97744460230619</v>
      </c>
      <c r="G87">
        <v>2.7909778409224701</v>
      </c>
      <c r="H87">
        <v>22.4436115057654</v>
      </c>
      <c r="I87">
        <v>5.08</v>
      </c>
      <c r="J87">
        <v>1.8974446023061899</v>
      </c>
      <c r="K87">
        <v>2.0521895889135799</v>
      </c>
      <c r="L87">
        <v>0.17948717948717899</v>
      </c>
      <c r="M87">
        <v>0.30769230769230699</v>
      </c>
      <c r="N87">
        <v>1.1025641025641</v>
      </c>
      <c r="O87">
        <v>0.128205128205128</v>
      </c>
      <c r="P87" s="2" t="d">
        <v>2026-01-23</v>
      </c>
      <c r="Q87" t="s">
        <v>406</v>
      </c>
      <c r="R87">
        <f>IFERROR(VLOOKUP($A87,Actual!$A:$D,4,FALSE),IFERROR(VLOOKUP($A87,FC!$A:$AC,29,FALSE), "Not Found"))</f>
        <v>5</v>
      </c>
      <c r="S87">
        <f>IFERROR(VLOOKUP($A87,Actual!$A:$D,3,FALSE),"0")</f>
        <v>3.8699999999999998E-2</v>
      </c>
      <c r="T87">
        <f>VLOOKUP(A87,NHT!B:F,5,FALSE)</f>
        <v>19.966666666666999</v>
      </c>
    </row>
    <row r="88" spans="1:20" x14ac:dyDescent="0.2">
      <c r="A88" t="s">
        <v>53</v>
      </c>
      <c r="B88" t="s">
        <v>412</v>
      </c>
      <c r="C88" t="s">
        <v>42</v>
      </c>
      <c r="D88" t="s">
        <v>42</v>
      </c>
      <c r="E88">
        <v>6000</v>
      </c>
      <c r="F88">
        <v>13.0977372170436</v>
      </c>
      <c r="G88">
        <v>5.2390948868174396</v>
      </c>
      <c r="H88">
        <v>37.744343042609003</v>
      </c>
      <c r="I88">
        <v>10.52</v>
      </c>
      <c r="J88">
        <v>2.5777372170435999</v>
      </c>
      <c r="K88">
        <v>2.1829562028406002</v>
      </c>
      <c r="L88">
        <v>0.3</v>
      </c>
      <c r="M88">
        <v>0.44</v>
      </c>
      <c r="N88">
        <v>2.52</v>
      </c>
      <c r="O88">
        <v>0.24</v>
      </c>
      <c r="P88" s="2" t="d">
        <v>2026-01-23</v>
      </c>
      <c r="Q88" t="s">
        <v>406</v>
      </c>
      <c r="R88">
        <f>IFERROR(VLOOKUP($A88,Actual!$A:$D,4,FALSE),IFERROR(VLOOKUP($A88,FC!$A:$AC,29,FALSE), "Not Found"))</f>
        <v>19.3</v>
      </c>
      <c r="S88">
        <f>IFERROR(VLOOKUP($A88,Actual!$A:$D,3,FALSE),"0")</f>
        <v>5.0999999999999997E-2</v>
      </c>
      <c r="T88">
        <f>VLOOKUP(A88,NHT!B:F,5,FALSE)</f>
        <v>19.95</v>
      </c>
    </row>
    <row r="89" spans="1:20" x14ac:dyDescent="0.2">
      <c r="A89" t="s">
        <v>105</v>
      </c>
      <c r="B89" t="s">
        <v>35</v>
      </c>
      <c r="C89" t="s">
        <v>36</v>
      </c>
      <c r="D89" t="s">
        <v>408</v>
      </c>
      <c r="E89">
        <v>5800</v>
      </c>
      <c r="F89">
        <v>12.8220805021214</v>
      </c>
      <c r="G89">
        <v>5.1288322008485903</v>
      </c>
      <c r="H89">
        <v>37.0552012553037</v>
      </c>
      <c r="I89">
        <v>10.4</v>
      </c>
      <c r="J89">
        <v>2.4220805021214802</v>
      </c>
      <c r="K89">
        <v>2.21070353484853</v>
      </c>
      <c r="L89">
        <v>0.35416666666666602</v>
      </c>
      <c r="M89">
        <v>0.5625</v>
      </c>
      <c r="N89">
        <v>2.2708333333333299</v>
      </c>
      <c r="O89">
        <v>0.16666666666666599</v>
      </c>
      <c r="P89" s="2" t="d">
        <v>2026-01-23</v>
      </c>
      <c r="Q89" t="s">
        <v>406</v>
      </c>
      <c r="R89">
        <f>IFERROR(VLOOKUP($A89,Actual!$A:$D,4,FALSE),IFERROR(VLOOKUP($A89,FC!$A:$AC,29,FALSE), "Not Found"))</f>
        <v>6.5</v>
      </c>
      <c r="S89">
        <f>IFERROR(VLOOKUP($A89,Actual!$A:$D,3,FALSE),"0")</f>
        <v>2.2700000000000001E-2</v>
      </c>
      <c r="T89">
        <f>VLOOKUP(A89,NHT!B:F,5,FALSE)</f>
        <v>19.883333333332999</v>
      </c>
    </row>
    <row r="90" spans="1:20" x14ac:dyDescent="0.2">
      <c r="A90" t="s">
        <v>260</v>
      </c>
      <c r="B90" t="s">
        <v>409</v>
      </c>
      <c r="C90" t="s">
        <v>57</v>
      </c>
      <c r="D90" t="s">
        <v>57</v>
      </c>
      <c r="E90">
        <v>2800</v>
      </c>
      <c r="F90">
        <v>7.4585868682108503</v>
      </c>
      <c r="G90">
        <v>2.9834347472843401</v>
      </c>
      <c r="H90">
        <v>23.646467170527099</v>
      </c>
      <c r="I90">
        <v>6.89</v>
      </c>
      <c r="J90">
        <v>0.56858686821085502</v>
      </c>
      <c r="K90">
        <v>2.66378102436102</v>
      </c>
      <c r="L90">
        <v>8.16326530612244E-2</v>
      </c>
      <c r="M90">
        <v>0.163265306122448</v>
      </c>
      <c r="N90">
        <v>1.2040816326530599</v>
      </c>
      <c r="O90">
        <v>0</v>
      </c>
      <c r="P90" s="2" t="d">
        <v>2026-01-23</v>
      </c>
      <c r="Q90" t="s">
        <v>406</v>
      </c>
      <c r="R90">
        <f>IFERROR(VLOOKUP($A90,Actual!$A:$D,4,FALSE),IFERROR(VLOOKUP($A90,FC!$A:$AC,29,FALSE), "Not Found"))</f>
        <v>4.0999999999999996</v>
      </c>
      <c r="S90">
        <f>IFERROR(VLOOKUP($A90,Actual!$A:$D,3,FALSE),"0")</f>
        <v>2.35E-2</v>
      </c>
      <c r="T90">
        <f>VLOOKUP(A90,NHT!B:F,5,FALSE)</f>
        <v>19.850000000000001</v>
      </c>
    </row>
    <row r="91" spans="1:20" x14ac:dyDescent="0.2">
      <c r="A91" t="s">
        <v>246</v>
      </c>
      <c r="B91" t="s">
        <v>56</v>
      </c>
      <c r="C91" t="s">
        <v>57</v>
      </c>
      <c r="D91" t="s">
        <v>57</v>
      </c>
      <c r="E91">
        <v>3300</v>
      </c>
      <c r="F91">
        <v>6.87253653387471</v>
      </c>
      <c r="G91">
        <v>2.7490146135498801</v>
      </c>
      <c r="H91">
        <v>22.181341334686699</v>
      </c>
      <c r="I91">
        <v>7.06</v>
      </c>
      <c r="J91">
        <v>-0.187463466125284</v>
      </c>
      <c r="K91">
        <v>2.08258682844688</v>
      </c>
      <c r="L91">
        <v>1.9607843137254902E-2</v>
      </c>
      <c r="M91">
        <v>0.25490196078431299</v>
      </c>
      <c r="N91">
        <v>1.29411764705882</v>
      </c>
      <c r="O91">
        <v>0</v>
      </c>
      <c r="P91" s="2" t="d">
        <v>2026-01-23</v>
      </c>
      <c r="Q91" t="s">
        <v>406</v>
      </c>
      <c r="R91">
        <f>IFERROR(VLOOKUP($A91,Actual!$A:$D,4,FALSE),IFERROR(VLOOKUP($A91,FC!$A:$AC,29,FALSE), "Not Found"))</f>
        <v>2.8</v>
      </c>
      <c r="S91">
        <f>IFERROR(VLOOKUP($A91,Actual!$A:$D,3,FALSE),"0")</f>
        <v>1.37E-2</v>
      </c>
      <c r="T91">
        <f>VLOOKUP(A91,NHT!B:F,5,FALSE)</f>
        <v>19.7</v>
      </c>
    </row>
    <row r="92" spans="1:20" x14ac:dyDescent="0.2">
      <c r="A92" t="s">
        <v>44</v>
      </c>
      <c r="B92" t="s">
        <v>45</v>
      </c>
      <c r="C92" t="s">
        <v>46</v>
      </c>
      <c r="D92" t="s">
        <v>42</v>
      </c>
      <c r="E92">
        <v>3300</v>
      </c>
      <c r="F92">
        <v>8.1886399663279104</v>
      </c>
      <c r="G92">
        <v>3.2754559865311599</v>
      </c>
      <c r="H92">
        <v>25.471599915819699</v>
      </c>
      <c r="I92">
        <v>6.1</v>
      </c>
      <c r="J92">
        <v>2.0886399663279098</v>
      </c>
      <c r="K92">
        <v>2.48140605040239</v>
      </c>
      <c r="L92">
        <v>0.16</v>
      </c>
      <c r="M92">
        <v>0.34</v>
      </c>
      <c r="N92">
        <v>1.7</v>
      </c>
      <c r="O92">
        <v>0.16</v>
      </c>
      <c r="P92" s="2" t="d">
        <v>2026-01-23</v>
      </c>
      <c r="Q92" t="s">
        <v>406</v>
      </c>
      <c r="R92">
        <f>IFERROR(VLOOKUP($A92,Actual!$A:$D,4,FALSE),IFERROR(VLOOKUP($A92,FC!$A:$AC,29,FALSE), "Not Found"))</f>
        <v>16.5</v>
      </c>
      <c r="S92">
        <f>IFERROR(VLOOKUP($A92,Actual!$A:$D,3,FALSE),"0")</f>
        <v>4.4900000000000002E-2</v>
      </c>
      <c r="T92">
        <f>VLOOKUP(A92,NHT!B:F,5,FALSE)</f>
        <v>19.7</v>
      </c>
    </row>
    <row r="93" spans="1:20" x14ac:dyDescent="0.2">
      <c r="A93" t="s">
        <v>262</v>
      </c>
      <c r="B93" t="s">
        <v>409</v>
      </c>
      <c r="C93" t="s">
        <v>57</v>
      </c>
      <c r="D93" t="s">
        <v>57</v>
      </c>
      <c r="E93">
        <v>3000</v>
      </c>
      <c r="F93">
        <v>5.8542517253745796</v>
      </c>
      <c r="G93">
        <v>2.3417006901498301</v>
      </c>
      <c r="H93">
        <v>19.6356293134364</v>
      </c>
      <c r="I93">
        <v>5.66</v>
      </c>
      <c r="J93">
        <v>0.19425172537458499</v>
      </c>
      <c r="K93">
        <v>1.9514172417915201</v>
      </c>
      <c r="L93">
        <v>0</v>
      </c>
      <c r="M93">
        <v>0.24324324324324301</v>
      </c>
      <c r="N93">
        <v>0.62162162162162105</v>
      </c>
      <c r="O93">
        <v>5.4054054054054002E-2</v>
      </c>
      <c r="P93" s="2" t="d">
        <v>2026-01-23</v>
      </c>
      <c r="Q93" t="s">
        <v>406</v>
      </c>
      <c r="R93">
        <f>IFERROR(VLOOKUP($A93,Actual!$A:$D,4,FALSE),IFERROR(VLOOKUP($A93,FC!$A:$AC,29,FALSE), "Not Found"))</f>
        <v>5.6</v>
      </c>
      <c r="S93">
        <f>IFERROR(VLOOKUP($A93,Actual!$A:$D,3,FALSE),"0")</f>
        <v>5.5999999999999999E-3</v>
      </c>
      <c r="T93">
        <f>VLOOKUP(A93,NHT!B:F,5,FALSE)</f>
        <v>19.683333333333</v>
      </c>
    </row>
    <row r="94" spans="1:20" x14ac:dyDescent="0.2">
      <c r="A94" t="s">
        <v>272</v>
      </c>
      <c r="B94" t="s">
        <v>56</v>
      </c>
      <c r="C94" t="s">
        <v>57</v>
      </c>
      <c r="D94" t="s">
        <v>57</v>
      </c>
      <c r="E94">
        <v>2800</v>
      </c>
      <c r="F94">
        <v>7.2743229472474997</v>
      </c>
      <c r="G94">
        <v>2.9097291788990001</v>
      </c>
      <c r="H94">
        <v>23.185807368118699</v>
      </c>
      <c r="I94">
        <v>6.8</v>
      </c>
      <c r="J94">
        <v>0.47432294724750901</v>
      </c>
      <c r="K94">
        <v>2.5979724811598199</v>
      </c>
      <c r="L94">
        <v>4.4444444444444398E-2</v>
      </c>
      <c r="M94">
        <v>0.31111111111111101</v>
      </c>
      <c r="N94">
        <v>1.2222222222222201</v>
      </c>
      <c r="O94">
        <v>0</v>
      </c>
      <c r="P94" s="2" t="d">
        <v>2026-01-23</v>
      </c>
      <c r="Q94" t="s">
        <v>406</v>
      </c>
      <c r="R94">
        <f>IFERROR(VLOOKUP($A94,Actual!$A:$D,4,FALSE),IFERROR(VLOOKUP($A94,FC!$A:$AC,29,FALSE), "Not Found"))</f>
        <v>9.6999999999999993</v>
      </c>
      <c r="S94">
        <f>IFERROR(VLOOKUP($A94,Actual!$A:$D,3,FALSE),"0")</f>
        <v>1.09E-2</v>
      </c>
      <c r="T94">
        <f>VLOOKUP(A94,NHT!B:F,5,FALSE)</f>
        <v>19.633333333332999</v>
      </c>
    </row>
    <row r="95" spans="1:20" x14ac:dyDescent="0.2">
      <c r="A95" t="s">
        <v>228</v>
      </c>
      <c r="B95" t="s">
        <v>407</v>
      </c>
      <c r="C95" t="s">
        <v>57</v>
      </c>
      <c r="D95" t="s">
        <v>57</v>
      </c>
      <c r="E95">
        <v>2700</v>
      </c>
      <c r="F95">
        <v>5.6826363011810903</v>
      </c>
      <c r="G95">
        <v>2.2730545204724302</v>
      </c>
      <c r="H95">
        <v>19.2065907529527</v>
      </c>
      <c r="I95">
        <v>5.76</v>
      </c>
      <c r="J95">
        <v>-7.7363698818909393E-2</v>
      </c>
      <c r="K95">
        <v>2.1046801115485501</v>
      </c>
      <c r="L95">
        <v>0</v>
      </c>
      <c r="M95">
        <v>0.17241379310344801</v>
      </c>
      <c r="N95">
        <v>0.72413793103448199</v>
      </c>
      <c r="O95">
        <v>0</v>
      </c>
      <c r="P95" s="2" t="d">
        <v>2026-01-23</v>
      </c>
      <c r="Q95" t="s">
        <v>406</v>
      </c>
      <c r="R95">
        <f>IFERROR(VLOOKUP($A95,Actual!$A:$D,4,FALSE),IFERROR(VLOOKUP($A95,FC!$A:$AC,29,FALSE), "Not Found"))</f>
        <v>1.5</v>
      </c>
      <c r="S95">
        <f>IFERROR(VLOOKUP($A95,Actual!$A:$D,3,FALSE),"0")</f>
        <v>5.8999999999999999E-3</v>
      </c>
      <c r="T95">
        <f>VLOOKUP(A95,NHT!B:F,5,FALSE)</f>
        <v>19.55</v>
      </c>
    </row>
    <row r="96" spans="1:20" x14ac:dyDescent="0.2">
      <c r="A96" t="s">
        <v>81</v>
      </c>
      <c r="B96" t="s">
        <v>45</v>
      </c>
      <c r="C96" t="s">
        <v>57</v>
      </c>
      <c r="D96" t="s">
        <v>57</v>
      </c>
      <c r="E96">
        <v>3000</v>
      </c>
      <c r="F96">
        <v>7.4933034051120799</v>
      </c>
      <c r="G96">
        <v>2.99732136204483</v>
      </c>
      <c r="H96">
        <v>23.7332585127802</v>
      </c>
      <c r="I96">
        <v>5.03</v>
      </c>
      <c r="J96">
        <v>2.4633034051120801</v>
      </c>
      <c r="K96">
        <v>2.4977678017040201</v>
      </c>
      <c r="L96">
        <v>0.02</v>
      </c>
      <c r="M96">
        <v>0.3</v>
      </c>
      <c r="N96">
        <v>1.28</v>
      </c>
      <c r="O96">
        <v>0.16</v>
      </c>
      <c r="P96" s="2" t="d">
        <v>2026-01-23</v>
      </c>
      <c r="Q96" t="s">
        <v>406</v>
      </c>
      <c r="R96">
        <f>IFERROR(VLOOKUP($A96,Actual!$A:$D,4,FALSE),IFERROR(VLOOKUP($A96,FC!$A:$AC,29,FALSE), "Not Found"))</f>
        <v>6.3</v>
      </c>
      <c r="S96">
        <f>IFERROR(VLOOKUP($A96,Actual!$A:$D,3,FALSE),"0")</f>
        <v>3.3999999999999998E-3</v>
      </c>
      <c r="T96">
        <f>VLOOKUP(A96,NHT!B:F,5,FALSE)</f>
        <v>19.533333333333001</v>
      </c>
    </row>
    <row r="97" spans="1:20" x14ac:dyDescent="0.2">
      <c r="A97" t="s">
        <v>179</v>
      </c>
      <c r="B97" t="s">
        <v>409</v>
      </c>
      <c r="C97" t="s">
        <v>57</v>
      </c>
      <c r="D97" t="s">
        <v>57</v>
      </c>
      <c r="E97">
        <v>3900</v>
      </c>
      <c r="F97">
        <v>10.467517908857801</v>
      </c>
      <c r="G97">
        <v>4.1870071635431199</v>
      </c>
      <c r="H97">
        <v>31.168794772144501</v>
      </c>
      <c r="I97">
        <v>7.83</v>
      </c>
      <c r="J97">
        <v>2.6375179088578098</v>
      </c>
      <c r="K97">
        <v>2.68397895098918</v>
      </c>
      <c r="L97">
        <v>0.25</v>
      </c>
      <c r="M97">
        <v>0.22222222222222199</v>
      </c>
      <c r="N97">
        <v>1.5277777777777699</v>
      </c>
      <c r="O97">
        <v>0.194444444444444</v>
      </c>
      <c r="P97" s="2" t="d">
        <v>2026-01-23</v>
      </c>
      <c r="Q97" t="s">
        <v>406</v>
      </c>
      <c r="R97">
        <f>IFERROR(VLOOKUP($A97,Actual!$A:$D,4,FALSE),IFERROR(VLOOKUP($A97,FC!$A:$AC,29,FALSE), "Not Found"))</f>
        <v>8.6</v>
      </c>
      <c r="S97">
        <f>IFERROR(VLOOKUP($A97,Actual!$A:$D,3,FALSE),"0")</f>
        <v>0.1169</v>
      </c>
      <c r="T97">
        <f>VLOOKUP(A97,NHT!B:F,5,FALSE)</f>
        <v>19.433333333333</v>
      </c>
    </row>
    <row r="98" spans="1:20" x14ac:dyDescent="0.2">
      <c r="A98" t="s">
        <v>108</v>
      </c>
      <c r="B98" t="s">
        <v>407</v>
      </c>
      <c r="C98" t="s">
        <v>42</v>
      </c>
      <c r="D98" t="s">
        <v>42</v>
      </c>
      <c r="E98">
        <v>5400</v>
      </c>
      <c r="F98">
        <v>10.832562142976901</v>
      </c>
      <c r="G98">
        <v>4.3330248571907797</v>
      </c>
      <c r="H98">
        <v>32.0814053574423</v>
      </c>
      <c r="I98">
        <v>8.36</v>
      </c>
      <c r="J98">
        <v>2.47256214297694</v>
      </c>
      <c r="K98">
        <v>2.0060300264772102</v>
      </c>
      <c r="L98">
        <v>0.29545454545454503</v>
      </c>
      <c r="M98">
        <v>0.38636363636363602</v>
      </c>
      <c r="N98">
        <v>1.8409090909090899</v>
      </c>
      <c r="O98">
        <v>6.8181818181818094E-2</v>
      </c>
      <c r="P98" s="2" t="d">
        <v>2026-01-23</v>
      </c>
      <c r="Q98" t="s">
        <v>406</v>
      </c>
      <c r="R98">
        <f>IFERROR(VLOOKUP($A98,Actual!$A:$D,4,FALSE),IFERROR(VLOOKUP($A98,FC!$A:$AC,29,FALSE), "Not Found"))</f>
        <v>9.3000000000000007</v>
      </c>
      <c r="S98">
        <f>IFERROR(VLOOKUP($A98,Actual!$A:$D,3,FALSE),"0")</f>
        <v>2.7799999999999998E-2</v>
      </c>
      <c r="T98">
        <f>VLOOKUP(A98,NHT!B:F,5,FALSE)</f>
        <v>19.350000000000001</v>
      </c>
    </row>
    <row r="99" spans="1:20" x14ac:dyDescent="0.2">
      <c r="A99" t="s">
        <v>166</v>
      </c>
      <c r="B99" t="s">
        <v>59</v>
      </c>
      <c r="C99" t="s">
        <v>57</v>
      </c>
      <c r="D99" t="s">
        <v>57</v>
      </c>
      <c r="E99">
        <v>2900</v>
      </c>
      <c r="F99">
        <v>6.3915502998384301</v>
      </c>
      <c r="G99">
        <v>2.5566201199353702</v>
      </c>
      <c r="H99">
        <v>20.978875749596</v>
      </c>
      <c r="I99">
        <v>5.55</v>
      </c>
      <c r="J99">
        <v>0.84155029983843499</v>
      </c>
      <c r="K99">
        <v>2.20398286201325</v>
      </c>
      <c r="L99">
        <v>0.02</v>
      </c>
      <c r="M99">
        <v>0.14000000000000001</v>
      </c>
      <c r="N99">
        <v>1.2</v>
      </c>
      <c r="O99">
        <v>0</v>
      </c>
      <c r="P99" s="2" t="d">
        <v>2026-01-23</v>
      </c>
      <c r="Q99" t="s">
        <v>406</v>
      </c>
      <c r="R99">
        <f>IFERROR(VLOOKUP($A99,Actual!$A:$D,4,FALSE),IFERROR(VLOOKUP($A99,FC!$A:$AC,29,FALSE), "Not Found"))</f>
        <v>11.4</v>
      </c>
      <c r="S99">
        <f>IFERROR(VLOOKUP($A99,Actual!$A:$D,3,FALSE),"0")</f>
        <v>1.77E-2</v>
      </c>
      <c r="T99">
        <f>VLOOKUP(A99,NHT!B:F,5,FALSE)</f>
        <v>19.3</v>
      </c>
    </row>
    <row r="100" spans="1:20" x14ac:dyDescent="0.2">
      <c r="A100" t="s">
        <v>50</v>
      </c>
      <c r="B100" t="s">
        <v>39</v>
      </c>
      <c r="C100" t="s">
        <v>42</v>
      </c>
      <c r="D100" t="s">
        <v>42</v>
      </c>
      <c r="E100">
        <v>9500</v>
      </c>
      <c r="F100">
        <v>21.6654192031089</v>
      </c>
      <c r="G100">
        <v>8.6661676812435608</v>
      </c>
      <c r="H100">
        <v>59.163548007772199</v>
      </c>
      <c r="I100">
        <v>16.579999999999998</v>
      </c>
      <c r="J100">
        <v>5.08541920310891</v>
      </c>
      <c r="K100">
        <v>2.2805704424325102</v>
      </c>
      <c r="L100">
        <v>0.42857142857142799</v>
      </c>
      <c r="M100">
        <v>0.97619047619047605</v>
      </c>
      <c r="N100">
        <v>3.8333333333333299</v>
      </c>
      <c r="O100">
        <v>0.52380952380952295</v>
      </c>
      <c r="P100" s="2" t="d">
        <v>2026-01-23</v>
      </c>
      <c r="Q100" t="s">
        <v>406</v>
      </c>
      <c r="R100">
        <f>IFERROR(VLOOKUP($A100,Actual!$A:$D,4,FALSE),IFERROR(VLOOKUP($A100,FC!$A:$AC,29,FALSE), "Not Found"))</f>
        <v>18</v>
      </c>
      <c r="S100">
        <f>IFERROR(VLOOKUP($A100,Actual!$A:$D,3,FALSE),"0")</f>
        <v>5.4100000000000002E-2</v>
      </c>
      <c r="T100">
        <f>VLOOKUP(A100,NHT!B:F,5,FALSE)</f>
        <v>19.266666666667</v>
      </c>
    </row>
    <row r="101" spans="1:20" x14ac:dyDescent="0.2">
      <c r="A101" t="s">
        <v>273</v>
      </c>
      <c r="B101" t="s">
        <v>52</v>
      </c>
      <c r="C101" t="s">
        <v>57</v>
      </c>
      <c r="D101" t="s">
        <v>57</v>
      </c>
      <c r="E101">
        <v>2900</v>
      </c>
      <c r="F101">
        <v>6.4161495871724501</v>
      </c>
      <c r="G101">
        <v>2.5664598348689802</v>
      </c>
      <c r="H101">
        <v>21.040373967931099</v>
      </c>
      <c r="I101">
        <v>4.58</v>
      </c>
      <c r="J101">
        <v>1.83614958717245</v>
      </c>
      <c r="K101">
        <v>2.2124653748870502</v>
      </c>
      <c r="L101">
        <v>8.3333333333333301E-2</v>
      </c>
      <c r="M101">
        <v>0.16666666666666599</v>
      </c>
      <c r="N101">
        <v>0.875</v>
      </c>
      <c r="O101">
        <v>0</v>
      </c>
      <c r="P101" s="2" t="d">
        <v>2026-01-23</v>
      </c>
      <c r="Q101" t="s">
        <v>406</v>
      </c>
      <c r="R101">
        <f>IFERROR(VLOOKUP($A101,Actual!$A:$D,4,FALSE),IFERROR(VLOOKUP($A101,FC!$A:$AC,29,FALSE), "Not Found"))</f>
        <v>4.3</v>
      </c>
      <c r="S101">
        <f>IFERROR(VLOOKUP($A101,Actual!$A:$D,3,FALSE),"0")</f>
        <v>2.9999999999999997E-4</v>
      </c>
      <c r="T101">
        <f>VLOOKUP(A101,NHT!B:F,5,FALSE)</f>
        <v>19.266666666667</v>
      </c>
    </row>
    <row r="102" spans="1:20" x14ac:dyDescent="0.2">
      <c r="A102" t="s">
        <v>71</v>
      </c>
      <c r="B102" t="s">
        <v>409</v>
      </c>
      <c r="C102" t="s">
        <v>36</v>
      </c>
      <c r="D102" t="s">
        <v>410</v>
      </c>
      <c r="E102">
        <v>3500</v>
      </c>
      <c r="F102">
        <v>8.4791011072463007</v>
      </c>
      <c r="G102">
        <v>3.3916404428985198</v>
      </c>
      <c r="H102">
        <v>26.197752768115699</v>
      </c>
      <c r="I102">
        <v>6.78</v>
      </c>
      <c r="J102">
        <v>1.6991011072463</v>
      </c>
      <c r="K102">
        <v>2.4226003163560801</v>
      </c>
      <c r="L102">
        <v>0.29166666666666602</v>
      </c>
      <c r="M102">
        <v>0.27083333333333298</v>
      </c>
      <c r="N102">
        <v>1.1875</v>
      </c>
      <c r="O102">
        <v>0</v>
      </c>
      <c r="P102" s="2" t="d">
        <v>2026-01-23</v>
      </c>
      <c r="Q102" t="s">
        <v>406</v>
      </c>
      <c r="R102">
        <f>IFERROR(VLOOKUP($A102,Actual!$A:$D,4,FALSE),IFERROR(VLOOKUP($A102,FC!$A:$AC,29,FALSE), "Not Found"))</f>
        <v>10</v>
      </c>
      <c r="S102">
        <f>IFERROR(VLOOKUP($A102,Actual!$A:$D,3,FALSE),"0")</f>
        <v>9.2200000000000004E-2</v>
      </c>
      <c r="T102">
        <f>VLOOKUP(A102,NHT!B:F,5,FALSE)</f>
        <v>19.216666666666999</v>
      </c>
    </row>
    <row r="103" spans="1:20" x14ac:dyDescent="0.2">
      <c r="A103" t="s">
        <v>132</v>
      </c>
      <c r="B103" t="s">
        <v>56</v>
      </c>
      <c r="C103" t="s">
        <v>42</v>
      </c>
      <c r="D103" t="s">
        <v>410</v>
      </c>
      <c r="E103">
        <v>5100</v>
      </c>
      <c r="F103">
        <v>10.682627025662301</v>
      </c>
      <c r="G103">
        <v>4.2730508102649303</v>
      </c>
      <c r="H103">
        <v>31.706567564155801</v>
      </c>
      <c r="I103">
        <v>9.0500000000000007</v>
      </c>
      <c r="J103">
        <v>1.6326270256623301</v>
      </c>
      <c r="K103">
        <v>2.0946327501298598</v>
      </c>
      <c r="L103">
        <v>0.33333333333333298</v>
      </c>
      <c r="M103">
        <v>0.33333333333333298</v>
      </c>
      <c r="N103">
        <v>2.1875</v>
      </c>
      <c r="O103">
        <v>2.0833333333333301E-2</v>
      </c>
      <c r="P103" s="2" t="d">
        <v>2026-01-23</v>
      </c>
      <c r="Q103" t="s">
        <v>406</v>
      </c>
      <c r="R103">
        <f>IFERROR(VLOOKUP($A103,Actual!$A:$D,4,FALSE),IFERROR(VLOOKUP($A103,FC!$A:$AC,29,FALSE), "Not Found"))</f>
        <v>15.6</v>
      </c>
      <c r="S103">
        <f>IFERROR(VLOOKUP($A103,Actual!$A:$D,3,FALSE),"0")</f>
        <v>1.6799999999999999E-2</v>
      </c>
      <c r="T103">
        <f>VLOOKUP(A103,NHT!B:F,5,FALSE)</f>
        <v>19.2</v>
      </c>
    </row>
    <row r="104" spans="1:20" x14ac:dyDescent="0.2">
      <c r="A104" t="s">
        <v>252</v>
      </c>
      <c r="B104" t="s">
        <v>56</v>
      </c>
      <c r="C104" t="s">
        <v>57</v>
      </c>
      <c r="D104" t="s">
        <v>57</v>
      </c>
      <c r="E104">
        <v>6600</v>
      </c>
      <c r="F104">
        <v>15.636788101999199</v>
      </c>
      <c r="G104">
        <v>6.2547152407996798</v>
      </c>
      <c r="H104">
        <v>44.091970254998003</v>
      </c>
      <c r="I104">
        <v>12.92</v>
      </c>
      <c r="J104">
        <v>2.7167881019992102</v>
      </c>
      <c r="K104">
        <v>2.3692103184847202</v>
      </c>
      <c r="L104">
        <v>0.36734693877551</v>
      </c>
      <c r="M104">
        <v>0.36734693877551</v>
      </c>
      <c r="N104">
        <v>3.2857142857142798</v>
      </c>
      <c r="O104">
        <v>0.20408163265306101</v>
      </c>
      <c r="P104" s="2" t="d">
        <v>2026-01-23</v>
      </c>
      <c r="Q104" t="s">
        <v>406</v>
      </c>
      <c r="R104">
        <f>IFERROR(VLOOKUP($A104,Actual!$A:$D,4,FALSE),IFERROR(VLOOKUP($A104,FC!$A:$AC,29,FALSE), "Not Found"))</f>
        <v>5.6</v>
      </c>
      <c r="S104">
        <f>IFERROR(VLOOKUP($A104,Actual!$A:$D,3,FALSE),"0")</f>
        <v>8.5800000000000001E-2</v>
      </c>
      <c r="T104">
        <f>VLOOKUP(A104,NHT!B:F,5,FALSE)</f>
        <v>19.149999999999999</v>
      </c>
    </row>
    <row r="105" spans="1:20" x14ac:dyDescent="0.2">
      <c r="A105" t="s">
        <v>76</v>
      </c>
      <c r="B105" t="s">
        <v>61</v>
      </c>
      <c r="C105" t="s">
        <v>42</v>
      </c>
      <c r="D105" t="s">
        <v>42</v>
      </c>
      <c r="E105">
        <v>5800</v>
      </c>
      <c r="F105">
        <v>13.658023256017801</v>
      </c>
      <c r="G105">
        <v>5.46320930240715</v>
      </c>
      <c r="H105">
        <v>39.145058140044704</v>
      </c>
      <c r="I105">
        <v>10.130000000000001</v>
      </c>
      <c r="J105">
        <v>3.5280232560178901</v>
      </c>
      <c r="K105">
        <v>2.35483159586515</v>
      </c>
      <c r="L105">
        <v>0.36</v>
      </c>
      <c r="M105">
        <v>0.5</v>
      </c>
      <c r="N105">
        <v>2.52</v>
      </c>
      <c r="O105">
        <v>0.14000000000000001</v>
      </c>
      <c r="P105" s="2" t="d">
        <v>2026-01-23</v>
      </c>
      <c r="Q105" t="s">
        <v>406</v>
      </c>
      <c r="R105">
        <f>IFERROR(VLOOKUP($A105,Actual!$A:$D,4,FALSE),IFERROR(VLOOKUP($A105,FC!$A:$AC,29,FALSE), "Not Found"))</f>
        <v>13</v>
      </c>
      <c r="S105">
        <f>IFERROR(VLOOKUP($A105,Actual!$A:$D,3,FALSE),"0")</f>
        <v>4.8500000000000001E-2</v>
      </c>
      <c r="T105">
        <f>VLOOKUP(A105,NHT!B:F,5,FALSE)</f>
        <v>19.133333333332999</v>
      </c>
    </row>
    <row r="106" spans="1:20" x14ac:dyDescent="0.2">
      <c r="A106" t="s">
        <v>73</v>
      </c>
      <c r="B106" t="s">
        <v>74</v>
      </c>
      <c r="C106" t="s">
        <v>36</v>
      </c>
      <c r="D106" t="s">
        <v>408</v>
      </c>
      <c r="E106">
        <v>4700</v>
      </c>
      <c r="F106">
        <v>11.7524966182537</v>
      </c>
      <c r="G106">
        <v>4.7009986473014997</v>
      </c>
      <c r="H106">
        <v>34.381241545634403</v>
      </c>
      <c r="I106">
        <v>8.83</v>
      </c>
      <c r="J106">
        <v>2.9224966182537702</v>
      </c>
      <c r="K106">
        <v>2.5005311953731399</v>
      </c>
      <c r="L106">
        <v>0.36170212765957399</v>
      </c>
      <c r="M106">
        <v>0.29787234042553101</v>
      </c>
      <c r="N106">
        <v>2.2553191489361701</v>
      </c>
      <c r="O106">
        <v>0.27659574468085102</v>
      </c>
      <c r="P106" s="2" t="d">
        <v>2026-01-23</v>
      </c>
      <c r="Q106" t="s">
        <v>406</v>
      </c>
      <c r="R106">
        <f>IFERROR(VLOOKUP($A106,Actual!$A:$D,4,FALSE),IFERROR(VLOOKUP($A106,FC!$A:$AC,29,FALSE), "Not Found"))</f>
        <v>6.5</v>
      </c>
      <c r="S106">
        <f>IFERROR(VLOOKUP($A106,Actual!$A:$D,3,FALSE),"0")</f>
        <v>9.6699999999999994E-2</v>
      </c>
      <c r="T106">
        <f>VLOOKUP(A106,NHT!B:F,5,FALSE)</f>
        <v>19.083333333333002</v>
      </c>
    </row>
    <row r="107" spans="1:20" x14ac:dyDescent="0.2">
      <c r="A107" t="s">
        <v>298</v>
      </c>
      <c r="B107" t="s">
        <v>412</v>
      </c>
      <c r="C107" t="s">
        <v>42</v>
      </c>
      <c r="D107" t="s">
        <v>408</v>
      </c>
      <c r="E107">
        <v>3900</v>
      </c>
      <c r="F107">
        <v>10.577936738458501</v>
      </c>
      <c r="G107">
        <v>4.2311746953834097</v>
      </c>
      <c r="H107">
        <v>31.4448418461463</v>
      </c>
      <c r="I107">
        <v>7.89</v>
      </c>
      <c r="J107">
        <v>2.6879367384585402</v>
      </c>
      <c r="K107">
        <v>2.7122914713996198</v>
      </c>
      <c r="L107">
        <v>0.26</v>
      </c>
      <c r="M107">
        <v>0.32</v>
      </c>
      <c r="N107">
        <v>2</v>
      </c>
      <c r="O107">
        <v>0.12</v>
      </c>
      <c r="P107" s="2" t="d">
        <v>2026-01-23</v>
      </c>
      <c r="Q107" t="s">
        <v>406</v>
      </c>
      <c r="R107">
        <f>IFERROR(VLOOKUP($A107,Actual!$A:$D,4,FALSE),IFERROR(VLOOKUP($A107,FC!$A:$AC,29,FALSE), "Not Found"))</f>
        <v>1.3</v>
      </c>
      <c r="S107">
        <f>IFERROR(VLOOKUP($A107,Actual!$A:$D,3,FALSE),"0")</f>
        <v>2.0500000000000001E-2</v>
      </c>
      <c r="T107">
        <f>VLOOKUP(A107,NHT!B:F,5,FALSE)</f>
        <v>19.05</v>
      </c>
    </row>
    <row r="108" spans="1:20" x14ac:dyDescent="0.2">
      <c r="A108" t="s">
        <v>268</v>
      </c>
      <c r="B108" t="s">
        <v>117</v>
      </c>
      <c r="C108" t="s">
        <v>46</v>
      </c>
      <c r="D108" t="s">
        <v>408</v>
      </c>
      <c r="E108">
        <v>3100</v>
      </c>
      <c r="F108">
        <v>8.6272243872489103</v>
      </c>
      <c r="G108">
        <v>3.4508897548995598</v>
      </c>
      <c r="H108">
        <v>26.5680609681222</v>
      </c>
      <c r="I108">
        <v>6.66</v>
      </c>
      <c r="J108">
        <v>1.9672243872489099</v>
      </c>
      <c r="K108">
        <v>2.78297560878997</v>
      </c>
      <c r="L108">
        <v>0.2</v>
      </c>
      <c r="M108">
        <v>0.18</v>
      </c>
      <c r="N108">
        <v>1.82</v>
      </c>
      <c r="O108">
        <v>0.06</v>
      </c>
      <c r="P108" s="2" t="d">
        <v>2026-01-23</v>
      </c>
      <c r="Q108" t="s">
        <v>406</v>
      </c>
      <c r="R108">
        <f>IFERROR(VLOOKUP($A108,Actual!$A:$D,4,FALSE),IFERROR(VLOOKUP($A108,FC!$A:$AC,29,FALSE), "Not Found"))</f>
        <v>1.5</v>
      </c>
      <c r="S108">
        <f>IFERROR(VLOOKUP($A108,Actual!$A:$D,3,FALSE),"0")</f>
        <v>2.8000000000000001E-2</v>
      </c>
      <c r="T108">
        <f>VLOOKUP(A108,NHT!B:F,5,FALSE)</f>
        <v>18.983333333333</v>
      </c>
    </row>
    <row r="109" spans="1:20" x14ac:dyDescent="0.2">
      <c r="A109" t="s">
        <v>151</v>
      </c>
      <c r="B109" t="s">
        <v>409</v>
      </c>
      <c r="C109" t="s">
        <v>46</v>
      </c>
      <c r="D109" t="s">
        <v>410</v>
      </c>
      <c r="E109">
        <v>3600</v>
      </c>
      <c r="F109">
        <v>13.324027654979201</v>
      </c>
      <c r="G109">
        <v>5.3296110619916996</v>
      </c>
      <c r="H109">
        <v>38.310069137448103</v>
      </c>
      <c r="I109">
        <v>9.9499999999999993</v>
      </c>
      <c r="J109">
        <v>3.3740276549792698</v>
      </c>
      <c r="K109">
        <v>3.70111879304979</v>
      </c>
      <c r="L109">
        <v>0.58333333333333304</v>
      </c>
      <c r="M109">
        <v>8.3333333333333301E-2</v>
      </c>
      <c r="N109">
        <v>2.3333333333333299</v>
      </c>
      <c r="O109">
        <v>0.25</v>
      </c>
      <c r="P109" s="2" t="d">
        <v>2026-01-23</v>
      </c>
      <c r="Q109" t="s">
        <v>406</v>
      </c>
      <c r="R109">
        <f>IFERROR(VLOOKUP($A109,Actual!$A:$D,4,FALSE),IFERROR(VLOOKUP($A109,FC!$A:$AC,29,FALSE), "Not Found"))</f>
        <v>13</v>
      </c>
      <c r="S109">
        <f>IFERROR(VLOOKUP($A109,Actual!$A:$D,3,FALSE),"0")</f>
        <v>3.2800000000000003E-2</v>
      </c>
      <c r="T109">
        <f>VLOOKUP(A109,NHT!B:F,5,FALSE)</f>
        <v>18.916666666666998</v>
      </c>
    </row>
    <row r="110" spans="1:20" x14ac:dyDescent="0.2">
      <c r="A110" t="s">
        <v>128</v>
      </c>
      <c r="B110" t="s">
        <v>412</v>
      </c>
      <c r="C110" t="s">
        <v>42</v>
      </c>
      <c r="D110" t="s">
        <v>42</v>
      </c>
      <c r="E110">
        <v>8000</v>
      </c>
      <c r="F110">
        <v>17.559274707220101</v>
      </c>
      <c r="G110">
        <v>7.0237098828880402</v>
      </c>
      <c r="H110">
        <v>48.898186768050302</v>
      </c>
      <c r="I110">
        <v>13.27</v>
      </c>
      <c r="J110">
        <v>4.2892747072201196</v>
      </c>
      <c r="K110">
        <v>2.19490933840251</v>
      </c>
      <c r="L110">
        <v>0.34375</v>
      </c>
      <c r="M110">
        <v>0.625</v>
      </c>
      <c r="N110">
        <v>3.59375</v>
      </c>
      <c r="O110">
        <v>0.28125</v>
      </c>
      <c r="P110" s="2" t="d">
        <v>2026-01-23</v>
      </c>
      <c r="Q110" t="s">
        <v>406</v>
      </c>
      <c r="R110">
        <f>IFERROR(VLOOKUP($A110,Actual!$A:$D,4,FALSE),IFERROR(VLOOKUP($A110,FC!$A:$AC,29,FALSE), "Not Found"))</f>
        <v>10.8</v>
      </c>
      <c r="S110">
        <f>IFERROR(VLOOKUP($A110,Actual!$A:$D,3,FALSE),"0")</f>
        <v>9.9199999999999997E-2</v>
      </c>
      <c r="T110">
        <f>VLOOKUP(A110,NHT!B:F,5,FALSE)</f>
        <v>18.899999999999999</v>
      </c>
    </row>
    <row r="111" spans="1:20" x14ac:dyDescent="0.2">
      <c r="A111" t="s">
        <v>83</v>
      </c>
      <c r="B111" t="s">
        <v>64</v>
      </c>
      <c r="C111" t="s">
        <v>42</v>
      </c>
      <c r="D111" t="s">
        <v>42</v>
      </c>
      <c r="E111">
        <v>4700</v>
      </c>
      <c r="F111">
        <v>11.1552660723535</v>
      </c>
      <c r="G111">
        <v>4.4621064289414001</v>
      </c>
      <c r="H111">
        <v>32.888165180883803</v>
      </c>
      <c r="I111">
        <v>8.48</v>
      </c>
      <c r="J111">
        <v>2.6752660723535202</v>
      </c>
      <c r="K111">
        <v>2.3734608664581902</v>
      </c>
      <c r="L111">
        <v>0.28125</v>
      </c>
      <c r="M111">
        <v>0.34375</v>
      </c>
      <c r="N111">
        <v>2.09375</v>
      </c>
      <c r="O111">
        <v>6.25E-2</v>
      </c>
      <c r="P111" s="2" t="d">
        <v>2026-01-23</v>
      </c>
      <c r="Q111" t="s">
        <v>406</v>
      </c>
      <c r="R111">
        <f>IFERROR(VLOOKUP($A111,Actual!$A:$D,4,FALSE),IFERROR(VLOOKUP($A111,FC!$A:$AC,29,FALSE), "Not Found"))</f>
        <v>9.3000000000000007</v>
      </c>
      <c r="S111">
        <f>IFERROR(VLOOKUP($A111,Actual!$A:$D,3,FALSE),"0")</f>
        <v>7.1800000000000003E-2</v>
      </c>
      <c r="T111">
        <f>VLOOKUP(A111,NHT!B:F,5,FALSE)</f>
        <v>18.850000000000001</v>
      </c>
    </row>
    <row r="112" spans="1:20" x14ac:dyDescent="0.2">
      <c r="A112" t="s">
        <v>96</v>
      </c>
      <c r="B112" t="s">
        <v>61</v>
      </c>
      <c r="C112" t="s">
        <v>42</v>
      </c>
      <c r="D112" t="s">
        <v>408</v>
      </c>
      <c r="E112">
        <v>3200</v>
      </c>
      <c r="F112">
        <v>7.8729955960280797</v>
      </c>
      <c r="G112">
        <v>3.14919823841123</v>
      </c>
      <c r="H112">
        <v>24.682488990070201</v>
      </c>
      <c r="I112">
        <v>6.02</v>
      </c>
      <c r="J112">
        <v>1.8529955960280799</v>
      </c>
      <c r="K112">
        <v>2.4603111237587698</v>
      </c>
      <c r="L112">
        <v>0.125</v>
      </c>
      <c r="M112">
        <v>0.35416666666666602</v>
      </c>
      <c r="N112">
        <v>1.6041666666666601</v>
      </c>
      <c r="O112">
        <v>8.3333333333333301E-2</v>
      </c>
      <c r="P112" s="2" t="d">
        <v>2026-01-23</v>
      </c>
      <c r="Q112" t="s">
        <v>406</v>
      </c>
      <c r="R112">
        <f>IFERROR(VLOOKUP($A112,Actual!$A:$D,4,FALSE),IFERROR(VLOOKUP($A112,FC!$A:$AC,29,FALSE), "Not Found"))</f>
        <v>6.5</v>
      </c>
      <c r="S112">
        <f>IFERROR(VLOOKUP($A112,Actual!$A:$D,3,FALSE),"0")</f>
        <v>2.92E-2</v>
      </c>
      <c r="T112">
        <f>VLOOKUP(A112,NHT!B:F,5,FALSE)</f>
        <v>18.8</v>
      </c>
    </row>
    <row r="113" spans="1:20" x14ac:dyDescent="0.2">
      <c r="A113" t="s">
        <v>129</v>
      </c>
      <c r="B113" t="s">
        <v>64</v>
      </c>
      <c r="C113" t="s">
        <v>57</v>
      </c>
      <c r="D113" t="s">
        <v>57</v>
      </c>
      <c r="E113">
        <v>2500</v>
      </c>
      <c r="F113">
        <v>6.3339033250299401</v>
      </c>
      <c r="G113">
        <v>2.5335613300119699</v>
      </c>
      <c r="H113">
        <v>20.834758312574799</v>
      </c>
      <c r="I113">
        <v>5.01</v>
      </c>
      <c r="J113">
        <v>1.3239033250299399</v>
      </c>
      <c r="K113">
        <v>2.5335613300119699</v>
      </c>
      <c r="L113">
        <v>4.54545454545454E-2</v>
      </c>
      <c r="M113">
        <v>0.18181818181818099</v>
      </c>
      <c r="N113">
        <v>0.70454545454545403</v>
      </c>
      <c r="O113">
        <v>0</v>
      </c>
      <c r="P113" s="2" t="d">
        <v>2026-01-23</v>
      </c>
      <c r="Q113" t="s">
        <v>406</v>
      </c>
      <c r="R113">
        <f>IFERROR(VLOOKUP($A113,Actual!$A:$D,4,FALSE),IFERROR(VLOOKUP($A113,FC!$A:$AC,29,FALSE), "Not Found"))</f>
        <v>7.8</v>
      </c>
      <c r="S113">
        <f>IFERROR(VLOOKUP($A113,Actual!$A:$D,3,FALSE),"0")</f>
        <v>2.2000000000000001E-3</v>
      </c>
      <c r="T113">
        <f>VLOOKUP(A113,NHT!B:F,5,FALSE)</f>
        <v>18.783333333333001</v>
      </c>
    </row>
    <row r="114" spans="1:20" x14ac:dyDescent="0.2">
      <c r="A114" t="s">
        <v>94</v>
      </c>
      <c r="B114" t="s">
        <v>412</v>
      </c>
      <c r="C114" t="s">
        <v>36</v>
      </c>
      <c r="D114" t="s">
        <v>408</v>
      </c>
      <c r="E114">
        <v>2800</v>
      </c>
      <c r="F114">
        <v>7.6063716898887703</v>
      </c>
      <c r="G114">
        <v>3.0425486759555098</v>
      </c>
      <c r="H114">
        <v>24.015929224721901</v>
      </c>
      <c r="I114">
        <v>5.8</v>
      </c>
      <c r="J114">
        <v>1.8063716898887701</v>
      </c>
      <c r="K114">
        <v>2.7165613178174102</v>
      </c>
      <c r="L114">
        <v>0.209302325581395</v>
      </c>
      <c r="M114">
        <v>0.209302325581395</v>
      </c>
      <c r="N114">
        <v>1.37209302325581</v>
      </c>
      <c r="O114">
        <v>0</v>
      </c>
      <c r="P114" s="2" t="d">
        <v>2026-01-23</v>
      </c>
      <c r="Q114" t="s">
        <v>406</v>
      </c>
      <c r="R114">
        <f>IFERROR(VLOOKUP($A114,Actual!$A:$D,4,FALSE),IFERROR(VLOOKUP($A114,FC!$A:$AC,29,FALSE), "Not Found"))</f>
        <v>11.3</v>
      </c>
      <c r="S114">
        <f>IFERROR(VLOOKUP($A114,Actual!$A:$D,3,FALSE),"0")</f>
        <v>2.92E-2</v>
      </c>
      <c r="T114">
        <f>VLOOKUP(A114,NHT!B:F,5,FALSE)</f>
        <v>18.616666666667001</v>
      </c>
    </row>
    <row r="115" spans="1:20" x14ac:dyDescent="0.2">
      <c r="A115" t="s">
        <v>263</v>
      </c>
      <c r="B115" t="s">
        <v>59</v>
      </c>
      <c r="C115" t="s">
        <v>42</v>
      </c>
      <c r="D115" t="s">
        <v>42</v>
      </c>
      <c r="E115">
        <v>4200</v>
      </c>
      <c r="F115">
        <v>11.801812248977701</v>
      </c>
      <c r="G115">
        <v>4.7207248995910902</v>
      </c>
      <c r="H115">
        <v>34.5045306224443</v>
      </c>
      <c r="I115">
        <v>9.3699999999999992</v>
      </c>
      <c r="J115">
        <v>2.4318122489777299</v>
      </c>
      <c r="K115">
        <v>2.8099552973756499</v>
      </c>
      <c r="L115">
        <v>0.5</v>
      </c>
      <c r="M115">
        <v>0</v>
      </c>
      <c r="N115">
        <v>2.5</v>
      </c>
      <c r="O115">
        <v>0</v>
      </c>
      <c r="P115" s="2" t="d">
        <v>2026-01-23</v>
      </c>
      <c r="Q115" t="s">
        <v>406</v>
      </c>
      <c r="R115">
        <f>IFERROR(VLOOKUP($A115,Actual!$A:$D,4,FALSE),IFERROR(VLOOKUP($A115,FC!$A:$AC,29,FALSE), "Not Found"))</f>
        <v>3</v>
      </c>
      <c r="S115">
        <f>IFERROR(VLOOKUP($A115,Actual!$A:$D,3,FALSE),"0")</f>
        <v>1.5100000000000001E-2</v>
      </c>
      <c r="T115">
        <f>VLOOKUP(A115,NHT!B:F,5,FALSE)</f>
        <v>18.483333333333</v>
      </c>
    </row>
    <row r="116" spans="1:20" x14ac:dyDescent="0.2">
      <c r="A116" t="s">
        <v>170</v>
      </c>
      <c r="B116" t="s">
        <v>117</v>
      </c>
      <c r="C116" t="s">
        <v>42</v>
      </c>
      <c r="D116" t="s">
        <v>42</v>
      </c>
      <c r="E116">
        <v>5600</v>
      </c>
      <c r="F116">
        <v>13.0077411313335</v>
      </c>
      <c r="G116">
        <v>5.2030964525334102</v>
      </c>
      <c r="H116">
        <v>37.519352828333801</v>
      </c>
      <c r="I116">
        <v>9.33</v>
      </c>
      <c r="J116">
        <v>3.67774113133353</v>
      </c>
      <c r="K116">
        <v>2.3228109163095598</v>
      </c>
      <c r="L116">
        <v>0.18</v>
      </c>
      <c r="M116">
        <v>0.5</v>
      </c>
      <c r="N116">
        <v>2.82</v>
      </c>
      <c r="O116">
        <v>0.24</v>
      </c>
      <c r="P116" s="2" t="d">
        <v>2026-01-23</v>
      </c>
      <c r="Q116" t="s">
        <v>406</v>
      </c>
      <c r="R116">
        <f>IFERROR(VLOOKUP($A116,Actual!$A:$D,4,FALSE),IFERROR(VLOOKUP($A116,FC!$A:$AC,29,FALSE), "Not Found"))</f>
        <v>1.5</v>
      </c>
      <c r="S116">
        <f>IFERROR(VLOOKUP($A116,Actual!$A:$D,3,FALSE),"0")</f>
        <v>5.2699999999999997E-2</v>
      </c>
      <c r="T116">
        <f>VLOOKUP(A116,NHT!B:F,5,FALSE)</f>
        <v>18.433333333333</v>
      </c>
    </row>
    <row r="117" spans="1:20" x14ac:dyDescent="0.2">
      <c r="A117" t="s">
        <v>38</v>
      </c>
      <c r="B117" t="s">
        <v>39</v>
      </c>
      <c r="C117" t="s">
        <v>36</v>
      </c>
      <c r="D117" t="s">
        <v>408</v>
      </c>
      <c r="E117">
        <v>7600</v>
      </c>
      <c r="F117">
        <v>19.250559305360099</v>
      </c>
      <c r="G117">
        <v>7.7002237221440399</v>
      </c>
      <c r="H117">
        <v>53.126398263400198</v>
      </c>
      <c r="I117">
        <v>14.83</v>
      </c>
      <c r="J117">
        <v>4.42055930536009</v>
      </c>
      <c r="K117">
        <v>2.5329683296526402</v>
      </c>
      <c r="L117">
        <v>0.54545454545454497</v>
      </c>
      <c r="M117">
        <v>0.939393939393939</v>
      </c>
      <c r="N117">
        <v>2.3636363636363602</v>
      </c>
      <c r="O117">
        <v>0.63636363636363602</v>
      </c>
      <c r="P117" s="2" t="d">
        <v>2026-01-23</v>
      </c>
      <c r="Q117" t="s">
        <v>406</v>
      </c>
      <c r="R117">
        <f>IFERROR(VLOOKUP($A117,Actual!$A:$D,4,FALSE),IFERROR(VLOOKUP($A117,FC!$A:$AC,29,FALSE), "Not Found"))</f>
        <v>32.1</v>
      </c>
      <c r="S117">
        <f>IFERROR(VLOOKUP($A117,Actual!$A:$D,3,FALSE),"0")</f>
        <v>4.07E-2</v>
      </c>
      <c r="T117">
        <f>VLOOKUP(A117,NHT!B:F,5,FALSE)</f>
        <v>18.316666666667</v>
      </c>
    </row>
    <row r="118" spans="1:20" x14ac:dyDescent="0.2">
      <c r="A118" t="s">
        <v>119</v>
      </c>
      <c r="B118" t="s">
        <v>64</v>
      </c>
      <c r="C118" t="s">
        <v>42</v>
      </c>
      <c r="D118" t="s">
        <v>42</v>
      </c>
      <c r="E118">
        <v>3100</v>
      </c>
      <c r="F118">
        <v>5.9184880795739696</v>
      </c>
      <c r="G118">
        <v>2.3673952318295801</v>
      </c>
      <c r="H118">
        <v>19.7962201989349</v>
      </c>
      <c r="I118">
        <v>5.76</v>
      </c>
      <c r="J118">
        <v>0.15848807957397201</v>
      </c>
      <c r="K118">
        <v>1.90918970308837</v>
      </c>
      <c r="L118">
        <v>6.9767441860465101E-2</v>
      </c>
      <c r="M118">
        <v>0.30232558139534799</v>
      </c>
      <c r="N118">
        <v>1.02325581395348</v>
      </c>
      <c r="O118">
        <v>0</v>
      </c>
      <c r="P118" s="2" t="d">
        <v>2026-01-23</v>
      </c>
      <c r="Q118" t="s">
        <v>406</v>
      </c>
      <c r="R118">
        <f>IFERROR(VLOOKUP($A118,Actual!$A:$D,4,FALSE),IFERROR(VLOOKUP($A118,FC!$A:$AC,29,FALSE), "Not Found"))</f>
        <v>12</v>
      </c>
      <c r="S118">
        <f>IFERROR(VLOOKUP($A118,Actual!$A:$D,3,FALSE),"0")</f>
        <v>1.09E-2</v>
      </c>
      <c r="T118">
        <f>VLOOKUP(A118,NHT!B:F,5,FALSE)</f>
        <v>18.216666666666999</v>
      </c>
    </row>
    <row r="119" spans="1:20" x14ac:dyDescent="0.2">
      <c r="A119" t="s">
        <v>213</v>
      </c>
      <c r="B119" t="s">
        <v>148</v>
      </c>
      <c r="C119" t="s">
        <v>46</v>
      </c>
      <c r="D119" t="s">
        <v>408</v>
      </c>
      <c r="E119">
        <v>4600</v>
      </c>
      <c r="F119">
        <v>12.598405310373501</v>
      </c>
      <c r="G119">
        <v>5.0393621241494104</v>
      </c>
      <c r="H119">
        <v>36.496013275933798</v>
      </c>
      <c r="I119">
        <v>10.17</v>
      </c>
      <c r="J119">
        <v>2.4284053103735199</v>
      </c>
      <c r="K119">
        <v>2.7387837631246801</v>
      </c>
      <c r="L119">
        <v>0.51063829787234005</v>
      </c>
      <c r="M119">
        <v>0.29787234042553101</v>
      </c>
      <c r="N119">
        <v>2.2765957446808498</v>
      </c>
      <c r="O119">
        <v>0.340425531914893</v>
      </c>
      <c r="P119" s="2" t="d">
        <v>2026-01-23</v>
      </c>
      <c r="Q119" t="s">
        <v>406</v>
      </c>
      <c r="R119">
        <f>IFERROR(VLOOKUP($A119,Actual!$A:$D,4,FALSE),IFERROR(VLOOKUP($A119,FC!$A:$AC,29,FALSE), "Not Found"))</f>
        <v>4.3</v>
      </c>
      <c r="S119">
        <f>IFERROR(VLOOKUP($A119,Actual!$A:$D,3,FALSE),"0")</f>
        <v>1.7899999999999999E-2</v>
      </c>
      <c r="T119">
        <f>VLOOKUP(A119,NHT!B:F,5,FALSE)</f>
        <v>18.2</v>
      </c>
    </row>
    <row r="120" spans="1:20" x14ac:dyDescent="0.2">
      <c r="A120" t="s">
        <v>329</v>
      </c>
      <c r="B120" t="s">
        <v>56</v>
      </c>
      <c r="C120" t="s">
        <v>36</v>
      </c>
      <c r="D120" t="s">
        <v>408</v>
      </c>
      <c r="E120">
        <v>4900</v>
      </c>
      <c r="F120">
        <v>9.4388345176922197</v>
      </c>
      <c r="G120">
        <v>3.7755338070768798</v>
      </c>
      <c r="H120">
        <v>28.5970862942305</v>
      </c>
      <c r="I120">
        <v>7.64</v>
      </c>
      <c r="J120">
        <v>1.79883451769222</v>
      </c>
      <c r="K120">
        <v>1.9262927587126899</v>
      </c>
      <c r="L120">
        <v>0.22727272727272699</v>
      </c>
      <c r="M120">
        <v>0.43181818181818099</v>
      </c>
      <c r="N120">
        <v>1.9090909090909001</v>
      </c>
      <c r="O120">
        <v>0.18181818181818099</v>
      </c>
      <c r="P120" s="2" t="d">
        <v>2026-01-23</v>
      </c>
      <c r="Q120" t="s">
        <v>406</v>
      </c>
      <c r="R120">
        <f>IFERROR(VLOOKUP($A120,Actual!$A:$D,4,FALSE),IFERROR(VLOOKUP($A120,FC!$A:$AC,29,FALSE), "Not Found"))</f>
        <v>10.5</v>
      </c>
      <c r="S120">
        <f>IFERROR(VLOOKUP($A120,Actual!$A:$D,3,FALSE),"0")</f>
        <v>2.75E-2</v>
      </c>
      <c r="T120">
        <f>VLOOKUP(A120,NHT!B:F,5,FALSE)</f>
        <v>18.2</v>
      </c>
    </row>
    <row r="121" spans="1:20" x14ac:dyDescent="0.2">
      <c r="A121" t="s">
        <v>135</v>
      </c>
      <c r="B121" t="s">
        <v>59</v>
      </c>
      <c r="C121" t="s">
        <v>46</v>
      </c>
      <c r="D121" t="s">
        <v>410</v>
      </c>
      <c r="E121">
        <v>2700</v>
      </c>
      <c r="F121">
        <v>7.3564486346490803</v>
      </c>
      <c r="G121">
        <v>2.9425794538596302</v>
      </c>
      <c r="H121">
        <v>23.391121586622699</v>
      </c>
      <c r="I121">
        <v>5.42</v>
      </c>
      <c r="J121">
        <v>1.9364486346490799</v>
      </c>
      <c r="K121">
        <v>2.7246106054255801</v>
      </c>
      <c r="L121">
        <v>0.24</v>
      </c>
      <c r="M121">
        <v>0.14000000000000001</v>
      </c>
      <c r="N121">
        <v>1.44</v>
      </c>
      <c r="O121">
        <v>0</v>
      </c>
      <c r="P121" s="2" t="d">
        <v>2026-01-23</v>
      </c>
      <c r="Q121" t="s">
        <v>406</v>
      </c>
      <c r="R121">
        <f>IFERROR(VLOOKUP($A121,Actual!$A:$D,4,FALSE),IFERROR(VLOOKUP($A121,FC!$A:$AC,29,FALSE), "Not Found"))</f>
        <v>10</v>
      </c>
      <c r="S121">
        <f>IFERROR(VLOOKUP($A121,Actual!$A:$D,3,FALSE),"0")</f>
        <v>1.35E-2</v>
      </c>
      <c r="T121">
        <f>VLOOKUP(A121,NHT!B:F,5,FALSE)</f>
        <v>18.183333333333</v>
      </c>
    </row>
    <row r="122" spans="1:20" x14ac:dyDescent="0.2">
      <c r="A122" t="s">
        <v>308</v>
      </c>
      <c r="B122" t="s">
        <v>409</v>
      </c>
      <c r="C122" t="s">
        <v>46</v>
      </c>
      <c r="D122" t="s">
        <v>410</v>
      </c>
      <c r="E122">
        <v>5500</v>
      </c>
      <c r="F122">
        <v>12.545854851246601</v>
      </c>
      <c r="G122">
        <v>5.0183419404986402</v>
      </c>
      <c r="H122">
        <v>36.364637128116499</v>
      </c>
      <c r="I122">
        <v>9.76</v>
      </c>
      <c r="J122">
        <v>2.7858548512466101</v>
      </c>
      <c r="K122">
        <v>2.2810645184084701</v>
      </c>
      <c r="L122">
        <v>0.24444444444444399</v>
      </c>
      <c r="M122">
        <v>0.44444444444444398</v>
      </c>
      <c r="N122">
        <v>2.57777777777777</v>
      </c>
      <c r="O122">
        <v>0.266666666666666</v>
      </c>
      <c r="P122" s="2" t="d">
        <v>2026-01-23</v>
      </c>
      <c r="Q122" t="s">
        <v>406</v>
      </c>
      <c r="R122">
        <f>IFERROR(VLOOKUP($A122,Actual!$A:$D,4,FALSE),IFERROR(VLOOKUP($A122,FC!$A:$AC,29,FALSE), "Not Found"))</f>
        <v>4.3</v>
      </c>
      <c r="S122">
        <f>IFERROR(VLOOKUP($A122,Actual!$A:$D,3,FALSE),"0")</f>
        <v>1.5100000000000001E-2</v>
      </c>
      <c r="T122">
        <f>VLOOKUP(A122,NHT!B:F,5,FALSE)</f>
        <v>18.166666666666998</v>
      </c>
    </row>
    <row r="123" spans="1:20" x14ac:dyDescent="0.2">
      <c r="A123" t="s">
        <v>106</v>
      </c>
      <c r="B123" t="s">
        <v>56</v>
      </c>
      <c r="C123" t="s">
        <v>42</v>
      </c>
      <c r="D123" t="s">
        <v>42</v>
      </c>
      <c r="E123">
        <v>6500</v>
      </c>
      <c r="F123">
        <v>10.702532344885901</v>
      </c>
      <c r="G123">
        <v>4.2810129379543902</v>
      </c>
      <c r="H123">
        <v>31.756330862214899</v>
      </c>
      <c r="I123">
        <v>9.4700000000000006</v>
      </c>
      <c r="J123">
        <v>1.23253234488598</v>
      </c>
      <c r="K123">
        <v>1.6465434376747601</v>
      </c>
      <c r="L123">
        <v>0.265306122448979</v>
      </c>
      <c r="M123">
        <v>0.55102040816326503</v>
      </c>
      <c r="N123">
        <v>1.9591836734693799</v>
      </c>
      <c r="O123">
        <v>0.28571428571428498</v>
      </c>
      <c r="P123" s="2" t="d">
        <v>2026-01-23</v>
      </c>
      <c r="Q123" t="s">
        <v>406</v>
      </c>
      <c r="R123">
        <f>IFERROR(VLOOKUP($A123,Actual!$A:$D,4,FALSE),IFERROR(VLOOKUP($A123,FC!$A:$AC,29,FALSE), "Not Found"))</f>
        <v>12.3</v>
      </c>
      <c r="S123">
        <f>IFERROR(VLOOKUP($A123,Actual!$A:$D,3,FALSE),"0")</f>
        <v>3.5000000000000003E-2</v>
      </c>
      <c r="T123">
        <f>VLOOKUP(A123,NHT!B:F,5,FALSE)</f>
        <v>18.116666666667001</v>
      </c>
    </row>
    <row r="124" spans="1:20" x14ac:dyDescent="0.2">
      <c r="A124" t="s">
        <v>159</v>
      </c>
      <c r="B124" t="s">
        <v>48</v>
      </c>
      <c r="C124" t="s">
        <v>57</v>
      </c>
      <c r="D124" t="s">
        <v>57</v>
      </c>
      <c r="E124">
        <v>4600</v>
      </c>
      <c r="F124">
        <v>12.923772578509499</v>
      </c>
      <c r="G124">
        <v>5.1695090314038099</v>
      </c>
      <c r="H124">
        <v>37.309431446273798</v>
      </c>
      <c r="I124">
        <v>8.67</v>
      </c>
      <c r="J124">
        <v>4.2537725785095404</v>
      </c>
      <c r="K124">
        <v>2.8095157779368498</v>
      </c>
      <c r="L124">
        <v>0.16666666666666599</v>
      </c>
      <c r="M124">
        <v>0.35416666666666602</v>
      </c>
      <c r="N124">
        <v>2.2916666666666599</v>
      </c>
      <c r="O124">
        <v>2.0833333333333301E-2</v>
      </c>
      <c r="P124" s="2" t="d">
        <v>2026-01-23</v>
      </c>
      <c r="Q124" t="s">
        <v>406</v>
      </c>
      <c r="R124">
        <f>IFERROR(VLOOKUP($A124,Actual!$A:$D,4,FALSE),IFERROR(VLOOKUP($A124,FC!$A:$AC,29,FALSE), "Not Found"))</f>
        <v>1.5</v>
      </c>
      <c r="S124">
        <f>IFERROR(VLOOKUP($A124,Actual!$A:$D,3,FALSE),"0")</f>
        <v>4.8800000000000003E-2</v>
      </c>
      <c r="T124">
        <f>VLOOKUP(A124,NHT!B:F,5,FALSE)</f>
        <v>17.899999999999999</v>
      </c>
    </row>
    <row r="125" spans="1:20" x14ac:dyDescent="0.2">
      <c r="A125" t="s">
        <v>145</v>
      </c>
      <c r="B125" t="s">
        <v>74</v>
      </c>
      <c r="C125" t="s">
        <v>42</v>
      </c>
      <c r="D125" t="s">
        <v>42</v>
      </c>
      <c r="E125">
        <v>4400</v>
      </c>
      <c r="F125">
        <v>10.1877144792227</v>
      </c>
      <c r="G125">
        <v>4.0750857916890997</v>
      </c>
      <c r="H125">
        <v>30.469286198056899</v>
      </c>
      <c r="I125">
        <v>8.35</v>
      </c>
      <c r="J125">
        <v>1.83771447922277</v>
      </c>
      <c r="K125">
        <v>2.3153896543688099</v>
      </c>
      <c r="L125">
        <v>0.22448979591836701</v>
      </c>
      <c r="M125">
        <v>0.42857142857142799</v>
      </c>
      <c r="N125">
        <v>1.8979591836734599</v>
      </c>
      <c r="O125">
        <v>0.20408163265306101</v>
      </c>
      <c r="P125" s="2" t="d">
        <v>2026-01-23</v>
      </c>
      <c r="Q125" t="s">
        <v>406</v>
      </c>
      <c r="R125">
        <f>IFERROR(VLOOKUP($A125,Actual!$A:$D,4,FALSE),IFERROR(VLOOKUP($A125,FC!$A:$AC,29,FALSE), "Not Found"))</f>
        <v>7.8</v>
      </c>
      <c r="S125">
        <f>IFERROR(VLOOKUP($A125,Actual!$A:$D,3,FALSE),"0")</f>
        <v>0.15140000000000001</v>
      </c>
      <c r="T125">
        <f>VLOOKUP(A125,NHT!B:F,5,FALSE)</f>
        <v>17.850000000000001</v>
      </c>
    </row>
    <row r="126" spans="1:20" x14ac:dyDescent="0.2">
      <c r="A126" t="s">
        <v>182</v>
      </c>
      <c r="B126" t="s">
        <v>48</v>
      </c>
      <c r="C126" t="s">
        <v>57</v>
      </c>
      <c r="D126" t="s">
        <v>57</v>
      </c>
      <c r="E126">
        <v>3700</v>
      </c>
      <c r="F126">
        <v>9.9181692940776394</v>
      </c>
      <c r="G126">
        <v>3.9672677176310498</v>
      </c>
      <c r="H126">
        <v>29.7954232351941</v>
      </c>
      <c r="I126">
        <v>7.26</v>
      </c>
      <c r="J126">
        <v>2.65816929407764</v>
      </c>
      <c r="K126">
        <v>2.68058629569666</v>
      </c>
      <c r="L126">
        <v>8.3333333333333301E-2</v>
      </c>
      <c r="M126">
        <v>0.35416666666666602</v>
      </c>
      <c r="N126">
        <v>1.5416666666666601</v>
      </c>
      <c r="O126">
        <v>0</v>
      </c>
      <c r="P126" s="2" t="d">
        <v>2026-01-23</v>
      </c>
      <c r="Q126" t="s">
        <v>406</v>
      </c>
      <c r="R126">
        <f>IFERROR(VLOOKUP($A126,Actual!$A:$D,4,FALSE),IFERROR(VLOOKUP($A126,FC!$A:$AC,29,FALSE), "Not Found"))</f>
        <v>3</v>
      </c>
      <c r="S126">
        <f>IFERROR(VLOOKUP($A126,Actual!$A:$D,3,FALSE),"0")</f>
        <v>3.5000000000000003E-2</v>
      </c>
      <c r="T126">
        <f>VLOOKUP(A126,NHT!B:F,5,FALSE)</f>
        <v>17.833333333333002</v>
      </c>
    </row>
    <row r="127" spans="1:20" x14ac:dyDescent="0.2">
      <c r="A127" t="s">
        <v>72</v>
      </c>
      <c r="B127" t="s">
        <v>56</v>
      </c>
      <c r="C127" t="s">
        <v>46</v>
      </c>
      <c r="D127" t="s">
        <v>410</v>
      </c>
      <c r="E127">
        <v>7500</v>
      </c>
      <c r="F127">
        <v>13.097736265785899</v>
      </c>
      <c r="G127">
        <v>5.2390945063143901</v>
      </c>
      <c r="H127">
        <v>37.7443406644649</v>
      </c>
      <c r="I127">
        <v>10.26</v>
      </c>
      <c r="J127">
        <v>2.8377362657859799</v>
      </c>
      <c r="K127">
        <v>1.74636483543813</v>
      </c>
      <c r="L127">
        <v>0.39215686274509798</v>
      </c>
      <c r="M127">
        <v>0.45098039215686198</v>
      </c>
      <c r="N127">
        <v>2.70588235294117</v>
      </c>
      <c r="O127">
        <v>0.25490196078431299</v>
      </c>
      <c r="P127" s="2" t="d">
        <v>2026-01-23</v>
      </c>
      <c r="Q127" t="s">
        <v>406</v>
      </c>
      <c r="R127">
        <f>IFERROR(VLOOKUP($A127,Actual!$A:$D,4,FALSE),IFERROR(VLOOKUP($A127,FC!$A:$AC,29,FALSE), "Not Found"))</f>
        <v>20.5</v>
      </c>
      <c r="S127">
        <f>IFERROR(VLOOKUP($A127,Actual!$A:$D,3,FALSE),"0")</f>
        <v>3.7600000000000001E-2</v>
      </c>
      <c r="T127">
        <f>VLOOKUP(A127,NHT!B:F,5,FALSE)</f>
        <v>17.816666666667</v>
      </c>
    </row>
    <row r="128" spans="1:20" x14ac:dyDescent="0.2">
      <c r="A128" t="s">
        <v>332</v>
      </c>
      <c r="B128" t="s">
        <v>48</v>
      </c>
      <c r="C128" t="s">
        <v>57</v>
      </c>
      <c r="D128" t="s">
        <v>57</v>
      </c>
      <c r="E128">
        <v>4200</v>
      </c>
      <c r="F128">
        <v>11.1973590390814</v>
      </c>
      <c r="G128">
        <v>4.4789436156325904</v>
      </c>
      <c r="H128">
        <v>32.993397597703598</v>
      </c>
      <c r="I128">
        <v>7.65</v>
      </c>
      <c r="J128">
        <v>3.5473590390814702</v>
      </c>
      <c r="K128">
        <v>2.66603786644797</v>
      </c>
      <c r="L128">
        <v>6.25E-2</v>
      </c>
      <c r="M128">
        <v>0.4375</v>
      </c>
      <c r="N128">
        <v>1.8958333333333299</v>
      </c>
      <c r="O128">
        <v>2.0833333333333301E-2</v>
      </c>
      <c r="P128" s="2" t="d">
        <v>2026-01-23</v>
      </c>
      <c r="Q128" t="s">
        <v>406</v>
      </c>
      <c r="R128">
        <f>IFERROR(VLOOKUP($A128,Actual!$A:$D,4,FALSE),IFERROR(VLOOKUP($A128,FC!$A:$AC,29,FALSE), "Not Found"))</f>
        <v>4.3</v>
      </c>
      <c r="S128">
        <f>IFERROR(VLOOKUP($A128,Actual!$A:$D,3,FALSE),"0")</f>
        <v>4.3999999999999997E-2</v>
      </c>
      <c r="T128">
        <f>VLOOKUP(A128,NHT!B:F,5,FALSE)</f>
        <v>17.783333333333001</v>
      </c>
    </row>
    <row r="129" spans="1:20" x14ac:dyDescent="0.2">
      <c r="A129" t="s">
        <v>49</v>
      </c>
      <c r="B129" t="s">
        <v>39</v>
      </c>
      <c r="C129" t="s">
        <v>46</v>
      </c>
      <c r="D129" t="s">
        <v>410</v>
      </c>
      <c r="E129">
        <v>4000</v>
      </c>
      <c r="F129">
        <v>9.6251417586006305</v>
      </c>
      <c r="G129">
        <v>3.85005670344025</v>
      </c>
      <c r="H129">
        <v>29.0628543965015</v>
      </c>
      <c r="I129">
        <v>7.22</v>
      </c>
      <c r="J129">
        <v>2.4051417586006298</v>
      </c>
      <c r="K129">
        <v>2.4062854396501501</v>
      </c>
      <c r="L129">
        <v>0.24489795918367299</v>
      </c>
      <c r="M129">
        <v>0.42857142857142799</v>
      </c>
      <c r="N129">
        <v>1.46938775510204</v>
      </c>
      <c r="O129">
        <v>4.08163265306122E-2</v>
      </c>
      <c r="P129" s="2" t="d">
        <v>2026-01-23</v>
      </c>
      <c r="Q129" t="s">
        <v>406</v>
      </c>
      <c r="R129">
        <f>IFERROR(VLOOKUP($A129,Actual!$A:$D,4,FALSE),IFERROR(VLOOKUP($A129,FC!$A:$AC,29,FALSE), "Not Found"))</f>
        <v>12.8</v>
      </c>
      <c r="S129">
        <f>IFERROR(VLOOKUP($A129,Actual!$A:$D,3,FALSE),"0")</f>
        <v>1.7100000000000001E-2</v>
      </c>
      <c r="T129">
        <f>VLOOKUP(A129,NHT!B:F,5,FALSE)</f>
        <v>17.783333333333001</v>
      </c>
    </row>
    <row r="130" spans="1:20" x14ac:dyDescent="0.2">
      <c r="A130" t="s">
        <v>283</v>
      </c>
      <c r="B130" t="s">
        <v>85</v>
      </c>
      <c r="C130" t="s">
        <v>57</v>
      </c>
      <c r="D130" t="s">
        <v>57</v>
      </c>
      <c r="E130">
        <v>2700</v>
      </c>
      <c r="F130">
        <v>6.8307912817562597</v>
      </c>
      <c r="G130">
        <v>2.7323165127025</v>
      </c>
      <c r="H130">
        <v>22.076978204390599</v>
      </c>
      <c r="I130">
        <v>4.7699999999999996</v>
      </c>
      <c r="J130">
        <v>2.0607912817562601</v>
      </c>
      <c r="K130">
        <v>2.5299226969467599</v>
      </c>
      <c r="L130">
        <v>7.3170731707316999E-2</v>
      </c>
      <c r="M130">
        <v>0.146341463414634</v>
      </c>
      <c r="N130">
        <v>1.0243902439024299</v>
      </c>
      <c r="O130">
        <v>0</v>
      </c>
      <c r="P130" s="2" t="d">
        <v>2026-01-23</v>
      </c>
      <c r="Q130" t="s">
        <v>406</v>
      </c>
      <c r="R130">
        <f>IFERROR(VLOOKUP($A130,Actual!$A:$D,4,FALSE),IFERROR(VLOOKUP($A130,FC!$A:$AC,29,FALSE), "Not Found"))</f>
        <v>2.8</v>
      </c>
      <c r="S130">
        <f>IFERROR(VLOOKUP($A130,Actual!$A:$D,3,FALSE),"0")</f>
        <v>3.0999999999999999E-3</v>
      </c>
      <c r="T130">
        <f>VLOOKUP(A130,NHT!B:F,5,FALSE)</f>
        <v>17.75</v>
      </c>
    </row>
    <row r="131" spans="1:20" x14ac:dyDescent="0.2">
      <c r="A131" t="s">
        <v>88</v>
      </c>
      <c r="B131" t="s">
        <v>35</v>
      </c>
      <c r="C131" t="s">
        <v>42</v>
      </c>
      <c r="D131" t="s">
        <v>42</v>
      </c>
      <c r="E131">
        <v>3500</v>
      </c>
      <c r="F131">
        <v>7.5918339777344901</v>
      </c>
      <c r="G131">
        <v>3.0367335910937898</v>
      </c>
      <c r="H131">
        <v>23.979584944336199</v>
      </c>
      <c r="I131">
        <v>6.42</v>
      </c>
      <c r="J131">
        <v>1.1718339777344899</v>
      </c>
      <c r="K131">
        <v>2.1690954222098502</v>
      </c>
      <c r="L131">
        <v>0.10416666666666601</v>
      </c>
      <c r="M131">
        <v>0.41666666666666602</v>
      </c>
      <c r="N131">
        <v>1.5833333333333299</v>
      </c>
      <c r="O131">
        <v>2.0833333333333301E-2</v>
      </c>
      <c r="P131" s="2" t="d">
        <v>2026-01-23</v>
      </c>
      <c r="Q131" t="s">
        <v>406</v>
      </c>
      <c r="R131">
        <f>IFERROR(VLOOKUP($A131,Actual!$A:$D,4,FALSE),IFERROR(VLOOKUP($A131,FC!$A:$AC,29,FALSE), "Not Found"))</f>
        <v>7.8</v>
      </c>
      <c r="S131">
        <f>IFERROR(VLOOKUP($A131,Actual!$A:$D,3,FALSE),"0")</f>
        <v>4.1999999999999997E-3</v>
      </c>
      <c r="T131">
        <f>VLOOKUP(A131,NHT!B:F,5,FALSE)</f>
        <v>17.616666666667001</v>
      </c>
    </row>
    <row r="132" spans="1:20" x14ac:dyDescent="0.2">
      <c r="A132" t="s">
        <v>254</v>
      </c>
      <c r="B132" t="s">
        <v>48</v>
      </c>
      <c r="C132" t="s">
        <v>57</v>
      </c>
      <c r="D132" t="s">
        <v>57</v>
      </c>
      <c r="E132">
        <v>2800</v>
      </c>
      <c r="F132">
        <v>7.4691546054579199</v>
      </c>
      <c r="G132">
        <v>2.9876618421831602</v>
      </c>
      <c r="H132">
        <v>23.672886513644801</v>
      </c>
      <c r="I132">
        <v>4.7</v>
      </c>
      <c r="J132">
        <v>2.7691546054579201</v>
      </c>
      <c r="K132">
        <v>2.6675552162349701</v>
      </c>
      <c r="L132">
        <v>9.0909090909090898E-2</v>
      </c>
      <c r="M132">
        <v>0.24242424242424199</v>
      </c>
      <c r="N132">
        <v>0.78787878787878696</v>
      </c>
      <c r="O132">
        <v>0</v>
      </c>
      <c r="P132" s="2" t="d">
        <v>2026-01-23</v>
      </c>
      <c r="Q132" t="s">
        <v>406</v>
      </c>
      <c r="R132">
        <f>IFERROR(VLOOKUP($A132,Actual!$A:$D,4,FALSE),IFERROR(VLOOKUP($A132,FC!$A:$AC,29,FALSE), "Not Found"))</f>
        <v>3</v>
      </c>
      <c r="S132">
        <f>IFERROR(VLOOKUP($A132,Actual!$A:$D,3,FALSE),"0")</f>
        <v>1.8499999999999999E-2</v>
      </c>
      <c r="T132">
        <f>VLOOKUP(A132,NHT!B:F,5,FALSE)</f>
        <v>17.600000000000001</v>
      </c>
    </row>
    <row r="133" spans="1:20" x14ac:dyDescent="0.2">
      <c r="A133" t="s">
        <v>99</v>
      </c>
      <c r="B133" t="s">
        <v>59</v>
      </c>
      <c r="C133" t="s">
        <v>57</v>
      </c>
      <c r="D133" t="s">
        <v>57</v>
      </c>
      <c r="E133">
        <v>2800</v>
      </c>
      <c r="F133">
        <v>5.7235546850594998</v>
      </c>
      <c r="G133">
        <v>2.2894218740237999</v>
      </c>
      <c r="H133">
        <v>19.3088867126487</v>
      </c>
      <c r="I133">
        <v>5.0199999999999996</v>
      </c>
      <c r="J133">
        <v>0.70355468505950902</v>
      </c>
      <c r="K133">
        <v>2.0441266732355299</v>
      </c>
      <c r="L133">
        <v>0.02</v>
      </c>
      <c r="M133">
        <v>0.16</v>
      </c>
      <c r="N133">
        <v>0.82</v>
      </c>
      <c r="O133">
        <v>0</v>
      </c>
      <c r="P133" s="2" t="d">
        <v>2026-01-23</v>
      </c>
      <c r="Q133" t="s">
        <v>406</v>
      </c>
      <c r="R133">
        <f>IFERROR(VLOOKUP($A133,Actual!$A:$D,4,FALSE),IFERROR(VLOOKUP($A133,FC!$A:$AC,29,FALSE), "Not Found"))</f>
        <v>12.1</v>
      </c>
      <c r="S133">
        <f>IFERROR(VLOOKUP($A133,Actual!$A:$D,3,FALSE),"0")</f>
        <v>5.0000000000000001E-3</v>
      </c>
      <c r="T133">
        <f>VLOOKUP(A133,NHT!B:F,5,FALSE)</f>
        <v>17.566666666667</v>
      </c>
    </row>
    <row r="134" spans="1:20" x14ac:dyDescent="0.2">
      <c r="A134" t="s">
        <v>191</v>
      </c>
      <c r="B134" t="s">
        <v>148</v>
      </c>
      <c r="C134" t="s">
        <v>57</v>
      </c>
      <c r="D134" t="s">
        <v>57</v>
      </c>
      <c r="E134">
        <v>2700</v>
      </c>
      <c r="F134">
        <v>5.67582407306565</v>
      </c>
      <c r="G134">
        <v>2.2703296292262598</v>
      </c>
      <c r="H134">
        <v>19.189560182664099</v>
      </c>
      <c r="I134">
        <v>4.84</v>
      </c>
      <c r="J134">
        <v>0.83582407306564999</v>
      </c>
      <c r="K134">
        <v>2.10215706409838</v>
      </c>
      <c r="L134">
        <v>0.04</v>
      </c>
      <c r="M134">
        <v>0.14000000000000001</v>
      </c>
      <c r="N134">
        <v>0.9</v>
      </c>
      <c r="O134">
        <v>0</v>
      </c>
      <c r="P134" s="2" t="d">
        <v>2026-01-23</v>
      </c>
      <c r="Q134" t="s">
        <v>406</v>
      </c>
      <c r="R134">
        <f>IFERROR(VLOOKUP($A134,Actual!$A:$D,4,FALSE),IFERROR(VLOOKUP($A134,FC!$A:$AC,29,FALSE), "Not Found"))</f>
        <v>6.9</v>
      </c>
      <c r="S134">
        <f>IFERROR(VLOOKUP($A134,Actual!$A:$D,3,FALSE),"0")</f>
        <v>2.8E-3</v>
      </c>
      <c r="T134">
        <f>VLOOKUP(A134,NHT!B:F,5,FALSE)</f>
        <v>17.566666666667</v>
      </c>
    </row>
    <row r="135" spans="1:20" x14ac:dyDescent="0.2">
      <c r="A135" t="s">
        <v>186</v>
      </c>
      <c r="B135" t="s">
        <v>74</v>
      </c>
      <c r="C135" t="s">
        <v>57</v>
      </c>
      <c r="D135" t="s">
        <v>57</v>
      </c>
      <c r="E135">
        <v>3500</v>
      </c>
      <c r="F135">
        <v>7.0177464729242303</v>
      </c>
      <c r="G135">
        <v>2.8070985891696898</v>
      </c>
      <c r="H135">
        <v>22.544366182310501</v>
      </c>
      <c r="I135">
        <v>7.3</v>
      </c>
      <c r="J135">
        <v>-0.28225352707576701</v>
      </c>
      <c r="K135">
        <v>2.0050704208354899</v>
      </c>
      <c r="L135">
        <v>8.16326530612244E-2</v>
      </c>
      <c r="M135">
        <v>0.14285714285714199</v>
      </c>
      <c r="N135">
        <v>1.1428571428571399</v>
      </c>
      <c r="O135">
        <v>0</v>
      </c>
      <c r="P135" s="2" t="d">
        <v>2026-01-23</v>
      </c>
      <c r="Q135" t="s">
        <v>406</v>
      </c>
      <c r="R135">
        <f>IFERROR(VLOOKUP($A135,Actual!$A:$D,4,FALSE),IFERROR(VLOOKUP($A135,FC!$A:$AC,29,FALSE), "Not Found"))</f>
        <v>1.3</v>
      </c>
      <c r="S135">
        <f>IFERROR(VLOOKUP($A135,Actual!$A:$D,3,FALSE),"0")</f>
        <v>1.6299999999999999E-2</v>
      </c>
      <c r="T135">
        <f>VLOOKUP(A135,NHT!B:F,5,FALSE)</f>
        <v>17.566666666667</v>
      </c>
    </row>
    <row r="136" spans="1:20" x14ac:dyDescent="0.2">
      <c r="A136" t="s">
        <v>195</v>
      </c>
      <c r="B136" t="s">
        <v>39</v>
      </c>
      <c r="C136" t="s">
        <v>42</v>
      </c>
      <c r="D136" t="s">
        <v>42</v>
      </c>
      <c r="E136">
        <v>6100</v>
      </c>
      <c r="F136">
        <v>15.3282134185202</v>
      </c>
      <c r="G136">
        <v>6.1312853674081103</v>
      </c>
      <c r="H136">
        <v>43.320533546300702</v>
      </c>
      <c r="I136">
        <v>11.64</v>
      </c>
      <c r="J136">
        <v>3.68821341852028</v>
      </c>
      <c r="K136">
        <v>2.51282187188857</v>
      </c>
      <c r="L136">
        <v>0.42857142857142799</v>
      </c>
      <c r="M136">
        <v>0.46938775510204001</v>
      </c>
      <c r="N136">
        <v>2.75510204081632</v>
      </c>
      <c r="O136">
        <v>0.38775510204081598</v>
      </c>
      <c r="P136" s="2" t="d">
        <v>2026-01-23</v>
      </c>
      <c r="Q136" t="s">
        <v>406</v>
      </c>
      <c r="R136">
        <f>IFERROR(VLOOKUP($A136,Actual!$A:$D,4,FALSE),IFERROR(VLOOKUP($A136,FC!$A:$AC,29,FALSE), "Not Found"))</f>
        <v>3</v>
      </c>
      <c r="S136">
        <f>IFERROR(VLOOKUP($A136,Actual!$A:$D,3,FALSE),"0")</f>
        <v>4.9099999999999998E-2</v>
      </c>
      <c r="T136">
        <f>VLOOKUP(A136,NHT!B:F,5,FALSE)</f>
        <v>17.416666666666998</v>
      </c>
    </row>
    <row r="137" spans="1:20" x14ac:dyDescent="0.2">
      <c r="A137" t="s">
        <v>238</v>
      </c>
      <c r="B137" t="s">
        <v>39</v>
      </c>
      <c r="C137" t="s">
        <v>36</v>
      </c>
      <c r="D137" t="s">
        <v>42</v>
      </c>
      <c r="E137">
        <v>6300</v>
      </c>
      <c r="F137">
        <v>13.5793164411358</v>
      </c>
      <c r="G137">
        <v>5.4317265764543503</v>
      </c>
      <c r="H137">
        <v>38.948291102839597</v>
      </c>
      <c r="I137">
        <v>10.5</v>
      </c>
      <c r="J137">
        <v>3.07931644113587</v>
      </c>
      <c r="K137">
        <v>2.1554470541485502</v>
      </c>
      <c r="L137">
        <v>0.24489795918367299</v>
      </c>
      <c r="M137">
        <v>0.81632653061224403</v>
      </c>
      <c r="N137">
        <v>1.9591836734693799</v>
      </c>
      <c r="O137">
        <v>0.32653061224489699</v>
      </c>
      <c r="P137" s="2" t="d">
        <v>2026-01-23</v>
      </c>
      <c r="Q137" t="s">
        <v>406</v>
      </c>
      <c r="R137">
        <f>IFERROR(VLOOKUP($A137,Actual!$A:$D,4,FALSE),IFERROR(VLOOKUP($A137,FC!$A:$AC,29,FALSE), "Not Found"))</f>
        <v>1.5</v>
      </c>
      <c r="S137">
        <f>IFERROR(VLOOKUP($A137,Actual!$A:$D,3,FALSE),"0")</f>
        <v>6.1100000000000002E-2</v>
      </c>
      <c r="T137">
        <f>VLOOKUP(A137,NHT!B:F,5,FALSE)</f>
        <v>17.416666666666998</v>
      </c>
    </row>
    <row r="138" spans="1:20" x14ac:dyDescent="0.2">
      <c r="A138" t="s">
        <v>144</v>
      </c>
      <c r="B138" t="s">
        <v>61</v>
      </c>
      <c r="C138" t="s">
        <v>42</v>
      </c>
      <c r="D138" t="s">
        <v>410</v>
      </c>
      <c r="E138">
        <v>4200</v>
      </c>
      <c r="F138">
        <v>9.7621173062928595</v>
      </c>
      <c r="G138">
        <v>3.9048469225171401</v>
      </c>
      <c r="H138">
        <v>29.405293265732102</v>
      </c>
      <c r="I138">
        <v>7.39</v>
      </c>
      <c r="J138">
        <v>2.3721173062928602</v>
      </c>
      <c r="K138">
        <v>2.3243136443554402</v>
      </c>
      <c r="L138">
        <v>0.30612244897959101</v>
      </c>
      <c r="M138">
        <v>0.20408163265306101</v>
      </c>
      <c r="N138">
        <v>1.9591836734693799</v>
      </c>
      <c r="O138">
        <v>6.1224489795918297E-2</v>
      </c>
      <c r="P138" s="2" t="d">
        <v>2026-01-23</v>
      </c>
      <c r="Q138" t="s">
        <v>406</v>
      </c>
      <c r="R138">
        <f>IFERROR(VLOOKUP($A138,Actual!$A:$D,4,FALSE),IFERROR(VLOOKUP($A138,FC!$A:$AC,29,FALSE), "Not Found"))</f>
        <v>14.5</v>
      </c>
      <c r="S138">
        <f>IFERROR(VLOOKUP($A138,Actual!$A:$D,3,FALSE),"0")</f>
        <v>2.07E-2</v>
      </c>
      <c r="T138">
        <f>VLOOKUP(A138,NHT!B:F,5,FALSE)</f>
        <v>17.316666666667</v>
      </c>
    </row>
    <row r="139" spans="1:20" x14ac:dyDescent="0.2">
      <c r="A139" t="s">
        <v>139</v>
      </c>
      <c r="B139" t="s">
        <v>45</v>
      </c>
      <c r="C139" t="s">
        <v>46</v>
      </c>
      <c r="D139" t="s">
        <v>410</v>
      </c>
      <c r="E139">
        <v>3700</v>
      </c>
      <c r="F139">
        <v>8.1539909526892895</v>
      </c>
      <c r="G139">
        <v>3.26159638107571</v>
      </c>
      <c r="H139">
        <v>25.3849773817232</v>
      </c>
      <c r="I139">
        <v>6.51</v>
      </c>
      <c r="J139">
        <v>1.64399095268928</v>
      </c>
      <c r="K139">
        <v>2.2037813385646698</v>
      </c>
      <c r="L139">
        <v>0.31578947368421001</v>
      </c>
      <c r="M139">
        <v>0.21052631578947301</v>
      </c>
      <c r="N139">
        <v>1.34210526315789</v>
      </c>
      <c r="O139">
        <v>7.8947368421052599E-2</v>
      </c>
      <c r="P139" s="2" t="d">
        <v>2026-01-23</v>
      </c>
      <c r="Q139" t="s">
        <v>406</v>
      </c>
      <c r="R139">
        <f>IFERROR(VLOOKUP($A139,Actual!$A:$D,4,FALSE),IFERROR(VLOOKUP($A139,FC!$A:$AC,29,FALSE), "Not Found"))</f>
        <v>6.5</v>
      </c>
      <c r="S139">
        <f>IFERROR(VLOOKUP($A139,Actual!$A:$D,3,FALSE),"0")</f>
        <v>3.3399999999999999E-2</v>
      </c>
      <c r="T139">
        <f>VLOOKUP(A139,NHT!B:F,5,FALSE)</f>
        <v>17.316666666667</v>
      </c>
    </row>
    <row r="140" spans="1:20" x14ac:dyDescent="0.2">
      <c r="A140" t="s">
        <v>193</v>
      </c>
      <c r="B140" t="s">
        <v>407</v>
      </c>
      <c r="C140" t="s">
        <v>42</v>
      </c>
      <c r="D140" t="s">
        <v>42</v>
      </c>
      <c r="E140">
        <v>3000</v>
      </c>
      <c r="F140">
        <v>6.8539585617940304</v>
      </c>
      <c r="G140">
        <v>2.7415834247176099</v>
      </c>
      <c r="H140">
        <v>22.134896404485001</v>
      </c>
      <c r="I140">
        <v>5.24</v>
      </c>
      <c r="J140">
        <v>1.61395856179403</v>
      </c>
      <c r="K140">
        <v>2.2846528539313402</v>
      </c>
      <c r="L140">
        <v>0.125</v>
      </c>
      <c r="M140">
        <v>0.25</v>
      </c>
      <c r="N140">
        <v>1.3958333333333299</v>
      </c>
      <c r="O140">
        <v>0</v>
      </c>
      <c r="P140" s="2" t="d">
        <v>2026-01-23</v>
      </c>
      <c r="Q140" t="s">
        <v>406</v>
      </c>
      <c r="R140">
        <f>IFERROR(VLOOKUP($A140,Actual!$A:$D,4,FALSE),IFERROR(VLOOKUP($A140,FC!$A:$AC,29,FALSE), "Not Found"))</f>
        <v>3</v>
      </c>
      <c r="S140">
        <f>IFERROR(VLOOKUP($A140,Actual!$A:$D,3,FALSE),"0")</f>
        <v>2.69E-2</v>
      </c>
      <c r="T140">
        <f>VLOOKUP(A140,NHT!B:F,5,FALSE)</f>
        <v>17.266666666667</v>
      </c>
    </row>
    <row r="141" spans="1:20" x14ac:dyDescent="0.2">
      <c r="A141" t="s">
        <v>63</v>
      </c>
      <c r="B141" t="s">
        <v>64</v>
      </c>
      <c r="C141" t="s">
        <v>46</v>
      </c>
      <c r="D141" t="s">
        <v>408</v>
      </c>
      <c r="E141">
        <v>6800</v>
      </c>
      <c r="F141">
        <v>17.808439798433898</v>
      </c>
      <c r="G141">
        <v>7.1233759193735704</v>
      </c>
      <c r="H141">
        <v>49.521099496084801</v>
      </c>
      <c r="I141">
        <v>13.21</v>
      </c>
      <c r="J141">
        <v>4.5984397984339402</v>
      </c>
      <c r="K141">
        <v>2.6188882056520502</v>
      </c>
      <c r="L141">
        <v>0.44897959183673403</v>
      </c>
      <c r="M141">
        <v>0.42857142857142799</v>
      </c>
      <c r="N141">
        <v>3.75510204081632</v>
      </c>
      <c r="O141">
        <v>0.183673469387755</v>
      </c>
      <c r="P141" s="2" t="d">
        <v>2026-01-23</v>
      </c>
      <c r="Q141" t="s">
        <v>406</v>
      </c>
      <c r="R141">
        <f>IFERROR(VLOOKUP($A141,Actual!$A:$D,4,FALSE),IFERROR(VLOOKUP($A141,FC!$A:$AC,29,FALSE), "Not Found"))</f>
        <v>27</v>
      </c>
      <c r="S141">
        <f>IFERROR(VLOOKUP($A141,Actual!$A:$D,3,FALSE),"0")</f>
        <v>4.2099999999999999E-2</v>
      </c>
      <c r="T141">
        <f>VLOOKUP(A141,NHT!B:F,5,FALSE)</f>
        <v>17.216666666666999</v>
      </c>
    </row>
    <row r="142" spans="1:20" x14ac:dyDescent="0.2">
      <c r="A142" t="s">
        <v>130</v>
      </c>
      <c r="B142" t="s">
        <v>39</v>
      </c>
      <c r="C142" t="s">
        <v>36</v>
      </c>
      <c r="D142" t="s">
        <v>408</v>
      </c>
      <c r="E142">
        <v>6200</v>
      </c>
      <c r="F142">
        <v>14.305479849164801</v>
      </c>
      <c r="G142">
        <v>5.7221919396659402</v>
      </c>
      <c r="H142">
        <v>40.7636996229121</v>
      </c>
      <c r="I142">
        <v>10.7</v>
      </c>
      <c r="J142">
        <v>3.6054798491648499</v>
      </c>
      <c r="K142">
        <v>2.3073354595427098</v>
      </c>
      <c r="L142">
        <v>0.42857142857142799</v>
      </c>
      <c r="M142">
        <v>0.32653061224489699</v>
      </c>
      <c r="N142">
        <v>2.7346938775510199</v>
      </c>
      <c r="O142">
        <v>0.42857142857142799</v>
      </c>
      <c r="P142" s="2" t="d">
        <v>2026-01-23</v>
      </c>
      <c r="Q142" t="s">
        <v>406</v>
      </c>
      <c r="R142">
        <f>IFERROR(VLOOKUP($A142,Actual!$A:$D,4,FALSE),IFERROR(VLOOKUP($A142,FC!$A:$AC,29,FALSE), "Not Found"))</f>
        <v>13</v>
      </c>
      <c r="S142">
        <f>IFERROR(VLOOKUP($A142,Actual!$A:$D,3,FALSE),"0")</f>
        <v>5.6599999999999998E-2</v>
      </c>
      <c r="T142">
        <f>VLOOKUP(A142,NHT!B:F,5,FALSE)</f>
        <v>17.083333333333002</v>
      </c>
    </row>
    <row r="143" spans="1:20" x14ac:dyDescent="0.2">
      <c r="A143" t="s">
        <v>147</v>
      </c>
      <c r="B143" t="s">
        <v>148</v>
      </c>
      <c r="C143" t="s">
        <v>42</v>
      </c>
      <c r="D143" t="s">
        <v>410</v>
      </c>
      <c r="E143">
        <v>3300</v>
      </c>
      <c r="F143">
        <v>6.0892223784380999</v>
      </c>
      <c r="G143">
        <v>2.4356889513752402</v>
      </c>
      <c r="H143">
        <v>20.223055946095201</v>
      </c>
      <c r="I143">
        <v>4.83</v>
      </c>
      <c r="J143">
        <v>1.2592223784381</v>
      </c>
      <c r="K143">
        <v>1.8452189025570001</v>
      </c>
      <c r="L143">
        <v>0.12</v>
      </c>
      <c r="M143">
        <v>0.24</v>
      </c>
      <c r="N143">
        <v>1.34</v>
      </c>
      <c r="O143">
        <v>0.08</v>
      </c>
      <c r="P143" s="2" t="d">
        <v>2026-01-23</v>
      </c>
      <c r="Q143" t="s">
        <v>406</v>
      </c>
      <c r="R143">
        <f>IFERROR(VLOOKUP($A143,Actual!$A:$D,4,FALSE),IFERROR(VLOOKUP($A143,FC!$A:$AC,29,FALSE), "Not Found"))</f>
        <v>11.3</v>
      </c>
      <c r="S143">
        <f>IFERROR(VLOOKUP($A143,Actual!$A:$D,3,FALSE),"0")</f>
        <v>1.32E-2</v>
      </c>
      <c r="T143">
        <f>VLOOKUP(A143,NHT!B:F,5,FALSE)</f>
        <v>17.066666666667</v>
      </c>
    </row>
    <row r="144" spans="1:20" x14ac:dyDescent="0.2">
      <c r="A144" t="s">
        <v>103</v>
      </c>
      <c r="B144" t="s">
        <v>412</v>
      </c>
      <c r="C144" t="s">
        <v>36</v>
      </c>
      <c r="D144" t="s">
        <v>410</v>
      </c>
      <c r="E144">
        <v>6100</v>
      </c>
      <c r="F144">
        <v>14.221566053366899</v>
      </c>
      <c r="G144">
        <v>5.6886264213467896</v>
      </c>
      <c r="H144">
        <v>40.553915133417398</v>
      </c>
      <c r="I144">
        <v>10.83</v>
      </c>
      <c r="J144">
        <v>3.3915660533669798</v>
      </c>
      <c r="K144">
        <v>2.3314042710437599</v>
      </c>
      <c r="L144">
        <v>0.28888888888888797</v>
      </c>
      <c r="M144">
        <v>0.28888888888888797</v>
      </c>
      <c r="N144">
        <v>3.4222222222222198</v>
      </c>
      <c r="O144">
        <v>0.22222222222222199</v>
      </c>
      <c r="P144" s="2" t="d">
        <v>2026-01-23</v>
      </c>
      <c r="Q144" t="s">
        <v>406</v>
      </c>
      <c r="R144">
        <f>IFERROR(VLOOKUP($A144,Actual!$A:$D,4,FALSE),IFERROR(VLOOKUP($A144,FC!$A:$AC,29,FALSE), "Not Found"))</f>
        <v>6.5</v>
      </c>
      <c r="S144">
        <f>IFERROR(VLOOKUP($A144,Actual!$A:$D,3,FALSE),"0")</f>
        <v>7.8799999999999995E-2</v>
      </c>
      <c r="T144">
        <f>VLOOKUP(A144,NHT!B:F,5,FALSE)</f>
        <v>17.033333333333001</v>
      </c>
    </row>
    <row r="145" spans="1:20" x14ac:dyDescent="0.2">
      <c r="A145" t="s">
        <v>138</v>
      </c>
      <c r="B145" t="s">
        <v>56</v>
      </c>
      <c r="C145" t="s">
        <v>36</v>
      </c>
      <c r="D145" t="s">
        <v>42</v>
      </c>
      <c r="E145">
        <v>4500</v>
      </c>
      <c r="F145">
        <v>6.8500520367061197</v>
      </c>
      <c r="G145">
        <v>2.7400208146824498</v>
      </c>
      <c r="H145">
        <v>22.1251300917653</v>
      </c>
      <c r="I145">
        <v>5.8</v>
      </c>
      <c r="J145">
        <v>1.0500520367061199</v>
      </c>
      <c r="K145">
        <v>1.5222337859346899</v>
      </c>
      <c r="L145">
        <v>0.21276595744680801</v>
      </c>
      <c r="M145">
        <v>0.23404255319148901</v>
      </c>
      <c r="N145">
        <v>1.3404255319148899</v>
      </c>
      <c r="O145">
        <v>4.2553191489361701E-2</v>
      </c>
      <c r="P145" s="2" t="d">
        <v>2026-01-23</v>
      </c>
      <c r="Q145" t="s">
        <v>406</v>
      </c>
      <c r="R145">
        <f>IFERROR(VLOOKUP($A145,Actual!$A:$D,4,FALSE),IFERROR(VLOOKUP($A145,FC!$A:$AC,29,FALSE), "Not Found"))</f>
        <v>12.1</v>
      </c>
      <c r="S145">
        <f>IFERROR(VLOOKUP($A145,Actual!$A:$D,3,FALSE),"0")</f>
        <v>2.2700000000000001E-2</v>
      </c>
      <c r="T145">
        <f>VLOOKUP(A145,NHT!B:F,5,FALSE)</f>
        <v>16.916666666666998</v>
      </c>
    </row>
    <row r="146" spans="1:20" x14ac:dyDescent="0.2">
      <c r="A146" t="s">
        <v>78</v>
      </c>
      <c r="B146" t="s">
        <v>64</v>
      </c>
      <c r="C146" t="s">
        <v>46</v>
      </c>
      <c r="D146" t="s">
        <v>410</v>
      </c>
      <c r="E146">
        <v>3700</v>
      </c>
      <c r="F146">
        <v>10.3673881558968</v>
      </c>
      <c r="G146">
        <v>4.1469552623587296</v>
      </c>
      <c r="H146">
        <v>30.918470389742001</v>
      </c>
      <c r="I146">
        <v>7.57</v>
      </c>
      <c r="J146">
        <v>2.7973881558968299</v>
      </c>
      <c r="K146">
        <v>2.8019967988910301</v>
      </c>
      <c r="L146">
        <v>0.34090909090909</v>
      </c>
      <c r="M146">
        <v>0.22727272727272699</v>
      </c>
      <c r="N146">
        <v>1.8409090909090899</v>
      </c>
      <c r="O146">
        <v>0.204545454545454</v>
      </c>
      <c r="P146" s="2" t="d">
        <v>2026-01-23</v>
      </c>
      <c r="Q146" t="s">
        <v>406</v>
      </c>
      <c r="R146">
        <f>IFERROR(VLOOKUP($A146,Actual!$A:$D,4,FALSE),IFERROR(VLOOKUP($A146,FC!$A:$AC,29,FALSE), "Not Found"))</f>
        <v>10</v>
      </c>
      <c r="S146">
        <f>IFERROR(VLOOKUP($A146,Actual!$A:$D,3,FALSE),"0")</f>
        <v>3.95E-2</v>
      </c>
      <c r="T146">
        <f>VLOOKUP(A146,NHT!B:F,5,FALSE)</f>
        <v>16.8</v>
      </c>
    </row>
    <row r="147" spans="1:20" x14ac:dyDescent="0.2">
      <c r="A147" t="s">
        <v>313</v>
      </c>
      <c r="B147" t="s">
        <v>64</v>
      </c>
      <c r="C147" t="s">
        <v>57</v>
      </c>
      <c r="D147" t="s">
        <v>57</v>
      </c>
      <c r="E147">
        <v>3200</v>
      </c>
      <c r="F147">
        <v>9.7581059610399592</v>
      </c>
      <c r="G147">
        <v>3.90324238441598</v>
      </c>
      <c r="H147">
        <v>29.395264902599902</v>
      </c>
      <c r="I147">
        <v>6.61</v>
      </c>
      <c r="J147">
        <v>3.1481059610399602</v>
      </c>
      <c r="K147">
        <v>3.0494081128249801</v>
      </c>
      <c r="L147">
        <v>0.122448979591836</v>
      </c>
      <c r="M147">
        <v>0.24489795918367299</v>
      </c>
      <c r="N147">
        <v>1.6734693877550999</v>
      </c>
      <c r="O147">
        <v>6.1224489795918297E-2</v>
      </c>
      <c r="P147" s="2" t="d">
        <v>2026-01-23</v>
      </c>
      <c r="Q147" t="s">
        <v>406</v>
      </c>
      <c r="R147">
        <f>IFERROR(VLOOKUP($A147,Actual!$A:$D,4,FALSE),IFERROR(VLOOKUP($A147,FC!$A:$AC,29,FALSE), "Not Found"))</f>
        <v>3</v>
      </c>
      <c r="S147">
        <f>IFERROR(VLOOKUP($A147,Actual!$A:$D,3,FALSE),"0")</f>
        <v>3.8999999999999998E-3</v>
      </c>
      <c r="T147">
        <f>VLOOKUP(A147,NHT!B:F,5,FALSE)</f>
        <v>16.716666666666999</v>
      </c>
    </row>
    <row r="148" spans="1:20" x14ac:dyDescent="0.2">
      <c r="A148" t="s">
        <v>185</v>
      </c>
      <c r="B148" t="s">
        <v>117</v>
      </c>
      <c r="C148" t="s">
        <v>46</v>
      </c>
      <c r="D148" t="s">
        <v>410</v>
      </c>
      <c r="E148">
        <v>3500</v>
      </c>
      <c r="F148">
        <v>8.3034624583204497</v>
      </c>
      <c r="G148">
        <v>3.3213849833281799</v>
      </c>
      <c r="H148">
        <v>25.758656145801101</v>
      </c>
      <c r="I148">
        <v>6.21</v>
      </c>
      <c r="J148">
        <v>2.0934624583204502</v>
      </c>
      <c r="K148">
        <v>2.37241784523441</v>
      </c>
      <c r="L148">
        <v>0.18181818181818099</v>
      </c>
      <c r="M148">
        <v>0.29545454545454503</v>
      </c>
      <c r="N148">
        <v>1.5454545454545401</v>
      </c>
      <c r="O148">
        <v>0.11363636363636299</v>
      </c>
      <c r="P148" s="2" t="d">
        <v>2026-01-23</v>
      </c>
      <c r="Q148" t="s">
        <v>406</v>
      </c>
      <c r="R148">
        <f>IFERROR(VLOOKUP($A148,Actual!$A:$D,4,FALSE),IFERROR(VLOOKUP($A148,FC!$A:$AC,29,FALSE), "Not Found"))</f>
        <v>4.5</v>
      </c>
      <c r="S148">
        <f>IFERROR(VLOOKUP($A148,Actual!$A:$D,3,FALSE),"0")</f>
        <v>1.21E-2</v>
      </c>
      <c r="T148">
        <f>VLOOKUP(A148,NHT!B:F,5,FALSE)</f>
        <v>16.683333333333</v>
      </c>
    </row>
    <row r="149" spans="1:20" x14ac:dyDescent="0.2">
      <c r="A149" t="s">
        <v>259</v>
      </c>
      <c r="B149" t="s">
        <v>409</v>
      </c>
      <c r="C149" t="s">
        <v>57</v>
      </c>
      <c r="D149" t="s">
        <v>57</v>
      </c>
      <c r="E149">
        <v>2500</v>
      </c>
      <c r="F149">
        <v>5.4996893217453797</v>
      </c>
      <c r="G149">
        <v>2.1998757286981498</v>
      </c>
      <c r="H149">
        <v>18.749223304363401</v>
      </c>
      <c r="I149">
        <v>4.79</v>
      </c>
      <c r="J149">
        <v>0.70968932174538202</v>
      </c>
      <c r="K149">
        <v>2.1998757286981498</v>
      </c>
      <c r="L149">
        <v>4.54545454545454E-2</v>
      </c>
      <c r="M149">
        <v>9.0909090909090898E-2</v>
      </c>
      <c r="N149">
        <v>0.68181818181818099</v>
      </c>
      <c r="O149">
        <v>0</v>
      </c>
      <c r="P149" s="2" t="d">
        <v>2026-01-23</v>
      </c>
      <c r="Q149" t="s">
        <v>406</v>
      </c>
      <c r="R149">
        <f>IFERROR(VLOOKUP($A149,Actual!$A:$D,4,FALSE),IFERROR(VLOOKUP($A149,FC!$A:$AC,29,FALSE), "Not Found"))</f>
        <v>4.0999999999999996</v>
      </c>
      <c r="S149">
        <f>IFERROR(VLOOKUP($A149,Actual!$A:$D,3,FALSE),"0")</f>
        <v>2E-3</v>
      </c>
      <c r="T149">
        <f>VLOOKUP(A149,NHT!B:F,5,FALSE)</f>
        <v>16.583333333333002</v>
      </c>
    </row>
    <row r="150" spans="1:20" x14ac:dyDescent="0.2">
      <c r="A150" t="s">
        <v>98</v>
      </c>
      <c r="B150" t="s">
        <v>74</v>
      </c>
      <c r="C150" t="s">
        <v>46</v>
      </c>
      <c r="D150" t="s">
        <v>410</v>
      </c>
      <c r="E150">
        <v>5200</v>
      </c>
      <c r="F150">
        <v>13.735217303310799</v>
      </c>
      <c r="G150">
        <v>5.4940869213243202</v>
      </c>
      <c r="H150">
        <v>39.338043258276997</v>
      </c>
      <c r="I150">
        <v>10.4</v>
      </c>
      <c r="J150">
        <v>3.3352173033108201</v>
      </c>
      <c r="K150">
        <v>2.6413879429443798</v>
      </c>
      <c r="L150">
        <v>0.44</v>
      </c>
      <c r="M150">
        <v>0.4</v>
      </c>
      <c r="N150">
        <v>2.44</v>
      </c>
      <c r="O150">
        <v>0.36</v>
      </c>
      <c r="P150" s="2" t="d">
        <v>2026-01-23</v>
      </c>
      <c r="Q150" t="s">
        <v>406</v>
      </c>
      <c r="R150">
        <f>IFERROR(VLOOKUP($A150,Actual!$A:$D,4,FALSE),IFERROR(VLOOKUP($A150,FC!$A:$AC,29,FALSE), "Not Found"))</f>
        <v>13</v>
      </c>
      <c r="S150">
        <f>IFERROR(VLOOKUP($A150,Actual!$A:$D,3,FALSE),"0")</f>
        <v>0.15359999999999999</v>
      </c>
      <c r="T150">
        <f>VLOOKUP(A150,NHT!B:F,5,FALSE)</f>
        <v>16.566666666667</v>
      </c>
    </row>
    <row r="151" spans="1:20" x14ac:dyDescent="0.2">
      <c r="A151" t="s">
        <v>314</v>
      </c>
      <c r="B151" t="s">
        <v>74</v>
      </c>
      <c r="C151" t="s">
        <v>57</v>
      </c>
      <c r="D151" t="s">
        <v>57</v>
      </c>
      <c r="E151">
        <v>2500</v>
      </c>
      <c r="F151">
        <v>6.5262310456698103</v>
      </c>
      <c r="G151">
        <v>2.6104924182679201</v>
      </c>
      <c r="H151">
        <v>21.315577614174501</v>
      </c>
      <c r="I151">
        <v>4.5599999999999996</v>
      </c>
      <c r="J151">
        <v>1.96623104566981</v>
      </c>
      <c r="K151">
        <v>2.6104924182679201</v>
      </c>
      <c r="L151">
        <v>8.8235294117646995E-2</v>
      </c>
      <c r="M151">
        <v>0.20588235294117599</v>
      </c>
      <c r="N151">
        <v>0.67647058823529405</v>
      </c>
      <c r="O151">
        <v>2.94117647058823E-2</v>
      </c>
      <c r="P151" s="2" t="d">
        <v>2026-01-23</v>
      </c>
      <c r="Q151" t="s">
        <v>406</v>
      </c>
      <c r="R151">
        <f>IFERROR(VLOOKUP($A151,Actual!$A:$D,4,FALSE),IFERROR(VLOOKUP($A151,FC!$A:$AC,29,FALSE), "Not Found"))</f>
        <v>1.5</v>
      </c>
      <c r="S151">
        <f>IFERROR(VLOOKUP($A151,Actual!$A:$D,3,FALSE),"0")</f>
        <v>8.0000000000000004E-4</v>
      </c>
      <c r="T151">
        <f>VLOOKUP(A151,NHT!B:F,5,FALSE)</f>
        <v>16.533333333333001</v>
      </c>
    </row>
    <row r="152" spans="1:20" x14ac:dyDescent="0.2">
      <c r="A152" t="s">
        <v>172</v>
      </c>
      <c r="B152" t="s">
        <v>56</v>
      </c>
      <c r="C152" t="s">
        <v>42</v>
      </c>
      <c r="D152" t="s">
        <v>42</v>
      </c>
      <c r="E152">
        <v>3000</v>
      </c>
      <c r="F152">
        <v>4.3659296527099798</v>
      </c>
      <c r="G152">
        <v>1.74637186108399</v>
      </c>
      <c r="H152">
        <v>15.9148241317749</v>
      </c>
      <c r="I152">
        <v>4.07</v>
      </c>
      <c r="J152">
        <v>0.295929652709983</v>
      </c>
      <c r="K152">
        <v>1.4553098842366601</v>
      </c>
      <c r="L152">
        <v>4.6511627906976702E-2</v>
      </c>
      <c r="M152">
        <v>0.25581395348837199</v>
      </c>
      <c r="N152">
        <v>0.86046511627906896</v>
      </c>
      <c r="O152">
        <v>0</v>
      </c>
      <c r="P152" s="2" t="d">
        <v>2026-01-23</v>
      </c>
      <c r="Q152" t="s">
        <v>406</v>
      </c>
      <c r="R152">
        <f>IFERROR(VLOOKUP($A152,Actual!$A:$D,4,FALSE),IFERROR(VLOOKUP($A152,FC!$A:$AC,29,FALSE), "Not Found"))</f>
        <v>0</v>
      </c>
      <c r="S152">
        <f>IFERROR(VLOOKUP($A152,Actual!$A:$D,3,FALSE),"0")</f>
        <v>7.7999999999999996E-3</v>
      </c>
      <c r="T152">
        <f>VLOOKUP(A152,NHT!B:F,5,FALSE)</f>
        <v>16.516666666667</v>
      </c>
    </row>
    <row r="153" spans="1:20" x14ac:dyDescent="0.2">
      <c r="A153" t="s">
        <v>92</v>
      </c>
      <c r="B153" t="s">
        <v>56</v>
      </c>
      <c r="C153" t="s">
        <v>36</v>
      </c>
      <c r="D153" t="s">
        <v>408</v>
      </c>
      <c r="E153">
        <v>6000</v>
      </c>
      <c r="F153">
        <v>13.910468850851901</v>
      </c>
      <c r="G153">
        <v>5.5641875403407601</v>
      </c>
      <c r="H153">
        <v>39.776172127129797</v>
      </c>
      <c r="I153">
        <v>12.05</v>
      </c>
      <c r="J153">
        <v>1.86046885085192</v>
      </c>
      <c r="K153">
        <v>2.3184114751419802</v>
      </c>
      <c r="L153">
        <v>0.52380952380952295</v>
      </c>
      <c r="M153">
        <v>0.5</v>
      </c>
      <c r="N153">
        <v>2.3333333333333299</v>
      </c>
      <c r="O153">
        <v>0.238095238095238</v>
      </c>
      <c r="P153" s="2" t="d">
        <v>2026-01-23</v>
      </c>
      <c r="Q153" t="s">
        <v>406</v>
      </c>
      <c r="R153">
        <f>IFERROR(VLOOKUP($A153,Actual!$A:$D,4,FALSE),IFERROR(VLOOKUP($A153,FC!$A:$AC,29,FALSE), "Not Found"))</f>
        <v>9.5</v>
      </c>
      <c r="S153">
        <f>IFERROR(VLOOKUP($A153,Actual!$A:$D,3,FALSE),"0")</f>
        <v>4.1200000000000001E-2</v>
      </c>
      <c r="T153">
        <f>VLOOKUP(A153,NHT!B:F,5,FALSE)</f>
        <v>16.5</v>
      </c>
    </row>
    <row r="154" spans="1:20" x14ac:dyDescent="0.2">
      <c r="A154" t="s">
        <v>215</v>
      </c>
      <c r="B154" t="s">
        <v>48</v>
      </c>
      <c r="C154" t="s">
        <v>36</v>
      </c>
      <c r="D154" t="s">
        <v>408</v>
      </c>
      <c r="E154">
        <v>5400</v>
      </c>
      <c r="F154">
        <v>12.8142427967733</v>
      </c>
      <c r="G154">
        <v>5.1256971187093399</v>
      </c>
      <c r="H154">
        <v>37.035606991933399</v>
      </c>
      <c r="I154">
        <v>9.08</v>
      </c>
      <c r="J154">
        <v>3.73424279677337</v>
      </c>
      <c r="K154">
        <v>2.3730079253284</v>
      </c>
      <c r="L154">
        <v>0.28205128205128199</v>
      </c>
      <c r="M154">
        <v>0.41025641025641002</v>
      </c>
      <c r="N154">
        <v>2.4358974358974299</v>
      </c>
      <c r="O154">
        <v>7.69230769230769E-2</v>
      </c>
      <c r="P154" s="2" t="d">
        <v>2026-01-23</v>
      </c>
      <c r="Q154" t="s">
        <v>406</v>
      </c>
      <c r="R154">
        <f>IFERROR(VLOOKUP($A154,Actual!$A:$D,4,FALSE),IFERROR(VLOOKUP($A154,FC!$A:$AC,29,FALSE), "Not Found"))</f>
        <v>2.8</v>
      </c>
      <c r="S154">
        <f>IFERROR(VLOOKUP($A154,Actual!$A:$D,3,FALSE),"0")</f>
        <v>3.9199999999999999E-2</v>
      </c>
      <c r="T154">
        <f>VLOOKUP(A154,NHT!B:F,5,FALSE)</f>
        <v>16.483333333333</v>
      </c>
    </row>
    <row r="155" spans="1:20" x14ac:dyDescent="0.2">
      <c r="A155" t="s">
        <v>219</v>
      </c>
      <c r="B155" t="s">
        <v>56</v>
      </c>
      <c r="C155" t="s">
        <v>57</v>
      </c>
      <c r="D155" t="s">
        <v>57</v>
      </c>
      <c r="E155">
        <v>2500</v>
      </c>
      <c r="F155">
        <v>4.7635087648060104</v>
      </c>
      <c r="G155">
        <v>1.9054035059223999</v>
      </c>
      <c r="H155">
        <v>16.908771912014998</v>
      </c>
      <c r="I155">
        <v>3.65</v>
      </c>
      <c r="J155">
        <v>1.11350876480601</v>
      </c>
      <c r="K155">
        <v>1.9054035059223999</v>
      </c>
      <c r="L155">
        <v>2.7027027027027001E-2</v>
      </c>
      <c r="M155">
        <v>0.135135135135135</v>
      </c>
      <c r="N155">
        <v>0.54054054054054002</v>
      </c>
      <c r="O155">
        <v>0</v>
      </c>
      <c r="P155" s="2" t="d">
        <v>2026-01-23</v>
      </c>
      <c r="Q155" t="s">
        <v>406</v>
      </c>
      <c r="R155">
        <f>IFERROR(VLOOKUP($A155,Actual!$A:$D,4,FALSE),IFERROR(VLOOKUP($A155,FC!$A:$AC,29,FALSE), "Not Found"))</f>
        <v>8.1999999999999993</v>
      </c>
      <c r="S155">
        <f>IFERROR(VLOOKUP($A155,Actual!$A:$D,3,FALSE),"0")</f>
        <v>5.9999999999999995E-4</v>
      </c>
      <c r="T155">
        <f>VLOOKUP(A155,NHT!B:F,5,FALSE)</f>
        <v>16.399999999999999</v>
      </c>
    </row>
    <row r="156" spans="1:20" x14ac:dyDescent="0.2">
      <c r="A156" t="s">
        <v>168</v>
      </c>
      <c r="B156" t="s">
        <v>45</v>
      </c>
      <c r="C156" t="s">
        <v>42</v>
      </c>
      <c r="D156" t="s">
        <v>42</v>
      </c>
      <c r="E156">
        <v>3200</v>
      </c>
      <c r="F156">
        <v>6.6758155395224801</v>
      </c>
      <c r="G156">
        <v>2.67032621580899</v>
      </c>
      <c r="H156">
        <v>21.689538848806201</v>
      </c>
      <c r="I156">
        <v>5.18</v>
      </c>
      <c r="J156">
        <v>1.4958155395224799</v>
      </c>
      <c r="K156">
        <v>2.0861923561007698</v>
      </c>
      <c r="L156">
        <v>0.18</v>
      </c>
      <c r="M156">
        <v>0.2</v>
      </c>
      <c r="N156">
        <v>1.34</v>
      </c>
      <c r="O156">
        <v>0.08</v>
      </c>
      <c r="P156" s="2" t="d">
        <v>2026-01-23</v>
      </c>
      <c r="Q156" t="s">
        <v>406</v>
      </c>
      <c r="R156">
        <f>IFERROR(VLOOKUP($A156,Actual!$A:$D,4,FALSE),IFERROR(VLOOKUP($A156,FC!$A:$AC,29,FALSE), "Not Found"))</f>
        <v>5.8</v>
      </c>
      <c r="S156">
        <f>IFERROR(VLOOKUP($A156,Actual!$A:$D,3,FALSE),"0")</f>
        <v>1.15E-2</v>
      </c>
      <c r="T156">
        <f>VLOOKUP(A156,NHT!B:F,5,FALSE)</f>
        <v>16.383333333332999</v>
      </c>
    </row>
    <row r="157" spans="1:20" x14ac:dyDescent="0.2">
      <c r="A157" t="s">
        <v>62</v>
      </c>
      <c r="B157" t="s">
        <v>52</v>
      </c>
      <c r="C157" t="s">
        <v>42</v>
      </c>
      <c r="D157" t="s">
        <v>408</v>
      </c>
      <c r="E157">
        <v>6900</v>
      </c>
      <c r="F157">
        <v>15.2795845109955</v>
      </c>
      <c r="G157">
        <v>6.1118338043982003</v>
      </c>
      <c r="H157">
        <v>43.198961277488699</v>
      </c>
      <c r="I157">
        <v>12.67</v>
      </c>
      <c r="J157">
        <v>2.6095845109955098</v>
      </c>
      <c r="K157">
        <v>2.2144325378254299</v>
      </c>
      <c r="L157">
        <v>0.50980392156862697</v>
      </c>
      <c r="M157">
        <v>0.54901960784313697</v>
      </c>
      <c r="N157">
        <v>2.52941176470588</v>
      </c>
      <c r="O157">
        <v>0.50980392156862697</v>
      </c>
      <c r="P157" s="2" t="d">
        <v>2026-01-23</v>
      </c>
      <c r="Q157" t="s">
        <v>406</v>
      </c>
      <c r="R157">
        <f>IFERROR(VLOOKUP($A157,Actual!$A:$D,4,FALSE),IFERROR(VLOOKUP($A157,FC!$A:$AC,29,FALSE), "Not Found"))</f>
        <v>19.5</v>
      </c>
      <c r="S157">
        <f>IFERROR(VLOOKUP($A157,Actual!$A:$D,3,FALSE),"0")</f>
        <v>6.25E-2</v>
      </c>
      <c r="T157">
        <f>VLOOKUP(A157,NHT!B:F,5,FALSE)</f>
        <v>16.350000000000001</v>
      </c>
    </row>
    <row r="158" spans="1:20" x14ac:dyDescent="0.2">
      <c r="A158" t="s">
        <v>80</v>
      </c>
      <c r="B158" t="s">
        <v>409</v>
      </c>
      <c r="C158" t="s">
        <v>42</v>
      </c>
      <c r="D158" t="s">
        <v>408</v>
      </c>
      <c r="E158">
        <v>4600</v>
      </c>
      <c r="F158">
        <v>11.8401818874966</v>
      </c>
      <c r="G158">
        <v>4.7360727549986601</v>
      </c>
      <c r="H158">
        <v>34.600454718741602</v>
      </c>
      <c r="I158">
        <v>9.0399999999999991</v>
      </c>
      <c r="J158">
        <v>2.8001818874966502</v>
      </c>
      <c r="K158">
        <v>2.5739525842384001</v>
      </c>
      <c r="L158">
        <v>0.28571428571428498</v>
      </c>
      <c r="M158">
        <v>0.38775510204081598</v>
      </c>
      <c r="N158">
        <v>2.2653061224489699</v>
      </c>
      <c r="O158">
        <v>0.183673469387755</v>
      </c>
      <c r="P158" s="2" t="d">
        <v>2026-01-23</v>
      </c>
      <c r="Q158" t="s">
        <v>406</v>
      </c>
      <c r="R158">
        <f>IFERROR(VLOOKUP($A158,Actual!$A:$D,4,FALSE),IFERROR(VLOOKUP($A158,FC!$A:$AC,29,FALSE), "Not Found"))</f>
        <v>11</v>
      </c>
      <c r="S158">
        <f>IFERROR(VLOOKUP($A158,Actual!$A:$D,3,FALSE),"0")</f>
        <v>0.11409999999999999</v>
      </c>
      <c r="T158">
        <f>VLOOKUP(A158,NHT!B:F,5,FALSE)</f>
        <v>16.183333333333</v>
      </c>
    </row>
    <row r="159" spans="1:20" x14ac:dyDescent="0.2">
      <c r="A159" t="s">
        <v>307</v>
      </c>
      <c r="B159" t="s">
        <v>85</v>
      </c>
      <c r="C159" t="s">
        <v>57</v>
      </c>
      <c r="D159" t="s">
        <v>57</v>
      </c>
      <c r="E159">
        <v>3000</v>
      </c>
      <c r="F159">
        <v>6.5252779563845502</v>
      </c>
      <c r="G159">
        <v>2.6101111825538199</v>
      </c>
      <c r="H159">
        <v>21.313194890961299</v>
      </c>
      <c r="I159">
        <v>4.66</v>
      </c>
      <c r="J159">
        <v>1.8652779563845501</v>
      </c>
      <c r="K159">
        <v>2.1750926521281801</v>
      </c>
      <c r="L159">
        <v>0</v>
      </c>
      <c r="M159">
        <v>0.26086956521739102</v>
      </c>
      <c r="N159">
        <v>0.91304347826086896</v>
      </c>
      <c r="O159">
        <v>8.6956521739130405E-2</v>
      </c>
      <c r="P159" s="2" t="d">
        <v>2026-01-23</v>
      </c>
      <c r="Q159" t="s">
        <v>406</v>
      </c>
      <c r="R159">
        <f>IFERROR(VLOOKUP($A159,Actual!$A:$D,4,FALSE),IFERROR(VLOOKUP($A159,FC!$A:$AC,29,FALSE), "Not Found"))</f>
        <v>1.3</v>
      </c>
      <c r="S159">
        <f>IFERROR(VLOOKUP($A159,Actual!$A:$D,3,FALSE),"0")</f>
        <v>2E-3</v>
      </c>
      <c r="T159">
        <f>VLOOKUP(A159,NHT!B:F,5,FALSE)</f>
        <v>16.183333333333</v>
      </c>
    </row>
    <row r="160" spans="1:20" x14ac:dyDescent="0.2">
      <c r="A160" t="s">
        <v>174</v>
      </c>
      <c r="B160" t="s">
        <v>64</v>
      </c>
      <c r="C160" t="s">
        <v>57</v>
      </c>
      <c r="D160" t="s">
        <v>57</v>
      </c>
      <c r="E160">
        <v>2800</v>
      </c>
      <c r="F160">
        <v>7.4471562661634199</v>
      </c>
      <c r="G160">
        <v>2.9788625064653602</v>
      </c>
      <c r="H160">
        <v>23.617890665408499</v>
      </c>
      <c r="I160">
        <v>6.38</v>
      </c>
      <c r="J160">
        <v>1.06715626616342</v>
      </c>
      <c r="K160">
        <v>2.6596986664869302</v>
      </c>
      <c r="L160">
        <v>2.7027027027027001E-2</v>
      </c>
      <c r="M160">
        <v>0.24324324324324301</v>
      </c>
      <c r="N160">
        <v>1.1891891891891799</v>
      </c>
      <c r="O160">
        <v>0</v>
      </c>
      <c r="P160" s="2" t="d">
        <v>2026-01-23</v>
      </c>
      <c r="Q160" t="s">
        <v>406</v>
      </c>
      <c r="R160">
        <f>IFERROR(VLOOKUP($A160,Actual!$A:$D,4,FALSE),IFERROR(VLOOKUP($A160,FC!$A:$AC,29,FALSE), "Not Found"))</f>
        <v>1.5</v>
      </c>
      <c r="S160">
        <f>IFERROR(VLOOKUP($A160,Actual!$A:$D,3,FALSE),"0")</f>
        <v>2.8E-3</v>
      </c>
      <c r="T160">
        <f>VLOOKUP(A160,NHT!B:F,5,FALSE)</f>
        <v>16.166666666666998</v>
      </c>
    </row>
    <row r="161" spans="1:20" x14ac:dyDescent="0.2">
      <c r="A161" t="s">
        <v>189</v>
      </c>
      <c r="B161" t="s">
        <v>74</v>
      </c>
      <c r="C161" t="s">
        <v>57</v>
      </c>
      <c r="D161" t="s">
        <v>57</v>
      </c>
      <c r="E161">
        <v>2800</v>
      </c>
      <c r="F161">
        <v>6.1983267455166198</v>
      </c>
      <c r="G161">
        <v>2.4793306982066499</v>
      </c>
      <c r="H161">
        <v>20.4958168637915</v>
      </c>
      <c r="I161">
        <v>5.3</v>
      </c>
      <c r="J161">
        <v>0.89832674551662395</v>
      </c>
      <c r="K161">
        <v>2.2136881233987902</v>
      </c>
      <c r="L161">
        <v>6.3829787234042507E-2</v>
      </c>
      <c r="M161">
        <v>0.10638297872340401</v>
      </c>
      <c r="N161">
        <v>0.95744680851063801</v>
      </c>
      <c r="O161">
        <v>0</v>
      </c>
      <c r="P161" s="2" t="d">
        <v>2026-01-23</v>
      </c>
      <c r="Q161" t="s">
        <v>406</v>
      </c>
      <c r="R161">
        <f>IFERROR(VLOOKUP($A161,Actual!$A:$D,4,FALSE),IFERROR(VLOOKUP($A161,FC!$A:$AC,29,FALSE), "Not Found"))</f>
        <v>1.5</v>
      </c>
      <c r="S161">
        <f>IFERROR(VLOOKUP($A161,Actual!$A:$D,3,FALSE),"0")</f>
        <v>6.4000000000000003E-3</v>
      </c>
      <c r="T161">
        <f>VLOOKUP(A161,NHT!B:F,5,FALSE)</f>
        <v>16.083333333333002</v>
      </c>
    </row>
    <row r="162" spans="1:20" x14ac:dyDescent="0.2">
      <c r="A162" t="s">
        <v>34</v>
      </c>
      <c r="B162" t="s">
        <v>35</v>
      </c>
      <c r="C162" t="s">
        <v>36</v>
      </c>
      <c r="D162" t="s">
        <v>408</v>
      </c>
      <c r="E162">
        <v>5000</v>
      </c>
      <c r="F162">
        <v>11.197275267899</v>
      </c>
      <c r="G162">
        <v>4.4789101071596003</v>
      </c>
      <c r="H162">
        <v>32.993188169747498</v>
      </c>
      <c r="I162">
        <v>9.06</v>
      </c>
      <c r="J162">
        <v>2.1372752678990099</v>
      </c>
      <c r="K162">
        <v>2.2394550535798001</v>
      </c>
      <c r="L162">
        <v>0.30612244897959101</v>
      </c>
      <c r="M162">
        <v>0.28571428571428498</v>
      </c>
      <c r="N162">
        <v>2.53061224489795</v>
      </c>
      <c r="O162">
        <v>6.1224489795918297E-2</v>
      </c>
      <c r="P162" s="2" t="d">
        <v>2026-01-23</v>
      </c>
      <c r="Q162" t="s">
        <v>406</v>
      </c>
      <c r="R162">
        <f>IFERROR(VLOOKUP($A162,Actual!$A:$D,4,FALSE),IFERROR(VLOOKUP($A162,FC!$A:$AC,29,FALSE), "Not Found"))</f>
        <v>47.1</v>
      </c>
      <c r="S162">
        <f>IFERROR(VLOOKUP($A162,Actual!$A:$D,3,FALSE),"0")</f>
        <v>1.01E-2</v>
      </c>
      <c r="T162">
        <f>VLOOKUP(A162,NHT!B:F,5,FALSE)</f>
        <v>16.066666666667</v>
      </c>
    </row>
    <row r="163" spans="1:20" x14ac:dyDescent="0.2">
      <c r="A163" t="s">
        <v>253</v>
      </c>
      <c r="B163" t="s">
        <v>52</v>
      </c>
      <c r="C163" t="s">
        <v>42</v>
      </c>
      <c r="D163" t="s">
        <v>410</v>
      </c>
      <c r="E163">
        <v>3100</v>
      </c>
      <c r="F163">
        <v>5.7316187356000796</v>
      </c>
      <c r="G163">
        <v>2.2926474942400299</v>
      </c>
      <c r="H163">
        <v>19.329046839000199</v>
      </c>
      <c r="I163">
        <v>4.46</v>
      </c>
      <c r="J163">
        <v>1.2716187356000801</v>
      </c>
      <c r="K163">
        <v>1.84890926954841</v>
      </c>
      <c r="L163">
        <v>0.13725490196078399</v>
      </c>
      <c r="M163">
        <v>0.23529411764705799</v>
      </c>
      <c r="N163">
        <v>1.0196078431372499</v>
      </c>
      <c r="O163">
        <v>5.8823529411764698E-2</v>
      </c>
      <c r="P163" s="2" t="d">
        <v>2026-01-23</v>
      </c>
      <c r="Q163" t="s">
        <v>406</v>
      </c>
      <c r="R163">
        <f>IFERROR(VLOOKUP($A163,Actual!$A:$D,4,FALSE),IFERROR(VLOOKUP($A163,FC!$A:$AC,29,FALSE), "Not Found"))</f>
        <v>3</v>
      </c>
      <c r="S163">
        <f>IFERROR(VLOOKUP($A163,Actual!$A:$D,3,FALSE),"0")</f>
        <v>6.4000000000000003E-3</v>
      </c>
      <c r="T163">
        <f>VLOOKUP(A163,NHT!B:F,5,FALSE)</f>
        <v>15.95</v>
      </c>
    </row>
    <row r="164" spans="1:20" x14ac:dyDescent="0.2">
      <c r="A164" t="s">
        <v>201</v>
      </c>
      <c r="B164" t="s">
        <v>74</v>
      </c>
      <c r="C164" t="s">
        <v>42</v>
      </c>
      <c r="D164" t="s">
        <v>42</v>
      </c>
      <c r="E164">
        <v>3900</v>
      </c>
      <c r="F164">
        <v>8.9952997530527998</v>
      </c>
      <c r="G164">
        <v>3.59811990122112</v>
      </c>
      <c r="H164">
        <v>27.488249382631999</v>
      </c>
      <c r="I164">
        <v>7.36</v>
      </c>
      <c r="J164">
        <v>1.6352997530528</v>
      </c>
      <c r="K164">
        <v>2.3064871161673799</v>
      </c>
      <c r="L164">
        <v>0.27659574468085102</v>
      </c>
      <c r="M164">
        <v>0.340425531914893</v>
      </c>
      <c r="N164">
        <v>1.40425531914893</v>
      </c>
      <c r="O164">
        <v>0.23404255319148901</v>
      </c>
      <c r="P164" s="2" t="d">
        <v>2026-01-23</v>
      </c>
      <c r="Q164" t="s">
        <v>406</v>
      </c>
      <c r="R164">
        <f>IFERROR(VLOOKUP($A164,Actual!$A:$D,4,FALSE),IFERROR(VLOOKUP($A164,FC!$A:$AC,29,FALSE), "Not Found"))</f>
        <v>1.3</v>
      </c>
      <c r="S164">
        <f>IFERROR(VLOOKUP($A164,Actual!$A:$D,3,FALSE),"0")</f>
        <v>2.24E-2</v>
      </c>
      <c r="T164">
        <f>VLOOKUP(A164,NHT!B:F,5,FALSE)</f>
        <v>15.9</v>
      </c>
    </row>
    <row r="165" spans="1:20" x14ac:dyDescent="0.2">
      <c r="A165" t="s">
        <v>231</v>
      </c>
      <c r="B165" t="s">
        <v>61</v>
      </c>
      <c r="C165" t="s">
        <v>57</v>
      </c>
      <c r="D165" t="s">
        <v>57</v>
      </c>
      <c r="E165">
        <v>2700</v>
      </c>
      <c r="F165">
        <v>6.1552131274397999</v>
      </c>
      <c r="G165">
        <v>2.4620852509759201</v>
      </c>
      <c r="H165">
        <v>20.388032818599498</v>
      </c>
      <c r="I165">
        <v>6.21</v>
      </c>
      <c r="J165">
        <v>-5.4786872560197403E-2</v>
      </c>
      <c r="K165">
        <v>2.2797085657184399</v>
      </c>
      <c r="L165">
        <v>0</v>
      </c>
      <c r="M165">
        <v>0.148148148148148</v>
      </c>
      <c r="N165">
        <v>1.1481481481481399</v>
      </c>
      <c r="O165">
        <v>0</v>
      </c>
      <c r="P165" s="2" t="d">
        <v>2026-01-23</v>
      </c>
      <c r="Q165" t="s">
        <v>406</v>
      </c>
      <c r="R165">
        <f>IFERROR(VLOOKUP($A165,Actual!$A:$D,4,FALSE),IFERROR(VLOOKUP($A165,FC!$A:$AC,29,FALSE), "Not Found"))</f>
        <v>0</v>
      </c>
      <c r="S165">
        <f>IFERROR(VLOOKUP($A165,Actual!$A:$D,3,FALSE),"0")</f>
        <v>4.1999999999999997E-3</v>
      </c>
      <c r="T165">
        <f>VLOOKUP(A165,NHT!B:F,5,FALSE)</f>
        <v>15.85</v>
      </c>
    </row>
    <row r="166" spans="1:20" x14ac:dyDescent="0.2">
      <c r="A166" t="s">
        <v>232</v>
      </c>
      <c r="B166" t="s">
        <v>35</v>
      </c>
      <c r="C166" t="s">
        <v>57</v>
      </c>
      <c r="D166" t="s">
        <v>57</v>
      </c>
      <c r="E166">
        <v>2500</v>
      </c>
      <c r="F166">
        <v>5.2842968693466199</v>
      </c>
      <c r="G166">
        <v>2.1137187477386399</v>
      </c>
      <c r="H166">
        <v>18.210742173366501</v>
      </c>
      <c r="I166">
        <v>3.39</v>
      </c>
      <c r="J166">
        <v>1.89429686934662</v>
      </c>
      <c r="K166">
        <v>2.1137187477386399</v>
      </c>
      <c r="L166">
        <v>2.77777777777777E-2</v>
      </c>
      <c r="M166">
        <v>0.194444444444444</v>
      </c>
      <c r="N166">
        <v>0.55555555555555503</v>
      </c>
      <c r="O166">
        <v>0</v>
      </c>
      <c r="P166" s="2" t="d">
        <v>2026-01-23</v>
      </c>
      <c r="Q166" t="s">
        <v>406</v>
      </c>
      <c r="R166">
        <f>IFERROR(VLOOKUP($A166,Actual!$A:$D,4,FALSE),IFERROR(VLOOKUP($A166,FC!$A:$AC,29,FALSE), "Not Found"))</f>
        <v>1.3</v>
      </c>
      <c r="S166" t="str">
        <f>IFERROR(VLOOKUP($A166,Actual!$A:$D,3,FALSE),"0")</f>
        <v>0</v>
      </c>
      <c r="T166">
        <f>VLOOKUP(A166,NHT!B:F,5,FALSE)</f>
        <v>15.833333333333</v>
      </c>
    </row>
    <row r="167" spans="1:20" x14ac:dyDescent="0.2">
      <c r="A167" t="s">
        <v>109</v>
      </c>
      <c r="B167" t="s">
        <v>45</v>
      </c>
      <c r="C167" t="s">
        <v>36</v>
      </c>
      <c r="D167" t="s">
        <v>408</v>
      </c>
      <c r="E167">
        <v>4500</v>
      </c>
      <c r="F167">
        <v>10.4262806796383</v>
      </c>
      <c r="G167">
        <v>4.1705122718553396</v>
      </c>
      <c r="H167">
        <v>31.0657016990959</v>
      </c>
      <c r="I167">
        <v>7.76</v>
      </c>
      <c r="J167">
        <v>2.6662806796383598</v>
      </c>
      <c r="K167">
        <v>2.31695126214185</v>
      </c>
      <c r="L167">
        <v>0.22500000000000001</v>
      </c>
      <c r="M167">
        <v>0.3</v>
      </c>
      <c r="N167">
        <v>2.4249999999999998</v>
      </c>
      <c r="O167">
        <v>0.17499999999999999</v>
      </c>
      <c r="P167" s="2" t="d">
        <v>2026-01-23</v>
      </c>
      <c r="Q167" t="s">
        <v>406</v>
      </c>
      <c r="R167">
        <f>IFERROR(VLOOKUP($A167,Actual!$A:$D,4,FALSE),IFERROR(VLOOKUP($A167,FC!$A:$AC,29,FALSE), "Not Found"))</f>
        <v>9.5</v>
      </c>
      <c r="S167">
        <f>IFERROR(VLOOKUP($A167,Actual!$A:$D,3,FALSE),"0")</f>
        <v>6.25E-2</v>
      </c>
      <c r="T167">
        <f>VLOOKUP(A167,NHT!B:F,5,FALSE)</f>
        <v>15.816666666667</v>
      </c>
    </row>
    <row r="168" spans="1:20" x14ac:dyDescent="0.2">
      <c r="A168" t="s">
        <v>331</v>
      </c>
      <c r="B168" t="s">
        <v>45</v>
      </c>
      <c r="C168" t="s">
        <v>42</v>
      </c>
      <c r="D168" t="s">
        <v>410</v>
      </c>
      <c r="E168">
        <v>2600</v>
      </c>
      <c r="F168">
        <v>5.4437962184041</v>
      </c>
      <c r="G168">
        <v>2.17751848736164</v>
      </c>
      <c r="H168">
        <v>18.6094905460102</v>
      </c>
      <c r="I168">
        <v>4.58</v>
      </c>
      <c r="J168">
        <v>0.86379621840409904</v>
      </c>
      <c r="K168">
        <v>2.0937677763092601</v>
      </c>
      <c r="L168">
        <v>6.25E-2</v>
      </c>
      <c r="M168">
        <v>0.375</v>
      </c>
      <c r="N168">
        <v>0.75</v>
      </c>
      <c r="O168">
        <v>0</v>
      </c>
      <c r="P168" s="2" t="d">
        <v>2026-01-23</v>
      </c>
      <c r="Q168" t="s">
        <v>406</v>
      </c>
      <c r="R168">
        <f>IFERROR(VLOOKUP($A168,Actual!$A:$D,4,FALSE),IFERROR(VLOOKUP($A168,FC!$A:$AC,29,FALSE), "Not Found"))</f>
        <v>4.3</v>
      </c>
      <c r="S168">
        <f>IFERROR(VLOOKUP($A168,Actual!$A:$D,3,FALSE),"0")</f>
        <v>2E-3</v>
      </c>
      <c r="T168">
        <f>VLOOKUP(A168,NHT!B:F,5,FALSE)</f>
        <v>15.75</v>
      </c>
    </row>
    <row r="169" spans="1:20" x14ac:dyDescent="0.2">
      <c r="A169" t="s">
        <v>82</v>
      </c>
      <c r="B169" t="s">
        <v>74</v>
      </c>
      <c r="C169" t="s">
        <v>46</v>
      </c>
      <c r="D169" t="s">
        <v>410</v>
      </c>
      <c r="E169">
        <v>3800</v>
      </c>
      <c r="F169">
        <v>9.8266167739682206</v>
      </c>
      <c r="G169">
        <v>3.9306467095872799</v>
      </c>
      <c r="H169">
        <v>29.566541934920501</v>
      </c>
      <c r="I169">
        <v>8.2899999999999991</v>
      </c>
      <c r="J169">
        <v>1.5366167739682199</v>
      </c>
      <c r="K169">
        <v>2.5859517826232099</v>
      </c>
      <c r="L169">
        <v>0.266666666666666</v>
      </c>
      <c r="M169">
        <v>0.3</v>
      </c>
      <c r="N169">
        <v>1.86666666666666</v>
      </c>
      <c r="O169">
        <v>0.1</v>
      </c>
      <c r="P169" s="2" t="d">
        <v>2026-01-23</v>
      </c>
      <c r="Q169" t="s">
        <v>406</v>
      </c>
      <c r="R169">
        <f>IFERROR(VLOOKUP($A169,Actual!$A:$D,4,FALSE),IFERROR(VLOOKUP($A169,FC!$A:$AC,29,FALSE), "Not Found"))</f>
        <v>10</v>
      </c>
      <c r="S169">
        <f>IFERROR(VLOOKUP($A169,Actual!$A:$D,3,FALSE),"0")</f>
        <v>3.0800000000000001E-2</v>
      </c>
      <c r="T169">
        <f>VLOOKUP(A169,NHT!B:F,5,FALSE)</f>
        <v>15.733333333333</v>
      </c>
    </row>
    <row r="170" spans="1:20" x14ac:dyDescent="0.2">
      <c r="A170" t="s">
        <v>321</v>
      </c>
      <c r="B170" t="s">
        <v>45</v>
      </c>
      <c r="C170" t="s">
        <v>36</v>
      </c>
      <c r="D170" t="s">
        <v>408</v>
      </c>
      <c r="E170">
        <v>3900</v>
      </c>
      <c r="F170">
        <v>8.7935882348594792</v>
      </c>
      <c r="G170">
        <v>3.5174352939437901</v>
      </c>
      <c r="H170">
        <v>26.983970587148601</v>
      </c>
      <c r="I170">
        <v>7.12</v>
      </c>
      <c r="J170">
        <v>1.6735882348594699</v>
      </c>
      <c r="K170">
        <v>2.2547662140665299</v>
      </c>
      <c r="L170">
        <v>0.18421052631578899</v>
      </c>
      <c r="M170">
        <v>0.21052631578947301</v>
      </c>
      <c r="N170">
        <v>2.1578947368421</v>
      </c>
      <c r="O170">
        <v>0.13157894736842099</v>
      </c>
      <c r="P170" s="2" t="d">
        <v>2026-01-23</v>
      </c>
      <c r="Q170" t="s">
        <v>406</v>
      </c>
      <c r="R170">
        <f>IFERROR(VLOOKUP($A170,Actual!$A:$D,4,FALSE),IFERROR(VLOOKUP($A170,FC!$A:$AC,29,FALSE), "Not Found"))</f>
        <v>1.3</v>
      </c>
      <c r="S170">
        <f>IFERROR(VLOOKUP($A170,Actual!$A:$D,3,FALSE),"0")</f>
        <v>1.7899999999999999E-2</v>
      </c>
      <c r="T170">
        <f>VLOOKUP(A170,NHT!B:F,5,FALSE)</f>
        <v>15.6</v>
      </c>
    </row>
    <row r="171" spans="1:20" x14ac:dyDescent="0.2">
      <c r="A171" t="s">
        <v>261</v>
      </c>
      <c r="B171" t="s">
        <v>74</v>
      </c>
      <c r="C171" t="s">
        <v>36</v>
      </c>
      <c r="D171" t="s">
        <v>408</v>
      </c>
      <c r="E171">
        <v>4400</v>
      </c>
      <c r="F171">
        <v>9.2643222778191401</v>
      </c>
      <c r="G171">
        <v>3.7057289111276499</v>
      </c>
      <c r="H171">
        <v>28.1608056945478</v>
      </c>
      <c r="I171">
        <v>8.3699999999999992</v>
      </c>
      <c r="J171">
        <v>0.89432227781914397</v>
      </c>
      <c r="K171">
        <v>2.10552779041344</v>
      </c>
      <c r="L171">
        <v>0.20833333333333301</v>
      </c>
      <c r="M171">
        <v>0.39583333333333298</v>
      </c>
      <c r="N171">
        <v>1.6875</v>
      </c>
      <c r="O171">
        <v>0.22916666666666599</v>
      </c>
      <c r="P171" s="2" t="d">
        <v>2026-01-23</v>
      </c>
      <c r="Q171" t="s">
        <v>406</v>
      </c>
      <c r="R171">
        <f>IFERROR(VLOOKUP($A171,Actual!$A:$D,4,FALSE),IFERROR(VLOOKUP($A171,FC!$A:$AC,29,FALSE), "Not Found"))</f>
        <v>5.8</v>
      </c>
      <c r="S171">
        <f>IFERROR(VLOOKUP($A171,Actual!$A:$D,3,FALSE),"0")</f>
        <v>1.37E-2</v>
      </c>
      <c r="T171">
        <f>VLOOKUP(A171,NHT!B:F,5,FALSE)</f>
        <v>15.566666666667</v>
      </c>
    </row>
    <row r="172" spans="1:20" x14ac:dyDescent="0.2">
      <c r="A172" t="s">
        <v>167</v>
      </c>
      <c r="B172" t="s">
        <v>59</v>
      </c>
      <c r="C172" t="s">
        <v>46</v>
      </c>
      <c r="D172" t="s">
        <v>410</v>
      </c>
      <c r="E172">
        <v>4300</v>
      </c>
      <c r="F172">
        <v>10.1193170880676</v>
      </c>
      <c r="G172">
        <v>4.0477268352270697</v>
      </c>
      <c r="H172">
        <v>30.298292720169101</v>
      </c>
      <c r="I172">
        <v>7.51</v>
      </c>
      <c r="J172">
        <v>2.6093170880676699</v>
      </c>
      <c r="K172">
        <v>2.3533295553645699</v>
      </c>
      <c r="L172">
        <v>0.183673469387755</v>
      </c>
      <c r="M172">
        <v>0.28571428571428498</v>
      </c>
      <c r="N172">
        <v>2.4489795918367299</v>
      </c>
      <c r="O172">
        <v>0.122448979591836</v>
      </c>
      <c r="P172" s="2" t="d">
        <v>2026-01-23</v>
      </c>
      <c r="Q172" t="s">
        <v>406</v>
      </c>
      <c r="R172">
        <f>IFERROR(VLOOKUP($A172,Actual!$A:$D,4,FALSE),IFERROR(VLOOKUP($A172,FC!$A:$AC,29,FALSE), "Not Found"))</f>
        <v>2.8</v>
      </c>
      <c r="S172">
        <f>IFERROR(VLOOKUP($A172,Actual!$A:$D,3,FALSE),"0")</f>
        <v>2.2700000000000001E-2</v>
      </c>
      <c r="T172">
        <f>VLOOKUP(A172,NHT!B:F,5,FALSE)</f>
        <v>15.55</v>
      </c>
    </row>
    <row r="173" spans="1:20" x14ac:dyDescent="0.2">
      <c r="A173" t="s">
        <v>194</v>
      </c>
      <c r="B173" t="s">
        <v>407</v>
      </c>
      <c r="C173" t="s">
        <v>42</v>
      </c>
      <c r="D173" t="s">
        <v>410</v>
      </c>
      <c r="E173">
        <v>2500</v>
      </c>
      <c r="F173">
        <v>5.9461076764696497</v>
      </c>
      <c r="G173">
        <v>2.3784430705878599</v>
      </c>
      <c r="H173">
        <v>19.8652691911741</v>
      </c>
      <c r="I173">
        <v>4.67</v>
      </c>
      <c r="J173">
        <v>1.27610767646965</v>
      </c>
      <c r="K173">
        <v>2.3784430705878599</v>
      </c>
      <c r="L173">
        <v>0.146341463414634</v>
      </c>
      <c r="M173">
        <v>0.12195121951219499</v>
      </c>
      <c r="N173">
        <v>1.26829268292682</v>
      </c>
      <c r="O173">
        <v>0</v>
      </c>
      <c r="P173" s="2" t="d">
        <v>2026-01-23</v>
      </c>
      <c r="Q173" t="s">
        <v>406</v>
      </c>
      <c r="R173">
        <f>IFERROR(VLOOKUP($A173,Actual!$A:$D,4,FALSE),IFERROR(VLOOKUP($A173,FC!$A:$AC,29,FALSE), "Not Found"))</f>
        <v>3</v>
      </c>
      <c r="S173">
        <f>IFERROR(VLOOKUP($A173,Actual!$A:$D,3,FALSE),"0")</f>
        <v>3.5999999999999999E-3</v>
      </c>
      <c r="T173">
        <f>VLOOKUP(A173,NHT!B:F,5,FALSE)</f>
        <v>15.533333333332999</v>
      </c>
    </row>
    <row r="174" spans="1:20" x14ac:dyDescent="0.2">
      <c r="A174" t="s">
        <v>242</v>
      </c>
      <c r="B174" t="s">
        <v>59</v>
      </c>
      <c r="C174" t="s">
        <v>36</v>
      </c>
      <c r="D174" t="s">
        <v>408</v>
      </c>
      <c r="E174">
        <v>3700</v>
      </c>
      <c r="F174">
        <v>9.87683196948438</v>
      </c>
      <c r="G174">
        <v>3.9507327877937501</v>
      </c>
      <c r="H174">
        <v>29.692079923710899</v>
      </c>
      <c r="I174">
        <v>7.6</v>
      </c>
      <c r="J174">
        <v>2.2768319694843799</v>
      </c>
      <c r="K174">
        <v>2.66941404580658</v>
      </c>
      <c r="L174">
        <v>0.17948717948717899</v>
      </c>
      <c r="M174">
        <v>0.38461538461538403</v>
      </c>
      <c r="N174">
        <v>2.1025641025641</v>
      </c>
      <c r="O174">
        <v>0.23076923076923</v>
      </c>
      <c r="P174" s="2" t="d">
        <v>2026-01-23</v>
      </c>
      <c r="Q174" t="s">
        <v>406</v>
      </c>
      <c r="R174">
        <f>IFERROR(VLOOKUP($A174,Actual!$A:$D,4,FALSE),IFERROR(VLOOKUP($A174,FC!$A:$AC,29,FALSE), "Not Found"))</f>
        <v>0</v>
      </c>
      <c r="S174">
        <f>IFERROR(VLOOKUP($A174,Actual!$A:$D,3,FALSE),"0")</f>
        <v>7.6E-3</v>
      </c>
      <c r="T174">
        <f>VLOOKUP(A174,NHT!B:F,5,FALSE)</f>
        <v>15.483333333333</v>
      </c>
    </row>
    <row r="175" spans="1:20" x14ac:dyDescent="0.2">
      <c r="A175" t="s">
        <v>281</v>
      </c>
      <c r="B175" t="s">
        <v>61</v>
      </c>
      <c r="C175" t="s">
        <v>57</v>
      </c>
      <c r="D175" t="s">
        <v>57</v>
      </c>
      <c r="E175">
        <v>2500</v>
      </c>
      <c r="F175">
        <v>4.5705329820976397</v>
      </c>
      <c r="G175">
        <v>1.8282131928390499</v>
      </c>
      <c r="H175">
        <v>16.426332455244101</v>
      </c>
      <c r="I175">
        <v>3.84</v>
      </c>
      <c r="J175">
        <v>0.73053298209764195</v>
      </c>
      <c r="K175">
        <v>1.8282131928390499</v>
      </c>
      <c r="L175">
        <v>0</v>
      </c>
      <c r="M175">
        <v>6.9767441860465101E-2</v>
      </c>
      <c r="N175">
        <v>0.60465116279069697</v>
      </c>
      <c r="O175">
        <v>0</v>
      </c>
      <c r="P175" s="2" t="d">
        <v>2026-01-23</v>
      </c>
      <c r="Q175" t="s">
        <v>406</v>
      </c>
      <c r="R175">
        <f>IFERROR(VLOOKUP($A175,Actual!$A:$D,4,FALSE),IFERROR(VLOOKUP($A175,FC!$A:$AC,29,FALSE), "Not Found"))</f>
        <v>1.5</v>
      </c>
      <c r="S175" t="str">
        <f>IFERROR(VLOOKUP($A175,Actual!$A:$D,3,FALSE),"0")</f>
        <v>0</v>
      </c>
      <c r="T175">
        <f>VLOOKUP(A175,NHT!B:F,5,FALSE)</f>
        <v>15.433333333333</v>
      </c>
    </row>
    <row r="176" spans="1:20" x14ac:dyDescent="0.2">
      <c r="A176" t="s">
        <v>255</v>
      </c>
      <c r="B176" t="s">
        <v>412</v>
      </c>
      <c r="C176" t="s">
        <v>46</v>
      </c>
      <c r="D176" t="s">
        <v>408</v>
      </c>
      <c r="E176">
        <v>5000</v>
      </c>
      <c r="F176">
        <v>11.983881489401799</v>
      </c>
      <c r="G176">
        <v>4.7935525957607501</v>
      </c>
      <c r="H176">
        <v>34.959703723504703</v>
      </c>
      <c r="I176">
        <v>8.8800000000000008</v>
      </c>
      <c r="J176">
        <v>3.10388148940189</v>
      </c>
      <c r="K176">
        <v>2.3967762978803702</v>
      </c>
      <c r="L176">
        <v>0.22</v>
      </c>
      <c r="M176">
        <v>0.52</v>
      </c>
      <c r="N176">
        <v>2.2200000000000002</v>
      </c>
      <c r="O176">
        <v>0.24</v>
      </c>
      <c r="P176" s="2" t="d">
        <v>2026-01-23</v>
      </c>
      <c r="Q176" t="s">
        <v>406</v>
      </c>
      <c r="R176">
        <f>IFERROR(VLOOKUP($A176,Actual!$A:$D,4,FALSE),IFERROR(VLOOKUP($A176,FC!$A:$AC,29,FALSE), "Not Found"))</f>
        <v>1.5</v>
      </c>
      <c r="S176">
        <f>IFERROR(VLOOKUP($A176,Actual!$A:$D,3,FALSE),"0")</f>
        <v>0.10680000000000001</v>
      </c>
      <c r="T176">
        <f>VLOOKUP(A176,NHT!B:F,5,FALSE)</f>
        <v>15.433333333333</v>
      </c>
    </row>
    <row r="177" spans="1:20" x14ac:dyDescent="0.2">
      <c r="A177" t="s">
        <v>150</v>
      </c>
      <c r="B177" t="s">
        <v>74</v>
      </c>
      <c r="C177" t="s">
        <v>42</v>
      </c>
      <c r="D177" t="s">
        <v>42</v>
      </c>
      <c r="E177">
        <v>3400</v>
      </c>
      <c r="F177">
        <v>6.9615713236609302</v>
      </c>
      <c r="G177">
        <v>2.7846285294643698</v>
      </c>
      <c r="H177">
        <v>22.403928309152299</v>
      </c>
      <c r="I177">
        <v>5.76</v>
      </c>
      <c r="J177">
        <v>1.20157132366093</v>
      </c>
      <c r="K177">
        <v>2.0475209775473302</v>
      </c>
      <c r="L177">
        <v>0.14285714285714199</v>
      </c>
      <c r="M177">
        <v>0.20408163265306101</v>
      </c>
      <c r="N177">
        <v>1.53061224489795</v>
      </c>
      <c r="O177">
        <v>8.16326530612244E-2</v>
      </c>
      <c r="P177" s="2" t="d">
        <v>2026-01-23</v>
      </c>
      <c r="Q177" t="s">
        <v>406</v>
      </c>
      <c r="R177">
        <f>IFERROR(VLOOKUP($A177,Actual!$A:$D,4,FALSE),IFERROR(VLOOKUP($A177,FC!$A:$AC,29,FALSE), "Not Found"))</f>
        <v>9.3000000000000007</v>
      </c>
      <c r="S177">
        <f>IFERROR(VLOOKUP($A177,Actual!$A:$D,3,FALSE),"0")</f>
        <v>1.9099999999999999E-2</v>
      </c>
      <c r="T177">
        <f>VLOOKUP(A177,NHT!B:F,5,FALSE)</f>
        <v>15.35</v>
      </c>
    </row>
    <row r="178" spans="1:20" x14ac:dyDescent="0.2">
      <c r="A178" t="s">
        <v>211</v>
      </c>
      <c r="B178" t="s">
        <v>148</v>
      </c>
      <c r="C178" t="s">
        <v>42</v>
      </c>
      <c r="D178" t="s">
        <v>42</v>
      </c>
      <c r="E178">
        <v>2800</v>
      </c>
      <c r="F178">
        <v>5.8542913030755797</v>
      </c>
      <c r="G178">
        <v>2.34171652123023</v>
      </c>
      <c r="H178">
        <v>19.6357282576889</v>
      </c>
      <c r="I178">
        <v>5.0199999999999996</v>
      </c>
      <c r="J178">
        <v>0.83429130307558097</v>
      </c>
      <c r="K178">
        <v>2.0908183225269901</v>
      </c>
      <c r="L178">
        <v>0.16666666666666599</v>
      </c>
      <c r="M178">
        <v>0.11111111111111099</v>
      </c>
      <c r="N178">
        <v>1.30555555555555</v>
      </c>
      <c r="O178">
        <v>0</v>
      </c>
      <c r="P178" s="2" t="d">
        <v>2026-01-23</v>
      </c>
      <c r="Q178" t="s">
        <v>406</v>
      </c>
      <c r="R178">
        <f>IFERROR(VLOOKUP($A178,Actual!$A:$D,4,FALSE),IFERROR(VLOOKUP($A178,FC!$A:$AC,29,FALSE), "Not Found"))</f>
        <v>1.5</v>
      </c>
      <c r="S178" t="str">
        <f>IFERROR(VLOOKUP($A178,Actual!$A:$D,3,FALSE),"0")</f>
        <v>0</v>
      </c>
      <c r="T178">
        <f>VLOOKUP(A178,NHT!B:F,5,FALSE)</f>
        <v>15.333333333333</v>
      </c>
    </row>
    <row r="179" spans="1:20" x14ac:dyDescent="0.2">
      <c r="A179" t="s">
        <v>241</v>
      </c>
      <c r="B179" t="s">
        <v>85</v>
      </c>
      <c r="C179" t="s">
        <v>57</v>
      </c>
      <c r="D179" t="s">
        <v>57</v>
      </c>
      <c r="E179">
        <v>2500</v>
      </c>
      <c r="F179">
        <v>5.7377247360199304</v>
      </c>
      <c r="G179">
        <v>2.2950898944079698</v>
      </c>
      <c r="H179">
        <v>19.344311840049802</v>
      </c>
      <c r="I179">
        <v>4.28</v>
      </c>
      <c r="J179">
        <v>1.4577247360199299</v>
      </c>
      <c r="K179">
        <v>2.2950898944079698</v>
      </c>
      <c r="L179">
        <v>4.54545454545454E-2</v>
      </c>
      <c r="M179">
        <v>4.54545454545454E-2</v>
      </c>
      <c r="N179">
        <v>0.95454545454545403</v>
      </c>
      <c r="O179">
        <v>0</v>
      </c>
      <c r="P179" s="2" t="d">
        <v>2026-01-23</v>
      </c>
      <c r="Q179" t="s">
        <v>406</v>
      </c>
      <c r="R179">
        <f>IFERROR(VLOOKUP($A179,Actual!$A:$D,4,FALSE),IFERROR(VLOOKUP($A179,FC!$A:$AC,29,FALSE), "Not Found"))</f>
        <v>12.5</v>
      </c>
      <c r="S179">
        <f>IFERROR(VLOOKUP($A179,Actual!$A:$D,3,FALSE),"0")</f>
        <v>5.3E-3</v>
      </c>
      <c r="T179">
        <f>VLOOKUP(A179,NHT!B:F,5,FALSE)</f>
        <v>15.316666666667</v>
      </c>
    </row>
    <row r="180" spans="1:20" x14ac:dyDescent="0.2">
      <c r="A180" t="s">
        <v>162</v>
      </c>
      <c r="B180" t="s">
        <v>64</v>
      </c>
      <c r="C180" t="s">
        <v>46</v>
      </c>
      <c r="D180" t="s">
        <v>410</v>
      </c>
      <c r="E180">
        <v>3300</v>
      </c>
      <c r="F180">
        <v>7.2743600321321997</v>
      </c>
      <c r="G180">
        <v>2.90974401285288</v>
      </c>
      <c r="H180">
        <v>23.185900080330502</v>
      </c>
      <c r="I180">
        <v>5.3</v>
      </c>
      <c r="J180">
        <v>1.9743600321321999</v>
      </c>
      <c r="K180">
        <v>2.2043515248885401</v>
      </c>
      <c r="L180">
        <v>0.1</v>
      </c>
      <c r="M180">
        <v>0.18</v>
      </c>
      <c r="N180">
        <v>1.8</v>
      </c>
      <c r="O180">
        <v>0.06</v>
      </c>
      <c r="P180" s="2" t="d">
        <v>2026-01-23</v>
      </c>
      <c r="Q180" t="s">
        <v>406</v>
      </c>
      <c r="R180">
        <f>IFERROR(VLOOKUP($A180,Actual!$A:$D,4,FALSE),IFERROR(VLOOKUP($A180,FC!$A:$AC,29,FALSE), "Not Found"))</f>
        <v>2.8</v>
      </c>
      <c r="S180">
        <f>IFERROR(VLOOKUP($A180,Actual!$A:$D,3,FALSE),"0")</f>
        <v>2.3300000000000001E-2</v>
      </c>
      <c r="T180">
        <f>VLOOKUP(A180,NHT!B:F,5,FALSE)</f>
        <v>15.283333333332999</v>
      </c>
    </row>
    <row r="181" spans="1:20" x14ac:dyDescent="0.2">
      <c r="A181" t="s">
        <v>212</v>
      </c>
      <c r="B181" t="s">
        <v>48</v>
      </c>
      <c r="C181" t="s">
        <v>46</v>
      </c>
      <c r="D181" t="s">
        <v>410</v>
      </c>
      <c r="E181">
        <v>5700</v>
      </c>
      <c r="F181">
        <v>13.899037371217799</v>
      </c>
      <c r="G181">
        <v>5.5596149484871198</v>
      </c>
      <c r="H181">
        <v>39.747593428044503</v>
      </c>
      <c r="I181">
        <v>9.8000000000000007</v>
      </c>
      <c r="J181">
        <v>4.0990373712177997</v>
      </c>
      <c r="K181">
        <v>2.4384276089855699</v>
      </c>
      <c r="L181">
        <v>0.35416666666666602</v>
      </c>
      <c r="M181">
        <v>0.41666666666666602</v>
      </c>
      <c r="N181">
        <v>2.5</v>
      </c>
      <c r="O181">
        <v>4.1666666666666602E-2</v>
      </c>
      <c r="P181" s="2" t="d">
        <v>2026-01-23</v>
      </c>
      <c r="Q181" t="s">
        <v>406</v>
      </c>
      <c r="R181">
        <f>IFERROR(VLOOKUP($A181,Actual!$A:$D,4,FALSE),IFERROR(VLOOKUP($A181,FC!$A:$AC,29,FALSE), "Not Found"))</f>
        <v>0</v>
      </c>
      <c r="S181">
        <f>IFERROR(VLOOKUP($A181,Actual!$A:$D,3,FALSE),"0")</f>
        <v>4.1200000000000001E-2</v>
      </c>
      <c r="T181">
        <f>VLOOKUP(A181,NHT!B:F,5,FALSE)</f>
        <v>15.283333333332999</v>
      </c>
    </row>
    <row r="182" spans="1:20" x14ac:dyDescent="0.2">
      <c r="A182" t="s">
        <v>305</v>
      </c>
      <c r="B182" t="s">
        <v>407</v>
      </c>
      <c r="C182" t="s">
        <v>42</v>
      </c>
      <c r="D182" t="s">
        <v>408</v>
      </c>
      <c r="E182">
        <v>3200</v>
      </c>
      <c r="F182">
        <v>5.5529315164587896</v>
      </c>
      <c r="G182">
        <v>2.2211726065835098</v>
      </c>
      <c r="H182">
        <v>18.8823287911469</v>
      </c>
      <c r="I182">
        <v>4.16</v>
      </c>
      <c r="J182">
        <v>1.3929315164587801</v>
      </c>
      <c r="K182">
        <v>1.7352910988933701</v>
      </c>
      <c r="L182">
        <v>0.13636363636363599</v>
      </c>
      <c r="M182">
        <v>0.22727272727272699</v>
      </c>
      <c r="N182">
        <v>0.84090909090909005</v>
      </c>
      <c r="O182">
        <v>2.27272727272727E-2</v>
      </c>
      <c r="P182" s="2" t="d">
        <v>2026-01-23</v>
      </c>
      <c r="Q182" t="s">
        <v>406</v>
      </c>
      <c r="R182">
        <f>IFERROR(VLOOKUP($A182,Actual!$A:$D,4,FALSE),IFERROR(VLOOKUP($A182,FC!$A:$AC,29,FALSE), "Not Found"))</f>
        <v>4.5</v>
      </c>
      <c r="S182">
        <f>IFERROR(VLOOKUP($A182,Actual!$A:$D,3,FALSE),"0")</f>
        <v>1.35E-2</v>
      </c>
      <c r="T182">
        <f>VLOOKUP(A182,NHT!B:F,5,FALSE)</f>
        <v>15.266666666667</v>
      </c>
    </row>
    <row r="183" spans="1:20" x14ac:dyDescent="0.2">
      <c r="A183" t="s">
        <v>293</v>
      </c>
      <c r="B183" t="s">
        <v>407</v>
      </c>
      <c r="C183" t="s">
        <v>57</v>
      </c>
      <c r="D183" t="s">
        <v>57</v>
      </c>
      <c r="E183">
        <v>2600</v>
      </c>
      <c r="F183">
        <v>7.9284572835899203</v>
      </c>
      <c r="G183">
        <v>3.1713829134359601</v>
      </c>
      <c r="H183">
        <v>24.821143208974799</v>
      </c>
      <c r="I183">
        <v>5.5</v>
      </c>
      <c r="J183">
        <v>2.4284572835899199</v>
      </c>
      <c r="K183">
        <v>3.04940664753458</v>
      </c>
      <c r="L183">
        <v>3.3333333333333298E-2</v>
      </c>
      <c r="M183">
        <v>0.3</v>
      </c>
      <c r="N183">
        <v>1.2333333333333301</v>
      </c>
      <c r="O183">
        <v>0</v>
      </c>
      <c r="P183" s="2" t="d">
        <v>2026-01-23</v>
      </c>
      <c r="Q183" t="s">
        <v>406</v>
      </c>
      <c r="R183">
        <f>IFERROR(VLOOKUP($A183,Actual!$A:$D,4,FALSE),IFERROR(VLOOKUP($A183,FC!$A:$AC,29,FALSE), "Not Found"))</f>
        <v>4.5</v>
      </c>
      <c r="S183">
        <f>IFERROR(VLOOKUP($A183,Actual!$A:$D,3,FALSE),"0")</f>
        <v>2.8E-3</v>
      </c>
      <c r="T183">
        <f>VLOOKUP(A183,NHT!B:F,5,FALSE)</f>
        <v>15.266666666667</v>
      </c>
    </row>
    <row r="184" spans="1:20" x14ac:dyDescent="0.2">
      <c r="A184" t="s">
        <v>285</v>
      </c>
      <c r="B184" t="s">
        <v>35</v>
      </c>
      <c r="C184" t="s">
        <v>42</v>
      </c>
      <c r="D184" t="s">
        <v>410</v>
      </c>
      <c r="E184">
        <v>5600</v>
      </c>
      <c r="F184">
        <v>12.889192296255599</v>
      </c>
      <c r="G184">
        <v>5.1556769185022597</v>
      </c>
      <c r="H184">
        <v>37.222980740639102</v>
      </c>
      <c r="I184">
        <v>10.41</v>
      </c>
      <c r="J184">
        <v>2.4791922962556501</v>
      </c>
      <c r="K184">
        <v>2.3016414814742201</v>
      </c>
      <c r="L184">
        <v>0.38775510204081598</v>
      </c>
      <c r="M184">
        <v>0.55102040816326503</v>
      </c>
      <c r="N184">
        <v>2.2244897959183598</v>
      </c>
      <c r="O184">
        <v>0.32653061224489699</v>
      </c>
      <c r="P184" s="2" t="d">
        <v>2026-01-23</v>
      </c>
      <c r="Q184" t="s">
        <v>406</v>
      </c>
      <c r="R184">
        <f>IFERROR(VLOOKUP($A184,Actual!$A:$D,4,FALSE),IFERROR(VLOOKUP($A184,FC!$A:$AC,29,FALSE), "Not Found"))</f>
        <v>2.8</v>
      </c>
      <c r="S184">
        <f>IFERROR(VLOOKUP($A184,Actual!$A:$D,3,FALSE),"0")</f>
        <v>2.0500000000000001E-2</v>
      </c>
      <c r="T184">
        <f>VLOOKUP(A184,NHT!B:F,5,FALSE)</f>
        <v>15.2</v>
      </c>
    </row>
    <row r="185" spans="1:20" x14ac:dyDescent="0.2">
      <c r="A185" t="s">
        <v>301</v>
      </c>
      <c r="B185" t="s">
        <v>85</v>
      </c>
      <c r="C185" t="s">
        <v>46</v>
      </c>
      <c r="D185" t="s">
        <v>410</v>
      </c>
      <c r="E185">
        <v>4300</v>
      </c>
      <c r="F185">
        <v>9.2579741833691696</v>
      </c>
      <c r="G185">
        <v>3.7031896733476701</v>
      </c>
      <c r="H185">
        <v>28.1449354584229</v>
      </c>
      <c r="I185">
        <v>7.99</v>
      </c>
      <c r="J185">
        <v>1.26797418336917</v>
      </c>
      <c r="K185">
        <v>2.15301725194632</v>
      </c>
      <c r="L185">
        <v>0.21568627450980299</v>
      </c>
      <c r="M185">
        <v>0.27450980392156799</v>
      </c>
      <c r="N185">
        <v>1.8823529411764699</v>
      </c>
      <c r="O185">
        <v>0.15686274509803899</v>
      </c>
      <c r="P185" s="2" t="d">
        <v>2026-01-23</v>
      </c>
      <c r="Q185" t="s">
        <v>406</v>
      </c>
      <c r="R185">
        <f>IFERROR(VLOOKUP($A185,Actual!$A:$D,4,FALSE),IFERROR(VLOOKUP($A185,FC!$A:$AC,29,FALSE), "Not Found"))</f>
        <v>3</v>
      </c>
      <c r="S185">
        <f>IFERROR(VLOOKUP($A185,Actual!$A:$D,3,FALSE),"0")</f>
        <v>6.7000000000000002E-3</v>
      </c>
      <c r="T185">
        <f>VLOOKUP(A185,NHT!B:F,5,FALSE)</f>
        <v>15.2</v>
      </c>
    </row>
    <row r="186" spans="1:20" x14ac:dyDescent="0.2">
      <c r="A186" t="s">
        <v>284</v>
      </c>
      <c r="B186" t="s">
        <v>39</v>
      </c>
      <c r="C186" t="s">
        <v>57</v>
      </c>
      <c r="D186" t="s">
        <v>57</v>
      </c>
      <c r="E186">
        <v>2500</v>
      </c>
      <c r="F186">
        <v>6.8813377495832402</v>
      </c>
      <c r="G186">
        <v>2.75253509983329</v>
      </c>
      <c r="H186">
        <v>22.2033443739581</v>
      </c>
      <c r="I186">
        <v>5.31</v>
      </c>
      <c r="J186">
        <v>1.5713377495832399</v>
      </c>
      <c r="K186">
        <v>2.75253509983329</v>
      </c>
      <c r="L186">
        <v>6.1224489795918297E-2</v>
      </c>
      <c r="M186">
        <v>0.183673469387755</v>
      </c>
      <c r="N186">
        <v>0.95918367346938704</v>
      </c>
      <c r="O186">
        <v>0</v>
      </c>
      <c r="P186" s="2" t="d">
        <v>2026-01-23</v>
      </c>
      <c r="Q186" t="s">
        <v>406</v>
      </c>
      <c r="R186">
        <f>IFERROR(VLOOKUP($A186,Actual!$A:$D,4,FALSE),IFERROR(VLOOKUP($A186,FC!$A:$AC,29,FALSE), "Not Found"))</f>
        <v>1.3</v>
      </c>
      <c r="S186">
        <f>IFERROR(VLOOKUP($A186,Actual!$A:$D,3,FALSE),"0")</f>
        <v>5.3E-3</v>
      </c>
      <c r="T186">
        <f>VLOOKUP(A186,NHT!B:F,5,FALSE)</f>
        <v>15.183333333333</v>
      </c>
    </row>
    <row r="187" spans="1:20" x14ac:dyDescent="0.2">
      <c r="A187" t="s">
        <v>127</v>
      </c>
      <c r="B187" t="s">
        <v>74</v>
      </c>
      <c r="C187" t="s">
        <v>36</v>
      </c>
      <c r="D187" t="s">
        <v>408</v>
      </c>
      <c r="E187">
        <v>3400</v>
      </c>
      <c r="F187">
        <v>8.0604828005149098</v>
      </c>
      <c r="G187">
        <v>3.2241931202059599</v>
      </c>
      <c r="H187">
        <v>25.151207001287201</v>
      </c>
      <c r="I187">
        <v>5.77</v>
      </c>
      <c r="J187">
        <v>2.2904828005149098</v>
      </c>
      <c r="K187">
        <v>2.3707302354455599</v>
      </c>
      <c r="L187">
        <v>0.15151515151515099</v>
      </c>
      <c r="M187">
        <v>0.39393939393939298</v>
      </c>
      <c r="N187">
        <v>1.4545454545454499</v>
      </c>
      <c r="O187">
        <v>0.15151515151515099</v>
      </c>
      <c r="P187" s="2" t="d">
        <v>2026-01-23</v>
      </c>
      <c r="Q187" t="s">
        <v>406</v>
      </c>
      <c r="R187">
        <f>IFERROR(VLOOKUP($A187,Actual!$A:$D,4,FALSE),IFERROR(VLOOKUP($A187,FC!$A:$AC,29,FALSE), "Not Found"))</f>
        <v>8</v>
      </c>
      <c r="S187">
        <f>IFERROR(VLOOKUP($A187,Actual!$A:$D,3,FALSE),"0")</f>
        <v>1.6799999999999999E-2</v>
      </c>
      <c r="T187">
        <f>VLOOKUP(A187,NHT!B:F,5,FALSE)</f>
        <v>15.183333333333</v>
      </c>
    </row>
    <row r="188" spans="1:20" x14ac:dyDescent="0.2">
      <c r="A188" t="s">
        <v>324</v>
      </c>
      <c r="B188" t="s">
        <v>85</v>
      </c>
      <c r="C188" t="s">
        <v>42</v>
      </c>
      <c r="D188" t="s">
        <v>42</v>
      </c>
      <c r="E188">
        <v>2500</v>
      </c>
      <c r="F188">
        <v>5.44984307472716</v>
      </c>
      <c r="G188">
        <v>2.1799372298908599</v>
      </c>
      <c r="H188">
        <v>18.6246076868179</v>
      </c>
      <c r="I188">
        <v>4.54</v>
      </c>
      <c r="J188">
        <v>0.90984307472716197</v>
      </c>
      <c r="K188">
        <v>2.1799372298908599</v>
      </c>
      <c r="L188">
        <v>0.125</v>
      </c>
      <c r="M188">
        <v>0.16666666666666599</v>
      </c>
      <c r="N188">
        <v>1.0208333333333299</v>
      </c>
      <c r="O188">
        <v>8.3333333333333301E-2</v>
      </c>
      <c r="P188" s="2" t="d">
        <v>2026-01-23</v>
      </c>
      <c r="Q188" t="s">
        <v>406</v>
      </c>
      <c r="R188">
        <f>IFERROR(VLOOKUP($A188,Actual!$A:$D,4,FALSE),IFERROR(VLOOKUP($A188,FC!$A:$AC,29,FALSE), "Not Found"))</f>
        <v>0</v>
      </c>
      <c r="S188">
        <f>IFERROR(VLOOKUP($A188,Actual!$A:$D,3,FALSE),"0")</f>
        <v>1.23E-2</v>
      </c>
      <c r="T188">
        <f>VLOOKUP(A188,NHT!B:F,5,FALSE)</f>
        <v>15.1</v>
      </c>
    </row>
    <row r="189" spans="1:20" x14ac:dyDescent="0.2">
      <c r="A189" t="s">
        <v>309</v>
      </c>
      <c r="B189" t="s">
        <v>117</v>
      </c>
      <c r="C189" t="s">
        <v>36</v>
      </c>
      <c r="D189" t="s">
        <v>408</v>
      </c>
      <c r="E189">
        <v>4100</v>
      </c>
      <c r="F189">
        <v>11.1569670909672</v>
      </c>
      <c r="G189">
        <v>4.4627868363868997</v>
      </c>
      <c r="H189">
        <v>32.892417727418099</v>
      </c>
      <c r="I189">
        <v>7.96</v>
      </c>
      <c r="J189">
        <v>3.1969670909672501</v>
      </c>
      <c r="K189">
        <v>2.72121148560176</v>
      </c>
      <c r="L189">
        <v>0.265306122448979</v>
      </c>
      <c r="M189">
        <v>0.265306122448979</v>
      </c>
      <c r="N189">
        <v>2.3469387755101998</v>
      </c>
      <c r="O189">
        <v>0.163265306122448</v>
      </c>
      <c r="P189" s="2" t="d">
        <v>2026-01-23</v>
      </c>
      <c r="Q189" t="s">
        <v>406</v>
      </c>
      <c r="R189">
        <f>IFERROR(VLOOKUP($A189,Actual!$A:$D,4,FALSE),IFERROR(VLOOKUP($A189,FC!$A:$AC,29,FALSE), "Not Found"))</f>
        <v>1.3</v>
      </c>
      <c r="S189">
        <f>IFERROR(VLOOKUP($A189,Actual!$A:$D,3,FALSE),"0")</f>
        <v>4.9599999999999998E-2</v>
      </c>
      <c r="T189">
        <f>VLOOKUP(A189,NHT!B:F,5,FALSE)</f>
        <v>15.083333333333</v>
      </c>
    </row>
    <row r="190" spans="1:20" x14ac:dyDescent="0.2">
      <c r="A190" t="s">
        <v>122</v>
      </c>
      <c r="B190" t="s">
        <v>35</v>
      </c>
      <c r="C190" t="s">
        <v>46</v>
      </c>
      <c r="D190" t="s">
        <v>42</v>
      </c>
      <c r="E190">
        <v>3600</v>
      </c>
      <c r="F190">
        <v>8.0643004403893599</v>
      </c>
      <c r="G190">
        <v>3.2257201761557401</v>
      </c>
      <c r="H190">
        <v>25.1607511009734</v>
      </c>
      <c r="I190">
        <v>6.86</v>
      </c>
      <c r="J190">
        <v>1.20430044038936</v>
      </c>
      <c r="K190">
        <v>2.2400834556637101</v>
      </c>
      <c r="L190">
        <v>0.20408163265306101</v>
      </c>
      <c r="M190">
        <v>0.30612244897959101</v>
      </c>
      <c r="N190">
        <v>1.6326530612244801</v>
      </c>
      <c r="O190">
        <v>0.122448979591836</v>
      </c>
      <c r="P190" s="2" t="d">
        <v>2026-01-23</v>
      </c>
      <c r="Q190" t="s">
        <v>406</v>
      </c>
      <c r="R190">
        <f>IFERROR(VLOOKUP($A190,Actual!$A:$D,4,FALSE),IFERROR(VLOOKUP($A190,FC!$A:$AC,29,FALSE), "Not Found"))</f>
        <v>6.3</v>
      </c>
      <c r="S190">
        <f>IFERROR(VLOOKUP($A190,Actual!$A:$D,3,FALSE),"0")</f>
        <v>4.1999999999999997E-3</v>
      </c>
      <c r="T190">
        <f>VLOOKUP(A190,NHT!B:F,5,FALSE)</f>
        <v>15</v>
      </c>
    </row>
    <row r="191" spans="1:20" x14ac:dyDescent="0.2">
      <c r="A191" t="s">
        <v>104</v>
      </c>
      <c r="B191" t="s">
        <v>39</v>
      </c>
      <c r="C191" t="s">
        <v>36</v>
      </c>
      <c r="D191" t="s">
        <v>408</v>
      </c>
      <c r="E191">
        <v>2500</v>
      </c>
      <c r="F191">
        <v>4.4004155182395799</v>
      </c>
      <c r="G191">
        <v>1.76016620729583</v>
      </c>
      <c r="H191">
        <v>16.001038795598902</v>
      </c>
      <c r="I191">
        <v>3.34</v>
      </c>
      <c r="J191">
        <v>1.06041551823958</v>
      </c>
      <c r="K191">
        <v>1.76016620729583</v>
      </c>
      <c r="L191">
        <v>6.1224489795918297E-2</v>
      </c>
      <c r="M191">
        <v>0.163265306122448</v>
      </c>
      <c r="N191">
        <v>0.83673469387755095</v>
      </c>
      <c r="O191">
        <v>0</v>
      </c>
      <c r="P191" s="2" t="d">
        <v>2026-01-23</v>
      </c>
      <c r="Q191" t="s">
        <v>406</v>
      </c>
      <c r="R191">
        <f>IFERROR(VLOOKUP($A191,Actual!$A:$D,4,FALSE),IFERROR(VLOOKUP($A191,FC!$A:$AC,29,FALSE), "Not Found"))</f>
        <v>19</v>
      </c>
      <c r="S191">
        <f>IFERROR(VLOOKUP($A191,Actual!$A:$D,3,FALSE),"0")</f>
        <v>1.1000000000000001E-3</v>
      </c>
      <c r="T191">
        <f>VLOOKUP(A191,NHT!B:F,5,FALSE)</f>
        <v>14.85</v>
      </c>
    </row>
    <row r="192" spans="1:20" x14ac:dyDescent="0.2">
      <c r="A192" t="s">
        <v>310</v>
      </c>
      <c r="B192" t="s">
        <v>45</v>
      </c>
      <c r="C192" t="s">
        <v>57</v>
      </c>
      <c r="D192" t="s">
        <v>57</v>
      </c>
      <c r="E192">
        <v>2500</v>
      </c>
      <c r="F192">
        <v>5.0396051857658302</v>
      </c>
      <c r="G192">
        <v>2.0158420743063301</v>
      </c>
      <c r="H192">
        <v>17.599012964414499</v>
      </c>
      <c r="I192">
        <v>2.4900000000000002</v>
      </c>
      <c r="J192">
        <v>2.54960518576583</v>
      </c>
      <c r="K192">
        <v>2.0158420743063301</v>
      </c>
      <c r="L192">
        <v>2.8571428571428501E-2</v>
      </c>
      <c r="M192">
        <v>2.8571428571428501E-2</v>
      </c>
      <c r="N192">
        <v>0.88571428571428501</v>
      </c>
      <c r="O192">
        <v>0</v>
      </c>
      <c r="P192" s="2" t="d">
        <v>2026-01-23</v>
      </c>
      <c r="Q192" t="s">
        <v>406</v>
      </c>
      <c r="R192">
        <f>IFERROR(VLOOKUP($A192,Actual!$A:$D,4,FALSE),IFERROR(VLOOKUP($A192,FC!$A:$AC,29,FALSE), "Not Found"))</f>
        <v>1.3</v>
      </c>
      <c r="S192">
        <f>IFERROR(VLOOKUP($A192,Actual!$A:$D,3,FALSE),"0")</f>
        <v>2.9999999999999997E-4</v>
      </c>
      <c r="T192">
        <f>VLOOKUP(A192,NHT!B:F,5,FALSE)</f>
        <v>14.8</v>
      </c>
    </row>
    <row r="193" spans="1:20" x14ac:dyDescent="0.2">
      <c r="A193" t="s">
        <v>275</v>
      </c>
      <c r="B193" t="s">
        <v>407</v>
      </c>
      <c r="C193" t="s">
        <v>36</v>
      </c>
      <c r="D193" t="s">
        <v>408</v>
      </c>
      <c r="E193">
        <v>2700</v>
      </c>
      <c r="F193">
        <v>6.9617984577305698</v>
      </c>
      <c r="G193">
        <v>2.7847193830922299</v>
      </c>
      <c r="H193">
        <v>22.404496144326401</v>
      </c>
      <c r="I193">
        <v>5.19</v>
      </c>
      <c r="J193">
        <v>1.7717984577305701</v>
      </c>
      <c r="K193">
        <v>2.5784438732335402</v>
      </c>
      <c r="L193">
        <v>0.19512195121951201</v>
      </c>
      <c r="M193">
        <v>0.17073170731707299</v>
      </c>
      <c r="N193">
        <v>1.34146341463414</v>
      </c>
      <c r="O193">
        <v>0</v>
      </c>
      <c r="P193" s="2" t="d">
        <v>2026-01-23</v>
      </c>
      <c r="Q193" t="s">
        <v>406</v>
      </c>
      <c r="R193">
        <f>IFERROR(VLOOKUP($A193,Actual!$A:$D,4,FALSE),IFERROR(VLOOKUP($A193,FC!$A:$AC,29,FALSE), "Not Found"))</f>
        <v>4.3</v>
      </c>
      <c r="S193">
        <f>IFERROR(VLOOKUP($A193,Actual!$A:$D,3,FALSE),"0")</f>
        <v>6.4000000000000003E-3</v>
      </c>
      <c r="T193">
        <f>VLOOKUP(A193,NHT!B:F,5,FALSE)</f>
        <v>14.766666666667</v>
      </c>
    </row>
    <row r="194" spans="1:20" x14ac:dyDescent="0.2">
      <c r="A194" t="s">
        <v>58</v>
      </c>
      <c r="B194" t="s">
        <v>59</v>
      </c>
      <c r="C194" t="s">
        <v>42</v>
      </c>
      <c r="D194" t="s">
        <v>408</v>
      </c>
      <c r="E194">
        <v>3200</v>
      </c>
      <c r="F194">
        <v>7.8914927701295401</v>
      </c>
      <c r="G194">
        <v>3.1565971080518098</v>
      </c>
      <c r="H194">
        <v>24.7287319253238</v>
      </c>
      <c r="I194">
        <v>5.85</v>
      </c>
      <c r="J194">
        <v>2.04149277012954</v>
      </c>
      <c r="K194">
        <v>2.4660914906654798</v>
      </c>
      <c r="L194">
        <v>0.21276595744680801</v>
      </c>
      <c r="M194">
        <v>0.25531914893617003</v>
      </c>
      <c r="N194">
        <v>1.5319148936170199</v>
      </c>
      <c r="O194">
        <v>4.2553191489361701E-2</v>
      </c>
      <c r="P194" s="2" t="d">
        <v>2026-01-23</v>
      </c>
      <c r="Q194" t="s">
        <v>406</v>
      </c>
      <c r="R194">
        <f>IFERROR(VLOOKUP($A194,Actual!$A:$D,4,FALSE),IFERROR(VLOOKUP($A194,FC!$A:$AC,29,FALSE), "Not Found"))</f>
        <v>20.8</v>
      </c>
      <c r="S194">
        <f>IFERROR(VLOOKUP($A194,Actual!$A:$D,3,FALSE),"0")</f>
        <v>1.01E-2</v>
      </c>
      <c r="T194">
        <f>VLOOKUP(A194,NHT!B:F,5,FALSE)</f>
        <v>14.633333333333001</v>
      </c>
    </row>
    <row r="195" spans="1:20" x14ac:dyDescent="0.2">
      <c r="A195" t="s">
        <v>269</v>
      </c>
      <c r="B195" t="s">
        <v>48</v>
      </c>
      <c r="C195" t="s">
        <v>42</v>
      </c>
      <c r="D195" t="s">
        <v>42</v>
      </c>
      <c r="E195">
        <v>2900</v>
      </c>
      <c r="F195">
        <v>6.3421271529503302</v>
      </c>
      <c r="G195">
        <v>2.5368508611801301</v>
      </c>
      <c r="H195">
        <v>20.8553178823758</v>
      </c>
      <c r="I195">
        <v>5.15</v>
      </c>
      <c r="J195">
        <v>1.1921271529503299</v>
      </c>
      <c r="K195">
        <v>2.1869403975690802</v>
      </c>
      <c r="L195">
        <v>0.14583333333333301</v>
      </c>
      <c r="M195">
        <v>0.16666666666666599</v>
      </c>
      <c r="N195">
        <v>1.2083333333333299</v>
      </c>
      <c r="O195">
        <v>0</v>
      </c>
      <c r="P195" s="2" t="d">
        <v>2026-01-23</v>
      </c>
      <c r="Q195" t="s">
        <v>406</v>
      </c>
      <c r="R195">
        <f>IFERROR(VLOOKUP($A195,Actual!$A:$D,4,FALSE),IFERROR(VLOOKUP($A195,FC!$A:$AC,29,FALSE), "Not Found"))</f>
        <v>1.3</v>
      </c>
      <c r="S195">
        <f>IFERROR(VLOOKUP($A195,Actual!$A:$D,3,FALSE),"0")</f>
        <v>6.4000000000000003E-3</v>
      </c>
      <c r="T195">
        <f>VLOOKUP(A195,NHT!B:F,5,FALSE)</f>
        <v>14.633333333333001</v>
      </c>
    </row>
    <row r="196" spans="1:20" x14ac:dyDescent="0.2">
      <c r="A196" t="s">
        <v>250</v>
      </c>
      <c r="B196" t="s">
        <v>74</v>
      </c>
      <c r="C196" t="s">
        <v>57</v>
      </c>
      <c r="D196" t="s">
        <v>57</v>
      </c>
      <c r="E196">
        <v>2900</v>
      </c>
      <c r="F196">
        <v>5.6993665969593703</v>
      </c>
      <c r="G196">
        <v>2.2797466387837502</v>
      </c>
      <c r="H196">
        <v>19.248416492398398</v>
      </c>
      <c r="I196">
        <v>4.8600000000000003</v>
      </c>
      <c r="J196">
        <v>0.83936659695937399</v>
      </c>
      <c r="K196">
        <v>1.96529882653771</v>
      </c>
      <c r="L196">
        <v>4.08163265306122E-2</v>
      </c>
      <c r="M196">
        <v>0.122448979591836</v>
      </c>
      <c r="N196">
        <v>0.75510204081632604</v>
      </c>
      <c r="O196">
        <v>0</v>
      </c>
      <c r="P196" s="2" t="d">
        <v>2026-01-23</v>
      </c>
      <c r="Q196" t="s">
        <v>406</v>
      </c>
      <c r="R196">
        <f>IFERROR(VLOOKUP($A196,Actual!$A:$D,4,FALSE),IFERROR(VLOOKUP($A196,FC!$A:$AC,29,FALSE), "Not Found"))</f>
        <v>6.9</v>
      </c>
      <c r="S196">
        <f>IFERROR(VLOOKUP($A196,Actual!$A:$D,3,FALSE),"0")</f>
        <v>1.1000000000000001E-3</v>
      </c>
      <c r="T196">
        <f>VLOOKUP(A196,NHT!B:F,5,FALSE)</f>
        <v>14.616666666666999</v>
      </c>
    </row>
    <row r="197" spans="1:20" x14ac:dyDescent="0.2">
      <c r="A197" t="s">
        <v>276</v>
      </c>
      <c r="B197" t="s">
        <v>45</v>
      </c>
      <c r="C197" t="s">
        <v>57</v>
      </c>
      <c r="D197" t="s">
        <v>57</v>
      </c>
      <c r="E197">
        <v>2500</v>
      </c>
      <c r="F197">
        <v>6.2536842070905401</v>
      </c>
      <c r="G197">
        <v>2.5014736828362101</v>
      </c>
      <c r="H197">
        <v>20.634210517726299</v>
      </c>
      <c r="I197">
        <v>3.81</v>
      </c>
      <c r="J197">
        <v>2.44368420709054</v>
      </c>
      <c r="K197">
        <v>2.5014736828362101</v>
      </c>
      <c r="L197">
        <v>4.4444444444444398E-2</v>
      </c>
      <c r="M197">
        <v>0.155555555555555</v>
      </c>
      <c r="N197">
        <v>1.0222222222222199</v>
      </c>
      <c r="O197">
        <v>0</v>
      </c>
      <c r="P197" s="2" t="d">
        <v>2026-01-23</v>
      </c>
      <c r="Q197" t="s">
        <v>406</v>
      </c>
      <c r="R197">
        <f>IFERROR(VLOOKUP($A197,Actual!$A:$D,4,FALSE),IFERROR(VLOOKUP($A197,FC!$A:$AC,29,FALSE), "Not Found"))</f>
        <v>4.5</v>
      </c>
      <c r="S197">
        <f>IFERROR(VLOOKUP($A197,Actual!$A:$D,3,FALSE),"0")</f>
        <v>2E-3</v>
      </c>
      <c r="T197">
        <f>VLOOKUP(A197,NHT!B:F,5,FALSE)</f>
        <v>14.6</v>
      </c>
    </row>
    <row r="198" spans="1:20" x14ac:dyDescent="0.2">
      <c r="A198" t="s">
        <v>43</v>
      </c>
      <c r="B198" t="s">
        <v>35</v>
      </c>
      <c r="C198" t="s">
        <v>36</v>
      </c>
      <c r="D198" t="s">
        <v>410</v>
      </c>
      <c r="E198">
        <v>3800</v>
      </c>
      <c r="F198">
        <v>9.0153490550511197</v>
      </c>
      <c r="G198">
        <v>3.60613962202045</v>
      </c>
      <c r="H198">
        <v>27.538372637627798</v>
      </c>
      <c r="I198">
        <v>6.89</v>
      </c>
      <c r="J198">
        <v>2.12534905505112</v>
      </c>
      <c r="K198">
        <v>2.3724602776450299</v>
      </c>
      <c r="L198">
        <v>0.20833333333333301</v>
      </c>
      <c r="M198">
        <v>0.29166666666666602</v>
      </c>
      <c r="N198">
        <v>2.0416666666666599</v>
      </c>
      <c r="O198">
        <v>0.10416666666666601</v>
      </c>
      <c r="P198" s="2" t="d">
        <v>2026-01-23</v>
      </c>
      <c r="Q198" t="s">
        <v>406</v>
      </c>
      <c r="R198">
        <f>IFERROR(VLOOKUP($A198,Actual!$A:$D,4,FALSE),IFERROR(VLOOKUP($A198,FC!$A:$AC,29,FALSE), "Not Found"))</f>
        <v>35.5</v>
      </c>
      <c r="S198">
        <f>IFERROR(VLOOKUP($A198,Actual!$A:$D,3,FALSE),"0")</f>
        <v>6.1999999999999998E-3</v>
      </c>
      <c r="T198">
        <f>VLOOKUP(A198,NHT!B:F,5,FALSE)</f>
        <v>14.516666666667</v>
      </c>
    </row>
    <row r="199" spans="1:20" x14ac:dyDescent="0.2">
      <c r="A199" t="s">
        <v>203</v>
      </c>
      <c r="B199" t="s">
        <v>39</v>
      </c>
      <c r="C199" t="s">
        <v>57</v>
      </c>
      <c r="D199" t="s">
        <v>57</v>
      </c>
      <c r="E199">
        <v>2700</v>
      </c>
      <c r="F199">
        <v>8.4071047745979399</v>
      </c>
      <c r="G199">
        <v>3.3628419098391702</v>
      </c>
      <c r="H199">
        <v>26.0177619364948</v>
      </c>
      <c r="I199">
        <v>5.7</v>
      </c>
      <c r="J199">
        <v>2.7071047745979402</v>
      </c>
      <c r="K199">
        <v>3.1137425091103501</v>
      </c>
      <c r="L199">
        <v>0.14285714285714199</v>
      </c>
      <c r="M199">
        <v>0.16666666666666599</v>
      </c>
      <c r="N199">
        <v>1.28571428571428</v>
      </c>
      <c r="O199">
        <v>0</v>
      </c>
      <c r="P199" s="2" t="d">
        <v>2026-01-23</v>
      </c>
      <c r="Q199" t="s">
        <v>406</v>
      </c>
      <c r="R199">
        <f>IFERROR(VLOOKUP($A199,Actual!$A:$D,4,FALSE),IFERROR(VLOOKUP($A199,FC!$A:$AC,29,FALSE), "Not Found"))</f>
        <v>0</v>
      </c>
      <c r="S199">
        <f>IFERROR(VLOOKUP($A199,Actual!$A:$D,3,FALSE),"0")</f>
        <v>2.9999999999999997E-4</v>
      </c>
      <c r="T199">
        <f>VLOOKUP(A199,NHT!B:F,5,FALSE)</f>
        <v>14.45</v>
      </c>
    </row>
    <row r="200" spans="1:20" x14ac:dyDescent="0.2">
      <c r="A200" t="s">
        <v>137</v>
      </c>
      <c r="B200" t="s">
        <v>117</v>
      </c>
      <c r="C200" t="s">
        <v>42</v>
      </c>
      <c r="D200" t="s">
        <v>410</v>
      </c>
      <c r="E200">
        <v>3400</v>
      </c>
      <c r="F200">
        <v>7.5739357234604299</v>
      </c>
      <c r="G200">
        <v>3.0295742893841702</v>
      </c>
      <c r="H200">
        <v>23.934839308651</v>
      </c>
      <c r="I200">
        <v>5.26</v>
      </c>
      <c r="J200">
        <v>2.3139357234604301</v>
      </c>
      <c r="K200">
        <v>2.2276281539589502</v>
      </c>
      <c r="L200">
        <v>0.16666666666666599</v>
      </c>
      <c r="M200">
        <v>0.22916666666666599</v>
      </c>
      <c r="N200">
        <v>1.5</v>
      </c>
      <c r="O200">
        <v>0.125</v>
      </c>
      <c r="P200" s="2" t="d">
        <v>2026-01-23</v>
      </c>
      <c r="Q200" t="s">
        <v>406</v>
      </c>
      <c r="R200">
        <f>IFERROR(VLOOKUP($A200,Actual!$A:$D,4,FALSE),IFERROR(VLOOKUP($A200,FC!$A:$AC,29,FALSE), "Not Found"))</f>
        <v>6.3</v>
      </c>
      <c r="S200">
        <f>IFERROR(VLOOKUP($A200,Actual!$A:$D,3,FALSE),"0")</f>
        <v>2.4400000000000002E-2</v>
      </c>
      <c r="T200">
        <f>VLOOKUP(A200,NHT!B:F,5,FALSE)</f>
        <v>14.4</v>
      </c>
    </row>
    <row r="201" spans="1:20" x14ac:dyDescent="0.2">
      <c r="A201" t="s">
        <v>79</v>
      </c>
      <c r="B201" t="s">
        <v>39</v>
      </c>
      <c r="C201" t="s">
        <v>36</v>
      </c>
      <c r="D201" t="s">
        <v>410</v>
      </c>
      <c r="E201">
        <v>3000</v>
      </c>
      <c r="F201">
        <v>6.1354276908488803</v>
      </c>
      <c r="G201">
        <v>2.4541710763395499</v>
      </c>
      <c r="H201">
        <v>20.3385692271222</v>
      </c>
      <c r="I201">
        <v>4.1100000000000003</v>
      </c>
      <c r="J201">
        <v>2.02542769084888</v>
      </c>
      <c r="K201">
        <v>2.0451425636162899</v>
      </c>
      <c r="L201">
        <v>0.17777777777777701</v>
      </c>
      <c r="M201">
        <v>0.133333333333333</v>
      </c>
      <c r="N201">
        <v>1.13333333333333</v>
      </c>
      <c r="O201">
        <v>2.2222222222222199E-2</v>
      </c>
      <c r="P201" s="2" t="d">
        <v>2026-01-23</v>
      </c>
      <c r="Q201" t="s">
        <v>406</v>
      </c>
      <c r="R201">
        <f>IFERROR(VLOOKUP($A201,Actual!$A:$D,4,FALSE),IFERROR(VLOOKUP($A201,FC!$A:$AC,29,FALSE), "Not Found"))</f>
        <v>6.5</v>
      </c>
      <c r="S201">
        <f>IFERROR(VLOOKUP($A201,Actual!$A:$D,3,FALSE),"0")</f>
        <v>1.6299999999999999E-2</v>
      </c>
      <c r="T201">
        <f>VLOOKUP(A201,NHT!B:F,5,FALSE)</f>
        <v>14.4</v>
      </c>
    </row>
    <row r="202" spans="1:20" x14ac:dyDescent="0.2">
      <c r="A202" t="s">
        <v>143</v>
      </c>
      <c r="B202" t="s">
        <v>64</v>
      </c>
      <c r="C202" t="s">
        <v>57</v>
      </c>
      <c r="D202" t="s">
        <v>408</v>
      </c>
      <c r="E202">
        <v>2500</v>
      </c>
      <c r="F202">
        <v>6.5564123141132997</v>
      </c>
      <c r="G202">
        <v>2.6225649256453201</v>
      </c>
      <c r="H202">
        <v>21.391030785283199</v>
      </c>
      <c r="I202">
        <v>5.58</v>
      </c>
      <c r="J202">
        <v>0.97641231411330898</v>
      </c>
      <c r="K202">
        <v>2.6225649256453201</v>
      </c>
      <c r="L202">
        <v>5.7142857142857099E-2</v>
      </c>
      <c r="M202">
        <v>0.14285714285714199</v>
      </c>
      <c r="N202">
        <v>0.94285714285714195</v>
      </c>
      <c r="O202">
        <v>0</v>
      </c>
      <c r="P202" s="2" t="d">
        <v>2026-01-23</v>
      </c>
      <c r="Q202" t="s">
        <v>406</v>
      </c>
      <c r="R202">
        <f>IFERROR(VLOOKUP($A202,Actual!$A:$D,4,FALSE),IFERROR(VLOOKUP($A202,FC!$A:$AC,29,FALSE), "Not Found"))</f>
        <v>9.8000000000000007</v>
      </c>
      <c r="S202">
        <f>IFERROR(VLOOKUP($A202,Actual!$A:$D,3,FALSE),"0")</f>
        <v>2.9999999999999997E-4</v>
      </c>
      <c r="T202">
        <f>VLOOKUP(A202,NHT!B:F,5,FALSE)</f>
        <v>14.316666666667</v>
      </c>
    </row>
    <row r="203" spans="1:20" x14ac:dyDescent="0.2">
      <c r="A203" t="s">
        <v>115</v>
      </c>
      <c r="B203" t="s">
        <v>59</v>
      </c>
      <c r="C203" t="s">
        <v>42</v>
      </c>
      <c r="D203" t="s">
        <v>42</v>
      </c>
      <c r="E203">
        <v>5200</v>
      </c>
      <c r="F203">
        <v>11.031030991004901</v>
      </c>
      <c r="G203">
        <v>4.4124123964019697</v>
      </c>
      <c r="H203">
        <v>32.5775774775123</v>
      </c>
      <c r="I203">
        <v>10.87</v>
      </c>
      <c r="J203">
        <v>0.16103099100492799</v>
      </c>
      <c r="K203">
        <v>2.1213521136547899</v>
      </c>
      <c r="L203">
        <v>0.30952380952380898</v>
      </c>
      <c r="M203">
        <v>0.38095238095237999</v>
      </c>
      <c r="N203">
        <v>2.0238095238095202</v>
      </c>
      <c r="O203">
        <v>0.238095238095238</v>
      </c>
      <c r="P203" s="2" t="d">
        <v>2026-01-23</v>
      </c>
      <c r="Q203" t="s">
        <v>406</v>
      </c>
      <c r="R203">
        <f>IFERROR(VLOOKUP($A203,Actual!$A:$D,4,FALSE),IFERROR(VLOOKUP($A203,FC!$A:$AC,29,FALSE), "Not Found"))</f>
        <v>7.6</v>
      </c>
      <c r="S203">
        <f>IFERROR(VLOOKUP($A203,Actual!$A:$D,3,FALSE),"0")</f>
        <v>8.9399999999999993E-2</v>
      </c>
      <c r="T203">
        <f>VLOOKUP(A203,NHT!B:F,5,FALSE)</f>
        <v>14.3</v>
      </c>
    </row>
    <row r="204" spans="1:20" x14ac:dyDescent="0.2">
      <c r="A204" t="s">
        <v>115</v>
      </c>
      <c r="B204" t="s">
        <v>59</v>
      </c>
      <c r="C204" t="s">
        <v>57</v>
      </c>
      <c r="D204" t="s">
        <v>42</v>
      </c>
      <c r="E204">
        <v>5200</v>
      </c>
      <c r="F204">
        <v>5.1304035230215304</v>
      </c>
      <c r="G204">
        <v>2.05216140920861</v>
      </c>
      <c r="H204">
        <v>17.826008807553801</v>
      </c>
      <c r="I204">
        <v>10.87</v>
      </c>
      <c r="J204">
        <v>-5.73959647697846</v>
      </c>
      <c r="K204">
        <v>0.98661606211952502</v>
      </c>
      <c r="L204">
        <v>2.5000000000000001E-2</v>
      </c>
      <c r="M204">
        <v>0.15</v>
      </c>
      <c r="N204">
        <v>0.52500000000000002</v>
      </c>
      <c r="O204">
        <v>0</v>
      </c>
      <c r="P204" s="2" t="d">
        <v>2026-01-23</v>
      </c>
      <c r="Q204" t="s">
        <v>406</v>
      </c>
      <c r="R204">
        <f>IFERROR(VLOOKUP($A204,Actual!$A:$D,4,FALSE),IFERROR(VLOOKUP($A204,FC!$A:$AC,29,FALSE), "Not Found"))</f>
        <v>7.6</v>
      </c>
      <c r="S204">
        <f>IFERROR(VLOOKUP($A204,Actual!$A:$D,3,FALSE),"0")</f>
        <v>8.9399999999999993E-2</v>
      </c>
      <c r="T204">
        <f>VLOOKUP(A204,NHT!B:F,5,FALSE)</f>
        <v>14.3</v>
      </c>
    </row>
    <row r="205" spans="1:20" x14ac:dyDescent="0.2">
      <c r="A205" t="s">
        <v>339</v>
      </c>
      <c r="B205" t="s">
        <v>64</v>
      </c>
      <c r="C205" t="s">
        <v>42</v>
      </c>
      <c r="D205" t="s">
        <v>42</v>
      </c>
      <c r="E205">
        <v>2500</v>
      </c>
      <c r="F205">
        <v>2.8784610206183099</v>
      </c>
      <c r="G205">
        <v>1.1513844082473199</v>
      </c>
      <c r="H205">
        <v>12.196152551545699</v>
      </c>
      <c r="I205">
        <v>2.36</v>
      </c>
      <c r="J205">
        <v>0.518461020618316</v>
      </c>
      <c r="K205">
        <v>1.1513844082473199</v>
      </c>
      <c r="L205">
        <v>0.14285714285714199</v>
      </c>
      <c r="M205">
        <v>0</v>
      </c>
      <c r="N205">
        <v>0.14285714285714199</v>
      </c>
      <c r="O205">
        <v>0</v>
      </c>
      <c r="P205" s="2" t="d">
        <v>2026-01-23</v>
      </c>
      <c r="Q205" t="s">
        <v>406</v>
      </c>
      <c r="R205">
        <f>IFERROR(VLOOKUP($A205,Actual!$A:$D,4,FALSE),IFERROR(VLOOKUP($A205,FC!$A:$AC,29,FALSE), "Not Found"))</f>
        <v>2.8</v>
      </c>
      <c r="S205">
        <f>IFERROR(VLOOKUP($A205,Actual!$A:$D,3,FALSE),"0")</f>
        <v>5.9999999999999995E-4</v>
      </c>
      <c r="T205">
        <f>VLOOKUP(A205,NHT!B:F,5,FALSE)</f>
        <v>14.216666666667001</v>
      </c>
    </row>
    <row r="206" spans="1:20" x14ac:dyDescent="0.2">
      <c r="A206" t="s">
        <v>123</v>
      </c>
      <c r="B206" t="s">
        <v>48</v>
      </c>
      <c r="C206" t="s">
        <v>42</v>
      </c>
      <c r="D206" t="s">
        <v>42</v>
      </c>
      <c r="E206">
        <v>2700</v>
      </c>
      <c r="F206">
        <v>7.0413328095504504</v>
      </c>
      <c r="G206">
        <v>2.8165331238201801</v>
      </c>
      <c r="H206">
        <v>22.603332023876099</v>
      </c>
      <c r="I206">
        <v>5.61</v>
      </c>
      <c r="J206">
        <v>1.4313328095504501</v>
      </c>
      <c r="K206">
        <v>2.60790104057424</v>
      </c>
      <c r="L206">
        <v>0.1875</v>
      </c>
      <c r="M206">
        <v>0.16666666666666599</v>
      </c>
      <c r="N206">
        <v>1.2916666666666601</v>
      </c>
      <c r="O206">
        <v>0</v>
      </c>
      <c r="P206" s="2" t="d">
        <v>2026-01-23</v>
      </c>
      <c r="Q206" t="s">
        <v>406</v>
      </c>
      <c r="R206">
        <f>IFERROR(VLOOKUP($A206,Actual!$A:$D,4,FALSE),IFERROR(VLOOKUP($A206,FC!$A:$AC,29,FALSE), "Not Found"))</f>
        <v>12.8</v>
      </c>
      <c r="S206">
        <f>IFERROR(VLOOKUP($A206,Actual!$A:$D,3,FALSE),"0")</f>
        <v>3.0999999999999999E-3</v>
      </c>
      <c r="T206">
        <f>VLOOKUP(A206,NHT!B:F,5,FALSE)</f>
        <v>14.1</v>
      </c>
    </row>
    <row r="207" spans="1:20" x14ac:dyDescent="0.2">
      <c r="A207" t="s">
        <v>207</v>
      </c>
      <c r="B207" t="s">
        <v>407</v>
      </c>
      <c r="C207" t="s">
        <v>36</v>
      </c>
      <c r="D207" t="s">
        <v>410</v>
      </c>
      <c r="E207">
        <v>3500</v>
      </c>
      <c r="F207">
        <v>7.9184734786964599</v>
      </c>
      <c r="G207">
        <v>3.1673893914785798</v>
      </c>
      <c r="H207">
        <v>24.7961836967411</v>
      </c>
      <c r="I207">
        <v>5.98</v>
      </c>
      <c r="J207">
        <v>1.9384734786964599</v>
      </c>
      <c r="K207">
        <v>2.26242099391327</v>
      </c>
      <c r="L207">
        <v>0.14583333333333301</v>
      </c>
      <c r="M207">
        <v>0.33333333333333298</v>
      </c>
      <c r="N207">
        <v>1.5416666666666601</v>
      </c>
      <c r="O207">
        <v>0.22916666666666599</v>
      </c>
      <c r="P207" s="2" t="d">
        <v>2026-01-23</v>
      </c>
      <c r="Q207" t="s">
        <v>406</v>
      </c>
      <c r="R207">
        <f>IFERROR(VLOOKUP($A207,Actual!$A:$D,4,FALSE),IFERROR(VLOOKUP($A207,FC!$A:$AC,29,FALSE), "Not Found"))</f>
        <v>3</v>
      </c>
      <c r="S207">
        <f>IFERROR(VLOOKUP($A207,Actual!$A:$D,3,FALSE),"0")</f>
        <v>2.6100000000000002E-2</v>
      </c>
      <c r="T207">
        <f>VLOOKUP(A207,NHT!B:F,5,FALSE)</f>
        <v>13.95</v>
      </c>
    </row>
    <row r="208" spans="1:20" x14ac:dyDescent="0.2">
      <c r="A208" t="s">
        <v>300</v>
      </c>
      <c r="B208" t="s">
        <v>52</v>
      </c>
      <c r="C208" t="s">
        <v>42</v>
      </c>
      <c r="D208" t="s">
        <v>408</v>
      </c>
      <c r="E208">
        <v>3500</v>
      </c>
      <c r="F208">
        <v>7.1762346503768404</v>
      </c>
      <c r="G208">
        <v>2.8704938601507299</v>
      </c>
      <c r="H208">
        <v>22.9405866259421</v>
      </c>
      <c r="I208">
        <v>5.24</v>
      </c>
      <c r="J208">
        <v>1.9362346503768399</v>
      </c>
      <c r="K208">
        <v>2.0503527572505198</v>
      </c>
      <c r="L208">
        <v>0.15686274509803899</v>
      </c>
      <c r="M208">
        <v>0.19607843137254899</v>
      </c>
      <c r="N208">
        <v>1.6666666666666601</v>
      </c>
      <c r="O208">
        <v>5.8823529411764698E-2</v>
      </c>
      <c r="P208" s="2" t="d">
        <v>2026-01-23</v>
      </c>
      <c r="Q208" t="s">
        <v>406</v>
      </c>
      <c r="R208">
        <f>IFERROR(VLOOKUP($A208,Actual!$A:$D,4,FALSE),IFERROR(VLOOKUP($A208,FC!$A:$AC,29,FALSE), "Not Found"))</f>
        <v>1.5</v>
      </c>
      <c r="S208">
        <f>IFERROR(VLOOKUP($A208,Actual!$A:$D,3,FALSE),"0")</f>
        <v>4.6300000000000001E-2</v>
      </c>
      <c r="T208">
        <f>VLOOKUP(A208,NHT!B:F,5,FALSE)</f>
        <v>13.9</v>
      </c>
    </row>
    <row r="209" spans="1:20" x14ac:dyDescent="0.2">
      <c r="A209" t="s">
        <v>333</v>
      </c>
      <c r="B209" t="s">
        <v>64</v>
      </c>
      <c r="C209" t="s">
        <v>36</v>
      </c>
      <c r="D209" t="s">
        <v>408</v>
      </c>
      <c r="E209">
        <v>5200</v>
      </c>
      <c r="F209">
        <v>12.4555966352765</v>
      </c>
      <c r="G209">
        <v>4.9822386541106098</v>
      </c>
      <c r="H209">
        <v>36.138991588191303</v>
      </c>
      <c r="I209">
        <v>9.06</v>
      </c>
      <c r="J209">
        <v>3.3955966352765299</v>
      </c>
      <c r="K209">
        <v>2.3953070452454801</v>
      </c>
      <c r="L209">
        <v>0.3</v>
      </c>
      <c r="M209">
        <v>0.46</v>
      </c>
      <c r="N209">
        <v>2.1800000000000002</v>
      </c>
      <c r="O209">
        <v>0.1</v>
      </c>
      <c r="P209" s="2" t="d">
        <v>2026-01-23</v>
      </c>
      <c r="Q209" t="s">
        <v>406</v>
      </c>
      <c r="R209">
        <f>IFERROR(VLOOKUP($A209,Actual!$A:$D,4,FALSE),IFERROR(VLOOKUP($A209,FC!$A:$AC,29,FALSE), "Not Found"))</f>
        <v>1.5</v>
      </c>
      <c r="S209">
        <f>IFERROR(VLOOKUP($A209,Actual!$A:$D,3,FALSE),"0")</f>
        <v>4.7399999999999998E-2</v>
      </c>
      <c r="T209">
        <f>VLOOKUP(A209,NHT!B:F,5,FALSE)</f>
        <v>13.9</v>
      </c>
    </row>
    <row r="210" spans="1:20" x14ac:dyDescent="0.2">
      <c r="A210" t="s">
        <v>198</v>
      </c>
      <c r="B210" t="s">
        <v>148</v>
      </c>
      <c r="C210" t="s">
        <v>57</v>
      </c>
      <c r="D210" t="s">
        <v>57</v>
      </c>
      <c r="E210">
        <v>2500</v>
      </c>
      <c r="F210">
        <v>6.09496927953154</v>
      </c>
      <c r="G210">
        <v>2.4379877118126099</v>
      </c>
      <c r="H210">
        <v>20.2374231988288</v>
      </c>
      <c r="I210">
        <v>3.69</v>
      </c>
      <c r="J210">
        <v>2.40496927953154</v>
      </c>
      <c r="K210">
        <v>2.4379877118126099</v>
      </c>
      <c r="L210">
        <v>0</v>
      </c>
      <c r="M210">
        <v>0.22</v>
      </c>
      <c r="N210">
        <v>1.06</v>
      </c>
      <c r="O210">
        <v>0.06</v>
      </c>
      <c r="P210" s="2" t="d">
        <v>2026-01-23</v>
      </c>
      <c r="Q210" t="s">
        <v>406</v>
      </c>
      <c r="R210">
        <f>IFERROR(VLOOKUP($A210,Actual!$A:$D,4,FALSE),IFERROR(VLOOKUP($A210,FC!$A:$AC,29,FALSE), "Not Found"))</f>
        <v>0</v>
      </c>
      <c r="S210">
        <f>IFERROR(VLOOKUP($A210,Actual!$A:$D,3,FALSE),"0")</f>
        <v>2.2000000000000001E-3</v>
      </c>
      <c r="T210">
        <f>VLOOKUP(A210,NHT!B:F,5,FALSE)</f>
        <v>13.866666666666999</v>
      </c>
    </row>
    <row r="211" spans="1:20" x14ac:dyDescent="0.2">
      <c r="A211" t="s">
        <v>66</v>
      </c>
      <c r="B211" t="s">
        <v>35</v>
      </c>
      <c r="C211" t="s">
        <v>42</v>
      </c>
      <c r="D211" t="s">
        <v>410</v>
      </c>
      <c r="E211">
        <v>2600</v>
      </c>
      <c r="F211">
        <v>5.7049552899211804</v>
      </c>
      <c r="G211">
        <v>2.2819821159684701</v>
      </c>
      <c r="H211">
        <v>19.262388224802901</v>
      </c>
      <c r="I211">
        <v>4.8</v>
      </c>
      <c r="J211">
        <v>0.90495528992118701</v>
      </c>
      <c r="K211">
        <v>2.1942135730466101</v>
      </c>
      <c r="L211">
        <v>6.6666666666666596E-2</v>
      </c>
      <c r="M211">
        <v>0.33333333333333298</v>
      </c>
      <c r="N211">
        <v>1.13333333333333</v>
      </c>
      <c r="O211">
        <v>6.6666666666666596E-2</v>
      </c>
      <c r="P211" s="2" t="d">
        <v>2026-01-23</v>
      </c>
      <c r="Q211" t="s">
        <v>406</v>
      </c>
      <c r="R211">
        <f>IFERROR(VLOOKUP($A211,Actual!$A:$D,4,FALSE),IFERROR(VLOOKUP($A211,FC!$A:$AC,29,FALSE), "Not Found"))</f>
        <v>16.5</v>
      </c>
      <c r="S211">
        <f>IFERROR(VLOOKUP($A211,Actual!$A:$D,3,FALSE),"0")</f>
        <v>2.2000000000000001E-3</v>
      </c>
      <c r="T211">
        <f>VLOOKUP(A211,NHT!B:F,5,FALSE)</f>
        <v>13.85</v>
      </c>
    </row>
    <row r="212" spans="1:20" x14ac:dyDescent="0.2">
      <c r="A212" t="s">
        <v>322</v>
      </c>
      <c r="B212" t="s">
        <v>56</v>
      </c>
      <c r="C212" t="s">
        <v>42</v>
      </c>
      <c r="D212" t="s">
        <v>408</v>
      </c>
      <c r="E212">
        <v>4000</v>
      </c>
      <c r="F212">
        <v>8.1390406559268893</v>
      </c>
      <c r="G212">
        <v>3.2556162623707499</v>
      </c>
      <c r="H212">
        <v>25.347601639817199</v>
      </c>
      <c r="I212">
        <v>7.01</v>
      </c>
      <c r="J212">
        <v>1.12904065592689</v>
      </c>
      <c r="K212">
        <v>2.0347601639817201</v>
      </c>
      <c r="L212">
        <v>0.27500000000000002</v>
      </c>
      <c r="M212">
        <v>0.22500000000000001</v>
      </c>
      <c r="N212">
        <v>1.675</v>
      </c>
      <c r="O212">
        <v>0.1</v>
      </c>
      <c r="P212" s="2" t="d">
        <v>2026-01-23</v>
      </c>
      <c r="Q212" t="s">
        <v>406</v>
      </c>
      <c r="R212">
        <f>IFERROR(VLOOKUP($A212,Actual!$A:$D,4,FALSE),IFERROR(VLOOKUP($A212,FC!$A:$AC,29,FALSE), "Not Found"))</f>
        <v>2.6</v>
      </c>
      <c r="S212">
        <f>IFERROR(VLOOKUP($A212,Actual!$A:$D,3,FALSE),"0")</f>
        <v>1.49E-2</v>
      </c>
      <c r="T212">
        <f>VLOOKUP(A212,NHT!B:F,5,FALSE)</f>
        <v>13.833333333333</v>
      </c>
    </row>
    <row r="213" spans="1:20" x14ac:dyDescent="0.2">
      <c r="A213" t="s">
        <v>233</v>
      </c>
      <c r="B213" t="s">
        <v>61</v>
      </c>
      <c r="C213" t="s">
        <v>42</v>
      </c>
      <c r="D213" t="s">
        <v>42</v>
      </c>
      <c r="E213">
        <v>2700</v>
      </c>
      <c r="F213">
        <v>5.7909706353549604</v>
      </c>
      <c r="G213">
        <v>2.3163882541419798</v>
      </c>
      <c r="H213">
        <v>19.477426588387399</v>
      </c>
      <c r="I213">
        <v>4.5</v>
      </c>
      <c r="J213">
        <v>1.2909706353549599</v>
      </c>
      <c r="K213">
        <v>2.1448039390203499</v>
      </c>
      <c r="L213">
        <v>8.5106382978723402E-2</v>
      </c>
      <c r="M213">
        <v>0.29787234042553101</v>
      </c>
      <c r="N213">
        <v>1.0212765957446801</v>
      </c>
      <c r="O213">
        <v>2.1276595744680799E-2</v>
      </c>
      <c r="P213" s="2" t="d">
        <v>2026-01-23</v>
      </c>
      <c r="Q213" t="s">
        <v>406</v>
      </c>
      <c r="R213">
        <f>IFERROR(VLOOKUP($A213,Actual!$A:$D,4,FALSE),IFERROR(VLOOKUP($A213,FC!$A:$AC,29,FALSE), "Not Found"))</f>
        <v>1.3</v>
      </c>
      <c r="S213">
        <f>IFERROR(VLOOKUP($A213,Actual!$A:$D,3,FALSE),"0")</f>
        <v>5.5999999999999999E-3</v>
      </c>
      <c r="T213">
        <f>VLOOKUP(A213,NHT!B:F,5,FALSE)</f>
        <v>13.833333333333</v>
      </c>
    </row>
    <row r="214" spans="1:20" x14ac:dyDescent="0.2">
      <c r="A214" t="s">
        <v>234</v>
      </c>
      <c r="B214" t="s">
        <v>56</v>
      </c>
      <c r="C214" t="s">
        <v>46</v>
      </c>
      <c r="D214" t="s">
        <v>408</v>
      </c>
      <c r="E214">
        <v>3600</v>
      </c>
      <c r="F214">
        <v>7.7963478056023998</v>
      </c>
      <c r="G214">
        <v>3.1185391222409602</v>
      </c>
      <c r="H214">
        <v>24.490869514006</v>
      </c>
      <c r="I214">
        <v>6.18</v>
      </c>
      <c r="J214">
        <v>1.6163478056024001</v>
      </c>
      <c r="K214">
        <v>2.16565216822289</v>
      </c>
      <c r="L214">
        <v>0.17647058823529399</v>
      </c>
      <c r="M214">
        <v>0.13725490196078399</v>
      </c>
      <c r="N214">
        <v>2.1372549019607798</v>
      </c>
      <c r="O214">
        <v>0</v>
      </c>
      <c r="P214" s="2" t="d">
        <v>2026-01-23</v>
      </c>
      <c r="Q214" t="s">
        <v>406</v>
      </c>
      <c r="R214">
        <f>IFERROR(VLOOKUP($A214,Actual!$A:$D,4,FALSE),IFERROR(VLOOKUP($A214,FC!$A:$AC,29,FALSE), "Not Found"))</f>
        <v>3</v>
      </c>
      <c r="S214">
        <f>IFERROR(VLOOKUP($A214,Actual!$A:$D,3,FALSE),"0")</f>
        <v>1.6999999999999999E-3</v>
      </c>
      <c r="T214">
        <f>VLOOKUP(A214,NHT!B:F,5,FALSE)</f>
        <v>13.8</v>
      </c>
    </row>
    <row r="215" spans="1:20" x14ac:dyDescent="0.2">
      <c r="A215" t="s">
        <v>330</v>
      </c>
      <c r="B215" t="s">
        <v>85</v>
      </c>
      <c r="C215" t="s">
        <v>36</v>
      </c>
      <c r="D215" t="s">
        <v>408</v>
      </c>
      <c r="E215">
        <v>2900</v>
      </c>
      <c r="F215">
        <v>6.22359952705576</v>
      </c>
      <c r="G215">
        <v>2.4894398108222999</v>
      </c>
      <c r="H215">
        <v>20.558998817639399</v>
      </c>
      <c r="I215">
        <v>4.8899999999999997</v>
      </c>
      <c r="J215">
        <v>1.3335995270557599</v>
      </c>
      <c r="K215">
        <v>2.1460688024330201</v>
      </c>
      <c r="L215">
        <v>0.16666666666666599</v>
      </c>
      <c r="M215">
        <v>0.22222222222222199</v>
      </c>
      <c r="N215">
        <v>1</v>
      </c>
      <c r="O215">
        <v>0.11111111111111099</v>
      </c>
      <c r="P215" s="2" t="d">
        <v>2026-01-23</v>
      </c>
      <c r="Q215" t="s">
        <v>406</v>
      </c>
      <c r="R215">
        <f>IFERROR(VLOOKUP($A215,Actual!$A:$D,4,FALSE),IFERROR(VLOOKUP($A215,FC!$A:$AC,29,FALSE), "Not Found"))</f>
        <v>2.8</v>
      </c>
      <c r="S215">
        <f>IFERROR(VLOOKUP($A215,Actual!$A:$D,3,FALSE),"0")</f>
        <v>3.73E-2</v>
      </c>
      <c r="T215">
        <f>VLOOKUP(A215,NHT!B:F,5,FALSE)</f>
        <v>13.666666666667</v>
      </c>
    </row>
    <row r="216" spans="1:20" x14ac:dyDescent="0.2">
      <c r="A216" t="s">
        <v>335</v>
      </c>
      <c r="B216" t="s">
        <v>74</v>
      </c>
      <c r="C216" t="s">
        <v>42</v>
      </c>
      <c r="D216" t="s">
        <v>410</v>
      </c>
      <c r="E216">
        <v>2900</v>
      </c>
      <c r="F216">
        <v>5.4608800101721</v>
      </c>
      <c r="G216">
        <v>2.18435200406884</v>
      </c>
      <c r="H216">
        <v>18.652200025430201</v>
      </c>
      <c r="I216">
        <v>4.22</v>
      </c>
      <c r="J216">
        <v>1.2408800101721</v>
      </c>
      <c r="K216">
        <v>1.8830620724731399</v>
      </c>
      <c r="L216">
        <v>0.11111111111111099</v>
      </c>
      <c r="M216">
        <v>0.16666666666666599</v>
      </c>
      <c r="N216">
        <v>1.13888888888888</v>
      </c>
      <c r="O216">
        <v>5.5555555555555497E-2</v>
      </c>
      <c r="P216" s="2" t="d">
        <v>2026-01-23</v>
      </c>
      <c r="Q216" t="s">
        <v>406</v>
      </c>
      <c r="R216">
        <f>IFERROR(VLOOKUP($A216,Actual!$A:$D,4,FALSE),IFERROR(VLOOKUP($A216,FC!$A:$AC,29,FALSE), "Not Found"))</f>
        <v>1.5</v>
      </c>
      <c r="S216">
        <f>IFERROR(VLOOKUP($A216,Actual!$A:$D,3,FALSE),"0")</f>
        <v>3.5999999999999999E-3</v>
      </c>
      <c r="T216">
        <f>VLOOKUP(A216,NHT!B:F,5,FALSE)</f>
        <v>13.616666666666999</v>
      </c>
    </row>
    <row r="217" spans="1:20" x14ac:dyDescent="0.2">
      <c r="A217" t="s">
        <v>155</v>
      </c>
      <c r="B217" t="s">
        <v>148</v>
      </c>
      <c r="C217" t="s">
        <v>42</v>
      </c>
      <c r="D217" t="s">
        <v>42</v>
      </c>
      <c r="E217">
        <v>2800</v>
      </c>
      <c r="F217">
        <v>6.06792044858582</v>
      </c>
      <c r="G217">
        <v>2.4271681794343198</v>
      </c>
      <c r="H217">
        <v>20.169801121464499</v>
      </c>
      <c r="I217">
        <v>4.78</v>
      </c>
      <c r="J217">
        <v>1.28792044858582</v>
      </c>
      <c r="K217">
        <v>2.1671144459235001</v>
      </c>
      <c r="L217">
        <v>0.13157894736842099</v>
      </c>
      <c r="M217">
        <v>0.26315789473684198</v>
      </c>
      <c r="N217">
        <v>1.2105263157894699</v>
      </c>
      <c r="O217">
        <v>0.13157894736842099</v>
      </c>
      <c r="P217" s="2" t="d">
        <v>2026-01-23</v>
      </c>
      <c r="Q217" t="s">
        <v>406</v>
      </c>
      <c r="R217">
        <f>IFERROR(VLOOKUP($A217,Actual!$A:$D,4,FALSE),IFERROR(VLOOKUP($A217,FC!$A:$AC,29,FALSE), "Not Found"))</f>
        <v>5</v>
      </c>
      <c r="S217">
        <f>IFERROR(VLOOKUP($A217,Actual!$A:$D,3,FALSE),"0")</f>
        <v>2.9999999999999997E-4</v>
      </c>
      <c r="T217">
        <f>VLOOKUP(A217,NHT!B:F,5,FALSE)</f>
        <v>13.533333333332999</v>
      </c>
    </row>
    <row r="218" spans="1:20" x14ac:dyDescent="0.2">
      <c r="A218" t="s">
        <v>181</v>
      </c>
      <c r="B218" t="s">
        <v>412</v>
      </c>
      <c r="C218" t="s">
        <v>46</v>
      </c>
      <c r="D218" t="s">
        <v>410</v>
      </c>
      <c r="E218">
        <v>2500</v>
      </c>
      <c r="F218">
        <v>4.8320939878247797</v>
      </c>
      <c r="G218">
        <v>1.9328375951299099</v>
      </c>
      <c r="H218">
        <v>17.0802349695619</v>
      </c>
      <c r="I218">
        <v>4.24</v>
      </c>
      <c r="J218">
        <v>0.59209398782478195</v>
      </c>
      <c r="K218">
        <v>1.9328375951299099</v>
      </c>
      <c r="L218">
        <v>8.16326530612244E-2</v>
      </c>
      <c r="M218">
        <v>0.122448979591836</v>
      </c>
      <c r="N218">
        <v>1.06122448979591</v>
      </c>
      <c r="O218">
        <v>2.04081632653061E-2</v>
      </c>
      <c r="P218" s="2" t="d">
        <v>2026-01-23</v>
      </c>
      <c r="Q218" t="s">
        <v>406</v>
      </c>
      <c r="R218">
        <f>IFERROR(VLOOKUP($A218,Actual!$A:$D,4,FALSE),IFERROR(VLOOKUP($A218,FC!$A:$AC,29,FALSE), "Not Found"))</f>
        <v>1.5</v>
      </c>
      <c r="S218">
        <f>IFERROR(VLOOKUP($A218,Actual!$A:$D,3,FALSE),"0")</f>
        <v>7.3000000000000001E-3</v>
      </c>
      <c r="T218">
        <f>VLOOKUP(A218,NHT!B:F,5,FALSE)</f>
        <v>13.45</v>
      </c>
    </row>
    <row r="219" spans="1:20" x14ac:dyDescent="0.2">
      <c r="A219" t="s">
        <v>178</v>
      </c>
      <c r="B219" t="s">
        <v>45</v>
      </c>
      <c r="C219" t="s">
        <v>42</v>
      </c>
      <c r="D219" t="s">
        <v>42</v>
      </c>
      <c r="E219">
        <v>2700</v>
      </c>
      <c r="F219">
        <v>6.5286028142239898</v>
      </c>
      <c r="G219">
        <v>2.61144112568959</v>
      </c>
      <c r="H219">
        <v>21.3215070355599</v>
      </c>
      <c r="I219">
        <v>5.42</v>
      </c>
      <c r="J219">
        <v>1.1086028142239801</v>
      </c>
      <c r="K219">
        <v>2.4180010423051801</v>
      </c>
      <c r="L219">
        <v>0.20689655172413701</v>
      </c>
      <c r="M219">
        <v>3.4482758620689599E-2</v>
      </c>
      <c r="N219">
        <v>1.55172413793103</v>
      </c>
      <c r="O219">
        <v>0</v>
      </c>
      <c r="P219" s="2" t="d">
        <v>2026-01-23</v>
      </c>
      <c r="Q219" t="s">
        <v>406</v>
      </c>
      <c r="R219">
        <f>IFERROR(VLOOKUP($A219,Actual!$A:$D,4,FALSE),IFERROR(VLOOKUP($A219,FC!$A:$AC,29,FALSE), "Not Found"))</f>
        <v>1.5</v>
      </c>
      <c r="S219">
        <f>IFERROR(VLOOKUP($A219,Actual!$A:$D,3,FALSE),"0")</f>
        <v>1.4E-3</v>
      </c>
      <c r="T219">
        <f>VLOOKUP(A219,NHT!B:F,5,FALSE)</f>
        <v>13.35</v>
      </c>
    </row>
    <row r="220" spans="1:20" x14ac:dyDescent="0.2">
      <c r="A220" t="s">
        <v>153</v>
      </c>
      <c r="B220" t="s">
        <v>45</v>
      </c>
      <c r="C220" t="s">
        <v>36</v>
      </c>
      <c r="D220" t="s">
        <v>42</v>
      </c>
      <c r="E220">
        <v>2600</v>
      </c>
      <c r="F220">
        <v>5.8636337345437699</v>
      </c>
      <c r="G220">
        <v>2.3454534938174998</v>
      </c>
      <c r="H220">
        <v>19.659084336359399</v>
      </c>
      <c r="I220">
        <v>4.3899999999999997</v>
      </c>
      <c r="J220">
        <v>1.47363373454377</v>
      </c>
      <c r="K220">
        <v>2.2552437440552899</v>
      </c>
      <c r="L220">
        <v>0.17499999999999999</v>
      </c>
      <c r="M220">
        <v>0.1</v>
      </c>
      <c r="N220">
        <v>1.2749999999999999</v>
      </c>
      <c r="O220">
        <v>0.15</v>
      </c>
      <c r="P220" s="2" t="d">
        <v>2026-01-23</v>
      </c>
      <c r="Q220" t="s">
        <v>406</v>
      </c>
      <c r="R220">
        <f>IFERROR(VLOOKUP($A220,Actual!$A:$D,4,FALSE),IFERROR(VLOOKUP($A220,FC!$A:$AC,29,FALSE), "Not Found"))</f>
        <v>10</v>
      </c>
      <c r="S220">
        <f>IFERROR(VLOOKUP($A220,Actual!$A:$D,3,FALSE),"0")</f>
        <v>2.2700000000000001E-2</v>
      </c>
      <c r="T220">
        <f>VLOOKUP(A220,NHT!B:F,5,FALSE)</f>
        <v>13.35</v>
      </c>
    </row>
    <row r="221" spans="1:20" x14ac:dyDescent="0.2">
      <c r="A221" t="s">
        <v>141</v>
      </c>
      <c r="B221" t="s">
        <v>35</v>
      </c>
      <c r="C221" t="s">
        <v>57</v>
      </c>
      <c r="D221" t="s">
        <v>57</v>
      </c>
      <c r="E221">
        <v>2500</v>
      </c>
      <c r="F221">
        <v>5.7475672113748502</v>
      </c>
      <c r="G221">
        <v>2.29902688454994</v>
      </c>
      <c r="H221">
        <v>19.368918028437101</v>
      </c>
      <c r="I221">
        <v>4</v>
      </c>
      <c r="J221">
        <v>1.7475672113748499</v>
      </c>
      <c r="K221">
        <v>2.29902688454994</v>
      </c>
      <c r="L221">
        <v>2.6315789473684199E-2</v>
      </c>
      <c r="M221">
        <v>0.23684210526315699</v>
      </c>
      <c r="N221">
        <v>0.68421052631578905</v>
      </c>
      <c r="O221">
        <v>2.6315789473684199E-2</v>
      </c>
      <c r="P221" s="2" t="d">
        <v>2026-01-23</v>
      </c>
      <c r="Q221" t="s">
        <v>406</v>
      </c>
      <c r="R221">
        <f>IFERROR(VLOOKUP($A221,Actual!$A:$D,4,FALSE),IFERROR(VLOOKUP($A221,FC!$A:$AC,29,FALSE), "Not Found"))</f>
        <v>5</v>
      </c>
      <c r="S221" t="str">
        <f>IFERROR(VLOOKUP($A221,Actual!$A:$D,3,FALSE),"0")</f>
        <v>0</v>
      </c>
      <c r="T221">
        <f>VLOOKUP(A221,NHT!B:F,5,FALSE)</f>
        <v>13.333333333333</v>
      </c>
    </row>
    <row r="222" spans="1:20" x14ac:dyDescent="0.2">
      <c r="A222" t="s">
        <v>156</v>
      </c>
      <c r="B222" t="s">
        <v>59</v>
      </c>
      <c r="C222" t="s">
        <v>57</v>
      </c>
      <c r="D222" t="s">
        <v>57</v>
      </c>
      <c r="E222">
        <v>2500</v>
      </c>
      <c r="F222">
        <v>6.9397290998227898</v>
      </c>
      <c r="G222">
        <v>2.7758916399291098</v>
      </c>
      <c r="H222">
        <v>22.349322749556901</v>
      </c>
      <c r="I222">
        <v>4.51</v>
      </c>
      <c r="J222">
        <v>2.4297290998227901</v>
      </c>
      <c r="K222">
        <v>2.7758916399291098</v>
      </c>
      <c r="L222">
        <v>5.1282051282051197E-2</v>
      </c>
      <c r="M222">
        <v>0.28205128205128199</v>
      </c>
      <c r="N222">
        <v>0.89743589743589702</v>
      </c>
      <c r="O222">
        <v>7.69230769230769E-2</v>
      </c>
      <c r="P222" s="2" t="d">
        <v>2026-01-23</v>
      </c>
      <c r="Q222" t="s">
        <v>406</v>
      </c>
      <c r="R222">
        <f>IFERROR(VLOOKUP($A222,Actual!$A:$D,4,FALSE),IFERROR(VLOOKUP($A222,FC!$A:$AC,29,FALSE), "Not Found"))</f>
        <v>7.6</v>
      </c>
      <c r="S222">
        <f>IFERROR(VLOOKUP($A222,Actual!$A:$D,3,FALSE),"0")</f>
        <v>3.3099999999999997E-2</v>
      </c>
      <c r="T222">
        <f>VLOOKUP(A222,NHT!B:F,5,FALSE)</f>
        <v>13.25</v>
      </c>
    </row>
    <row r="223" spans="1:20" x14ac:dyDescent="0.2">
      <c r="A223" t="s">
        <v>134</v>
      </c>
      <c r="B223" t="s">
        <v>412</v>
      </c>
      <c r="C223" t="s">
        <v>36</v>
      </c>
      <c r="D223" t="s">
        <v>410</v>
      </c>
      <c r="E223">
        <v>3300</v>
      </c>
      <c r="F223">
        <v>9.9165439469474901</v>
      </c>
      <c r="G223">
        <v>3.9666175787789899</v>
      </c>
      <c r="H223">
        <v>29.791359867368701</v>
      </c>
      <c r="I223">
        <v>6.85</v>
      </c>
      <c r="J223">
        <v>3.06654394694749</v>
      </c>
      <c r="K223">
        <v>3.0050133172568101</v>
      </c>
      <c r="L223">
        <v>0.19565217391304299</v>
      </c>
      <c r="M223">
        <v>0.23913043478260801</v>
      </c>
      <c r="N223">
        <v>2.2608695652173898</v>
      </c>
      <c r="O223">
        <v>6.5217391304347797E-2</v>
      </c>
      <c r="P223" s="2" t="d">
        <v>2026-01-23</v>
      </c>
      <c r="Q223" t="s">
        <v>406</v>
      </c>
      <c r="R223">
        <f>IFERROR(VLOOKUP($A223,Actual!$A:$D,4,FALSE),IFERROR(VLOOKUP($A223,FC!$A:$AC,29,FALSE), "Not Found"))</f>
        <v>5</v>
      </c>
      <c r="S223">
        <f>IFERROR(VLOOKUP($A223,Actual!$A:$D,3,FALSE),"0")</f>
        <v>2.2700000000000001E-2</v>
      </c>
      <c r="T223">
        <f>VLOOKUP(A223,NHT!B:F,5,FALSE)</f>
        <v>13.233333333333</v>
      </c>
    </row>
    <row r="224" spans="1:20" x14ac:dyDescent="0.2">
      <c r="A224" t="s">
        <v>126</v>
      </c>
      <c r="B224" t="s">
        <v>35</v>
      </c>
      <c r="C224" t="s">
        <v>36</v>
      </c>
      <c r="D224" t="s">
        <v>408</v>
      </c>
      <c r="E224">
        <v>3600</v>
      </c>
      <c r="F224">
        <v>8.5138561649376605</v>
      </c>
      <c r="G224">
        <v>3.4055424659750599</v>
      </c>
      <c r="H224">
        <v>26.2846404123441</v>
      </c>
      <c r="I224">
        <v>6.93</v>
      </c>
      <c r="J224">
        <v>1.5838561649376599</v>
      </c>
      <c r="K224">
        <v>2.36496004581601</v>
      </c>
      <c r="L224">
        <v>0.27906976744186002</v>
      </c>
      <c r="M224">
        <v>0.209302325581395</v>
      </c>
      <c r="N224">
        <v>1.7441860465116199</v>
      </c>
      <c r="O224">
        <v>0.116279069767441</v>
      </c>
      <c r="P224" s="2" t="d">
        <v>2026-01-23</v>
      </c>
      <c r="Q224" t="s">
        <v>406</v>
      </c>
      <c r="R224">
        <f>IFERROR(VLOOKUP($A224,Actual!$A:$D,4,FALSE),IFERROR(VLOOKUP($A224,FC!$A:$AC,29,FALSE), "Not Found"))</f>
        <v>11.5</v>
      </c>
      <c r="S224">
        <f>IFERROR(VLOOKUP($A224,Actual!$A:$D,3,FALSE),"0")</f>
        <v>7.3000000000000001E-3</v>
      </c>
      <c r="T224">
        <f>VLOOKUP(A224,NHT!B:F,5,FALSE)</f>
        <v>13.216666666667001</v>
      </c>
    </row>
    <row r="225" spans="1:20" x14ac:dyDescent="0.2">
      <c r="A225" t="s">
        <v>149</v>
      </c>
      <c r="B225" t="s">
        <v>412</v>
      </c>
      <c r="C225" t="s">
        <v>57</v>
      </c>
      <c r="D225" t="s">
        <v>57</v>
      </c>
      <c r="E225">
        <v>3000</v>
      </c>
      <c r="F225">
        <v>11.196106511744899</v>
      </c>
      <c r="G225">
        <v>4.4784426046979604</v>
      </c>
      <c r="H225">
        <v>32.990266279362302</v>
      </c>
      <c r="I225">
        <v>8.6</v>
      </c>
      <c r="J225">
        <v>2.59610651174492</v>
      </c>
      <c r="K225">
        <v>3.73203550391497</v>
      </c>
      <c r="L225">
        <v>0.22222222222222199</v>
      </c>
      <c r="M225">
        <v>0.30555555555555503</v>
      </c>
      <c r="N225">
        <v>1.6666666666666601</v>
      </c>
      <c r="O225">
        <v>2.77777777777777E-2</v>
      </c>
      <c r="P225" s="2" t="d">
        <v>2026-01-23</v>
      </c>
      <c r="Q225" t="s">
        <v>406</v>
      </c>
      <c r="R225">
        <f>IFERROR(VLOOKUP($A225,Actual!$A:$D,4,FALSE),IFERROR(VLOOKUP($A225,FC!$A:$AC,29,FALSE), "Not Found"))</f>
        <v>9.3000000000000007</v>
      </c>
      <c r="S225">
        <f>IFERROR(VLOOKUP($A225,Actual!$A:$D,3,FALSE),"0")</f>
        <v>5.6899999999999999E-2</v>
      </c>
      <c r="T225">
        <f>VLOOKUP(A225,NHT!B:F,5,FALSE)</f>
        <v>13.166666666667</v>
      </c>
    </row>
    <row r="226" spans="1:20" x14ac:dyDescent="0.2">
      <c r="A226" t="s">
        <v>218</v>
      </c>
      <c r="B226" t="s">
        <v>117</v>
      </c>
      <c r="C226" t="s">
        <v>57</v>
      </c>
      <c r="D226" t="s">
        <v>57</v>
      </c>
      <c r="E226">
        <v>2500</v>
      </c>
      <c r="F226">
        <v>5.12902032223458</v>
      </c>
      <c r="G226">
        <v>2.0516081288938302</v>
      </c>
      <c r="H226">
        <v>17.822550805586399</v>
      </c>
      <c r="I226">
        <v>3.54</v>
      </c>
      <c r="J226">
        <v>1.58902032223458</v>
      </c>
      <c r="K226">
        <v>2.0516081288938302</v>
      </c>
      <c r="L226">
        <v>0</v>
      </c>
      <c r="M226">
        <v>0.12765957446808501</v>
      </c>
      <c r="N226">
        <v>0.59574468085106302</v>
      </c>
      <c r="O226">
        <v>0</v>
      </c>
      <c r="P226" s="2" t="d">
        <v>2026-01-23</v>
      </c>
      <c r="Q226" t="s">
        <v>406</v>
      </c>
      <c r="R226">
        <f>IFERROR(VLOOKUP($A226,Actual!$A:$D,4,FALSE),IFERROR(VLOOKUP($A226,FC!$A:$AC,29,FALSE), "Not Found"))</f>
        <v>0</v>
      </c>
      <c r="S226" t="str">
        <f>IFERROR(VLOOKUP($A226,Actual!$A:$D,3,FALSE),"0")</f>
        <v>0</v>
      </c>
      <c r="T226">
        <f>VLOOKUP(A226,NHT!B:F,5,FALSE)</f>
        <v>13.133333333333001</v>
      </c>
    </row>
    <row r="227" spans="1:20" x14ac:dyDescent="0.2">
      <c r="A227" t="s">
        <v>336</v>
      </c>
      <c r="B227" t="s">
        <v>409</v>
      </c>
      <c r="C227" t="s">
        <v>57</v>
      </c>
      <c r="D227" t="s">
        <v>57</v>
      </c>
      <c r="E227">
        <v>2500</v>
      </c>
      <c r="F227">
        <v>5.8274505965524099</v>
      </c>
      <c r="G227">
        <v>2.3309802386209602</v>
      </c>
      <c r="H227">
        <v>19.568626491381</v>
      </c>
      <c r="I227">
        <v>3.4</v>
      </c>
      <c r="J227">
        <v>2.42745059655241</v>
      </c>
      <c r="K227">
        <v>2.3309802386209602</v>
      </c>
      <c r="L227">
        <v>2.5000000000000001E-2</v>
      </c>
      <c r="M227">
        <v>0.125</v>
      </c>
      <c r="N227">
        <v>0.85</v>
      </c>
      <c r="O227">
        <v>0</v>
      </c>
      <c r="P227" s="2" t="d">
        <v>2026-01-23</v>
      </c>
      <c r="Q227" t="s">
        <v>406</v>
      </c>
      <c r="R227">
        <f>IFERROR(VLOOKUP($A227,Actual!$A:$D,4,FALSE),IFERROR(VLOOKUP($A227,FC!$A:$AC,29,FALSE), "Not Found"))</f>
        <v>4.3</v>
      </c>
      <c r="S227">
        <f>IFERROR(VLOOKUP($A227,Actual!$A:$D,3,FALSE),"0")</f>
        <v>2.9999999999999997E-4</v>
      </c>
      <c r="T227">
        <f>VLOOKUP(A227,NHT!B:F,5,FALSE)</f>
        <v>13.116666666666999</v>
      </c>
    </row>
    <row r="228" spans="1:20" x14ac:dyDescent="0.2">
      <c r="A228" t="s">
        <v>77</v>
      </c>
      <c r="B228" t="s">
        <v>52</v>
      </c>
      <c r="C228" t="s">
        <v>42</v>
      </c>
      <c r="D228" t="s">
        <v>42</v>
      </c>
      <c r="E228">
        <v>3800</v>
      </c>
      <c r="F228">
        <v>7.0046568826373203</v>
      </c>
      <c r="G228">
        <v>2.8018627530549298</v>
      </c>
      <c r="H228">
        <v>22.511642206593301</v>
      </c>
      <c r="I228">
        <v>5.51</v>
      </c>
      <c r="J228">
        <v>1.4946568826373201</v>
      </c>
      <c r="K228">
        <v>1.8433307585887699</v>
      </c>
      <c r="L228">
        <v>0.15384615384615299</v>
      </c>
      <c r="M228">
        <v>0.269230769230769</v>
      </c>
      <c r="N228">
        <v>1.42307692307692</v>
      </c>
      <c r="O228">
        <v>3.8461538461538401E-2</v>
      </c>
      <c r="P228" s="2" t="d">
        <v>2026-01-23</v>
      </c>
      <c r="Q228" t="s">
        <v>406</v>
      </c>
      <c r="R228">
        <f>IFERROR(VLOOKUP($A228,Actual!$A:$D,4,FALSE),IFERROR(VLOOKUP($A228,FC!$A:$AC,29,FALSE), "Not Found"))</f>
        <v>10</v>
      </c>
      <c r="S228">
        <f>IFERROR(VLOOKUP($A228,Actual!$A:$D,3,FALSE),"0")</f>
        <v>5.0999999999999997E-2</v>
      </c>
      <c r="T228">
        <f>VLOOKUP(A228,NHT!B:F,5,FALSE)</f>
        <v>12.983333333333</v>
      </c>
    </row>
    <row r="229" spans="1:20" x14ac:dyDescent="0.2">
      <c r="A229" t="s">
        <v>205</v>
      </c>
      <c r="B229" t="s">
        <v>85</v>
      </c>
      <c r="C229" t="s">
        <v>57</v>
      </c>
      <c r="D229" t="s">
        <v>57</v>
      </c>
      <c r="E229">
        <v>2500</v>
      </c>
      <c r="F229">
        <v>6.2030354258545897</v>
      </c>
      <c r="G229">
        <v>2.48121417034183</v>
      </c>
      <c r="H229">
        <v>20.5075885646364</v>
      </c>
      <c r="I229">
        <v>5.0599999999999996</v>
      </c>
      <c r="J229">
        <v>1.1430354258545901</v>
      </c>
      <c r="K229">
        <v>2.48121417034183</v>
      </c>
      <c r="L229">
        <v>6.6666666666666596E-2</v>
      </c>
      <c r="M229">
        <v>0.11111111111111099</v>
      </c>
      <c r="N229">
        <v>0.86666666666666603</v>
      </c>
      <c r="O229">
        <v>0</v>
      </c>
      <c r="P229" s="2" t="d">
        <v>2026-01-23</v>
      </c>
      <c r="Q229" t="s">
        <v>406</v>
      </c>
      <c r="R229">
        <f>IFERROR(VLOOKUP($A229,Actual!$A:$D,4,FALSE),IFERROR(VLOOKUP($A229,FC!$A:$AC,29,FALSE), "Not Found"))</f>
        <v>0</v>
      </c>
      <c r="S229">
        <f>IFERROR(VLOOKUP($A229,Actual!$A:$D,3,FALSE),"0")</f>
        <v>6.4000000000000003E-3</v>
      </c>
      <c r="T229">
        <f>VLOOKUP(A229,NHT!B:F,5,FALSE)</f>
        <v>12.833333333333</v>
      </c>
    </row>
    <row r="230" spans="1:20" x14ac:dyDescent="0.2">
      <c r="A230" t="s">
        <v>217</v>
      </c>
      <c r="B230" t="s">
        <v>64</v>
      </c>
      <c r="C230" t="s">
        <v>46</v>
      </c>
      <c r="D230" t="s">
        <v>410</v>
      </c>
      <c r="E230">
        <v>2500</v>
      </c>
      <c r="F230">
        <v>3.9239630277483699</v>
      </c>
      <c r="G230">
        <v>1.56958521109935</v>
      </c>
      <c r="H230">
        <v>14.8099075693709</v>
      </c>
      <c r="I230">
        <v>2.63</v>
      </c>
      <c r="J230">
        <v>1.29396302774837</v>
      </c>
      <c r="K230">
        <v>1.56958521109935</v>
      </c>
      <c r="L230">
        <v>4.1666666666666602E-2</v>
      </c>
      <c r="M230">
        <v>0.20833333333333301</v>
      </c>
      <c r="N230">
        <v>0.5625</v>
      </c>
      <c r="O230">
        <v>0</v>
      </c>
      <c r="P230" s="2" t="d">
        <v>2026-01-23</v>
      </c>
      <c r="Q230" t="s">
        <v>406</v>
      </c>
      <c r="R230">
        <f>IFERROR(VLOOKUP($A230,Actual!$A:$D,4,FALSE),IFERROR(VLOOKUP($A230,FC!$A:$AC,29,FALSE), "Not Found"))</f>
        <v>0</v>
      </c>
      <c r="S230" t="str">
        <f>IFERROR(VLOOKUP($A230,Actual!$A:$D,3,FALSE),"0")</f>
        <v>0</v>
      </c>
      <c r="T230">
        <f>VLOOKUP(A230,NHT!B:F,5,FALSE)</f>
        <v>12.783333333332999</v>
      </c>
    </row>
    <row r="231" spans="1:20" x14ac:dyDescent="0.2">
      <c r="A231" t="s">
        <v>239</v>
      </c>
      <c r="B231" t="s">
        <v>59</v>
      </c>
      <c r="C231" t="s">
        <v>46</v>
      </c>
      <c r="D231" t="s">
        <v>408</v>
      </c>
      <c r="E231">
        <v>4800</v>
      </c>
      <c r="F231">
        <v>11.342357524496901</v>
      </c>
      <c r="G231">
        <v>4.5369430097987804</v>
      </c>
      <c r="H231">
        <v>33.355893811242403</v>
      </c>
      <c r="I231">
        <v>8.65</v>
      </c>
      <c r="J231">
        <v>2.69235752449696</v>
      </c>
      <c r="K231">
        <v>2.36299115093686</v>
      </c>
      <c r="L231">
        <v>0.24489795918367299</v>
      </c>
      <c r="M231">
        <v>0.24489795918367299</v>
      </c>
      <c r="N231">
        <v>2.7959183673469301</v>
      </c>
      <c r="O231">
        <v>0.265306122448979</v>
      </c>
      <c r="P231" s="2" t="d">
        <v>2026-01-23</v>
      </c>
      <c r="Q231" t="s">
        <v>406</v>
      </c>
      <c r="R231">
        <f>IFERROR(VLOOKUP($A231,Actual!$A:$D,4,FALSE),IFERROR(VLOOKUP($A231,FC!$A:$AC,29,FALSE), "Not Found"))</f>
        <v>0</v>
      </c>
      <c r="S231">
        <f>IFERROR(VLOOKUP($A231,Actual!$A:$D,3,FALSE),"0")</f>
        <v>4.5400000000000003E-2</v>
      </c>
      <c r="T231">
        <f>VLOOKUP(A231,NHT!B:F,5,FALSE)</f>
        <v>12.733333333333</v>
      </c>
    </row>
    <row r="232" spans="1:20" x14ac:dyDescent="0.2">
      <c r="A232" t="s">
        <v>289</v>
      </c>
      <c r="B232" t="s">
        <v>61</v>
      </c>
      <c r="C232" t="s">
        <v>46</v>
      </c>
      <c r="D232" t="s">
        <v>408</v>
      </c>
      <c r="E232">
        <v>2800</v>
      </c>
      <c r="F232">
        <v>8.6982836533603098</v>
      </c>
      <c r="G232">
        <v>3.4793134613441201</v>
      </c>
      <c r="H232">
        <v>26.745709133400702</v>
      </c>
      <c r="I232">
        <v>6.72</v>
      </c>
      <c r="J232">
        <v>1.9782836533603101</v>
      </c>
      <c r="K232">
        <v>3.1065298762001099</v>
      </c>
      <c r="L232">
        <v>0.23404255319148901</v>
      </c>
      <c r="M232">
        <v>0.27659574468085102</v>
      </c>
      <c r="N232">
        <v>1.6595744680850999</v>
      </c>
      <c r="O232">
        <v>8.5106382978723402E-2</v>
      </c>
      <c r="P232" s="2" t="d">
        <v>2026-01-23</v>
      </c>
      <c r="Q232" t="s">
        <v>406</v>
      </c>
      <c r="R232">
        <f>IFERROR(VLOOKUP($A232,Actual!$A:$D,4,FALSE),IFERROR(VLOOKUP($A232,FC!$A:$AC,29,FALSE), "Not Found"))</f>
        <v>1.3</v>
      </c>
      <c r="S232">
        <f>IFERROR(VLOOKUP($A232,Actual!$A:$D,3,FALSE),"0")</f>
        <v>1.9900000000000001E-2</v>
      </c>
      <c r="T232">
        <f>VLOOKUP(A232,NHT!B:F,5,FALSE)</f>
        <v>12.65</v>
      </c>
    </row>
    <row r="233" spans="1:20" x14ac:dyDescent="0.2">
      <c r="A233" t="s">
        <v>325</v>
      </c>
      <c r="B233" t="s">
        <v>407</v>
      </c>
      <c r="C233" t="s">
        <v>42</v>
      </c>
      <c r="D233" t="s">
        <v>42</v>
      </c>
      <c r="E233">
        <v>2600</v>
      </c>
      <c r="F233">
        <v>5.6866520862011498</v>
      </c>
      <c r="G233">
        <v>2.2746608344804602</v>
      </c>
      <c r="H233">
        <v>19.2166302155028</v>
      </c>
      <c r="I233">
        <v>4.29</v>
      </c>
      <c r="J233">
        <v>1.39665208620114</v>
      </c>
      <c r="K233">
        <v>2.1871738793081299</v>
      </c>
      <c r="L233">
        <v>0.12121212121212099</v>
      </c>
      <c r="M233">
        <v>0.21212121212121199</v>
      </c>
      <c r="N233">
        <v>1.0303030303030301</v>
      </c>
      <c r="O233">
        <v>0</v>
      </c>
      <c r="P233" s="2" t="d">
        <v>2026-01-23</v>
      </c>
      <c r="Q233" t="s">
        <v>406</v>
      </c>
      <c r="R233">
        <f>IFERROR(VLOOKUP($A233,Actual!$A:$D,4,FALSE),IFERROR(VLOOKUP($A233,FC!$A:$AC,29,FALSE), "Not Found"))</f>
        <v>5.8</v>
      </c>
      <c r="S233">
        <f>IFERROR(VLOOKUP($A233,Actual!$A:$D,3,FALSE),"0")</f>
        <v>4.4299999999999999E-2</v>
      </c>
      <c r="T233">
        <f>VLOOKUP(A233,NHT!B:F,5,FALSE)</f>
        <v>12.633333333333001</v>
      </c>
    </row>
    <row r="234" spans="1:20" x14ac:dyDescent="0.2">
      <c r="A234" t="s">
        <v>136</v>
      </c>
      <c r="B234" t="s">
        <v>48</v>
      </c>
      <c r="C234" t="s">
        <v>57</v>
      </c>
      <c r="D234" t="s">
        <v>57</v>
      </c>
      <c r="E234">
        <v>2500</v>
      </c>
      <c r="F234">
        <v>4.7030655418644196</v>
      </c>
      <c r="G234">
        <v>1.8812262167457601</v>
      </c>
      <c r="H234">
        <v>16.757663854661001</v>
      </c>
      <c r="I234">
        <v>2.0699999999999998</v>
      </c>
      <c r="J234">
        <v>2.63306554186441</v>
      </c>
      <c r="K234">
        <v>1.8812262167457601</v>
      </c>
      <c r="L234">
        <v>0</v>
      </c>
      <c r="M234">
        <v>0.14285714285714199</v>
      </c>
      <c r="N234">
        <v>0.28571428571428498</v>
      </c>
      <c r="O234">
        <v>0</v>
      </c>
      <c r="P234" s="2" t="d">
        <v>2026-01-23</v>
      </c>
      <c r="Q234" t="s">
        <v>406</v>
      </c>
      <c r="R234">
        <f>IFERROR(VLOOKUP($A234,Actual!$A:$D,4,FALSE),IFERROR(VLOOKUP($A234,FC!$A:$AC,29,FALSE), "Not Found"))</f>
        <v>6.5</v>
      </c>
      <c r="S234">
        <f>IFERROR(VLOOKUP($A234,Actual!$A:$D,3,FALSE),"0")</f>
        <v>2.9999999999999997E-4</v>
      </c>
      <c r="T234">
        <f>VLOOKUP(A234,NHT!B:F,5,FALSE)</f>
        <v>12.566666666667</v>
      </c>
    </row>
    <row r="235" spans="1:20" x14ac:dyDescent="0.2">
      <c r="A235" t="s">
        <v>264</v>
      </c>
      <c r="B235" t="s">
        <v>59</v>
      </c>
      <c r="C235" t="s">
        <v>42</v>
      </c>
      <c r="D235" t="s">
        <v>42</v>
      </c>
      <c r="E235">
        <v>2500</v>
      </c>
      <c r="F235">
        <v>4.4639254886358604</v>
      </c>
      <c r="G235">
        <v>1.7855701954543399</v>
      </c>
      <c r="H235">
        <v>16.1598137215896</v>
      </c>
      <c r="I235">
        <v>3.7</v>
      </c>
      <c r="J235">
        <v>0.76392548863586196</v>
      </c>
      <c r="K235">
        <v>1.7855701954543399</v>
      </c>
      <c r="L235">
        <v>6.8965517241379296E-2</v>
      </c>
      <c r="M235">
        <v>0.13793103448275801</v>
      </c>
      <c r="N235">
        <v>1</v>
      </c>
      <c r="O235">
        <v>0</v>
      </c>
      <c r="P235" s="2" t="d">
        <v>2026-01-23</v>
      </c>
      <c r="Q235" t="s">
        <v>406</v>
      </c>
      <c r="R235">
        <f>IFERROR(VLOOKUP($A235,Actual!$A:$D,4,FALSE),IFERROR(VLOOKUP($A235,FC!$A:$AC,29,FALSE), "Not Found"))</f>
        <v>0</v>
      </c>
      <c r="S235">
        <f>IFERROR(VLOOKUP($A235,Actual!$A:$D,3,FALSE),"0")</f>
        <v>3.0999999999999999E-3</v>
      </c>
      <c r="T235">
        <f>VLOOKUP(A235,NHT!B:F,5,FALSE)</f>
        <v>12.533333333332999</v>
      </c>
    </row>
    <row r="236" spans="1:20" x14ac:dyDescent="0.2">
      <c r="A236" t="s">
        <v>287</v>
      </c>
      <c r="B236" t="s">
        <v>56</v>
      </c>
      <c r="C236" t="s">
        <v>42</v>
      </c>
      <c r="D236" t="s">
        <v>410</v>
      </c>
      <c r="E236">
        <v>4500</v>
      </c>
      <c r="F236">
        <v>8.4811249759278091</v>
      </c>
      <c r="G236">
        <v>3.3924499903711198</v>
      </c>
      <c r="H236">
        <v>26.2028124398195</v>
      </c>
      <c r="I236">
        <v>7.34</v>
      </c>
      <c r="J236">
        <v>1.1411249759278099</v>
      </c>
      <c r="K236">
        <v>1.88469443909507</v>
      </c>
      <c r="L236">
        <v>0.13725490196078399</v>
      </c>
      <c r="M236">
        <v>0.41176470588235198</v>
      </c>
      <c r="N236">
        <v>1.92156862745098</v>
      </c>
      <c r="O236">
        <v>3.9215686274509803E-2</v>
      </c>
      <c r="P236" s="2" t="d">
        <v>2026-01-23</v>
      </c>
      <c r="Q236" t="s">
        <v>406</v>
      </c>
      <c r="R236">
        <f>IFERROR(VLOOKUP($A236,Actual!$A:$D,4,FALSE),IFERROR(VLOOKUP($A236,FC!$A:$AC,29,FALSE), "Not Found"))</f>
        <v>1.5</v>
      </c>
      <c r="S236">
        <f>IFERROR(VLOOKUP($A236,Actual!$A:$D,3,FALSE),"0")</f>
        <v>1.15E-2</v>
      </c>
      <c r="T236">
        <f>VLOOKUP(A236,NHT!B:F,5,FALSE)</f>
        <v>12.5</v>
      </c>
    </row>
    <row r="237" spans="1:20" x14ac:dyDescent="0.2">
      <c r="A237" t="s">
        <v>40</v>
      </c>
      <c r="B237" t="s">
        <v>412</v>
      </c>
      <c r="C237" t="s">
        <v>42</v>
      </c>
      <c r="D237" t="s">
        <v>42</v>
      </c>
      <c r="E237">
        <v>3100</v>
      </c>
      <c r="F237">
        <v>8.5316664549168308</v>
      </c>
      <c r="G237">
        <v>3.4126665819667301</v>
      </c>
      <c r="H237">
        <v>26.329166137291999</v>
      </c>
      <c r="I237">
        <v>6.12</v>
      </c>
      <c r="J237">
        <v>2.4116664549168298</v>
      </c>
      <c r="K237">
        <v>2.7521504693280101</v>
      </c>
      <c r="L237">
        <v>0.28205128205128199</v>
      </c>
      <c r="M237">
        <v>0.10256410256410201</v>
      </c>
      <c r="N237">
        <v>1.7179487179487101</v>
      </c>
      <c r="O237">
        <v>5.1282051282051197E-2</v>
      </c>
      <c r="P237" s="2" t="d">
        <v>2026-01-23</v>
      </c>
      <c r="Q237" t="s">
        <v>406</v>
      </c>
      <c r="R237">
        <f>IFERROR(VLOOKUP($A237,Actual!$A:$D,4,FALSE),IFERROR(VLOOKUP($A237,FC!$A:$AC,29,FALSE), "Not Found"))</f>
        <v>33.6</v>
      </c>
      <c r="S237">
        <f>IFERROR(VLOOKUP($A237,Actual!$A:$D,3,FALSE),"0")</f>
        <v>3.3399999999999999E-2</v>
      </c>
      <c r="T237">
        <f>VLOOKUP(A237,NHT!B:F,5,FALSE)</f>
        <v>12.466666666667001</v>
      </c>
    </row>
    <row r="238" spans="1:20" x14ac:dyDescent="0.2">
      <c r="A238" t="s">
        <v>158</v>
      </c>
      <c r="B238" t="s">
        <v>409</v>
      </c>
      <c r="C238" t="s">
        <v>42</v>
      </c>
      <c r="D238" t="s">
        <v>42</v>
      </c>
      <c r="E238">
        <v>2900</v>
      </c>
      <c r="F238">
        <v>7.0518812004592597</v>
      </c>
      <c r="G238">
        <v>2.8207524801837001</v>
      </c>
      <c r="H238">
        <v>22.629703001148101</v>
      </c>
      <c r="I238">
        <v>5.72</v>
      </c>
      <c r="J238">
        <v>1.33188120045926</v>
      </c>
      <c r="K238">
        <v>2.4316831725721499</v>
      </c>
      <c r="L238">
        <v>8.3333333333333301E-2</v>
      </c>
      <c r="M238">
        <v>0.33333333333333298</v>
      </c>
      <c r="N238">
        <v>1.4166666666666601</v>
      </c>
      <c r="O238">
        <v>0</v>
      </c>
      <c r="P238" s="2" t="d">
        <v>2026-01-23</v>
      </c>
      <c r="Q238" t="s">
        <v>406</v>
      </c>
      <c r="R238">
        <f>IFERROR(VLOOKUP($A238,Actual!$A:$D,4,FALSE),IFERROR(VLOOKUP($A238,FC!$A:$AC,29,FALSE), "Not Found"))</f>
        <v>6.5</v>
      </c>
      <c r="S238">
        <f>IFERROR(VLOOKUP($A238,Actual!$A:$D,3,FALSE),"0")</f>
        <v>3.1099999999999999E-2</v>
      </c>
      <c r="T238">
        <f>VLOOKUP(A238,NHT!B:F,5,FALSE)</f>
        <v>12.466666666667001</v>
      </c>
    </row>
    <row r="239" spans="1:20" x14ac:dyDescent="0.2">
      <c r="A239" t="s">
        <v>124</v>
      </c>
      <c r="B239" t="s">
        <v>59</v>
      </c>
      <c r="C239" t="s">
        <v>46</v>
      </c>
      <c r="D239" t="s">
        <v>410</v>
      </c>
      <c r="E239">
        <v>2500</v>
      </c>
      <c r="F239">
        <v>3.29227936223272</v>
      </c>
      <c r="G239">
        <v>1.31691174489308</v>
      </c>
      <c r="H239">
        <v>13.2306984055818</v>
      </c>
      <c r="I239">
        <v>2.09</v>
      </c>
      <c r="J239">
        <v>1.2022793622327199</v>
      </c>
      <c r="K239">
        <v>1.31691174489308</v>
      </c>
      <c r="L239">
        <v>0</v>
      </c>
      <c r="M239">
        <v>6.6666666666666596E-2</v>
      </c>
      <c r="N239">
        <v>1</v>
      </c>
      <c r="O239">
        <v>0</v>
      </c>
      <c r="P239" s="2" t="d">
        <v>2026-01-23</v>
      </c>
      <c r="Q239" t="s">
        <v>406</v>
      </c>
      <c r="R239">
        <f>IFERROR(VLOOKUP($A239,Actual!$A:$D,4,FALSE),IFERROR(VLOOKUP($A239,FC!$A:$AC,29,FALSE), "Not Found"))</f>
        <v>6.5</v>
      </c>
      <c r="S239" t="str">
        <f>IFERROR(VLOOKUP($A239,Actual!$A:$D,3,FALSE),"0")</f>
        <v>0</v>
      </c>
      <c r="T239">
        <f>VLOOKUP(A239,NHT!B:F,5,FALSE)</f>
        <v>12.416666666667</v>
      </c>
    </row>
    <row r="240" spans="1:20" x14ac:dyDescent="0.2">
      <c r="A240" t="s">
        <v>318</v>
      </c>
      <c r="B240" t="s">
        <v>407</v>
      </c>
      <c r="C240" t="s">
        <v>57</v>
      </c>
      <c r="D240" t="s">
        <v>57</v>
      </c>
      <c r="E240">
        <v>2500</v>
      </c>
      <c r="F240">
        <v>5.3604108336929102</v>
      </c>
      <c r="G240">
        <v>2.1441643334771601</v>
      </c>
      <c r="H240">
        <v>18.401027084232201</v>
      </c>
      <c r="I240">
        <v>2.92</v>
      </c>
      <c r="J240">
        <v>2.4404108336929098</v>
      </c>
      <c r="K240">
        <v>2.1441643334771601</v>
      </c>
      <c r="L240">
        <v>3.7037037037037E-2</v>
      </c>
      <c r="M240">
        <v>7.4074074074074001E-2</v>
      </c>
      <c r="N240">
        <v>0.74074074074074003</v>
      </c>
      <c r="O240">
        <v>0</v>
      </c>
      <c r="P240" s="2" t="d">
        <v>2026-01-23</v>
      </c>
      <c r="Q240" t="s">
        <v>406</v>
      </c>
      <c r="R240">
        <f>IFERROR(VLOOKUP($A240,Actual!$A:$D,4,FALSE),IFERROR(VLOOKUP($A240,FC!$A:$AC,29,FALSE), "Not Found"))</f>
        <v>1.3</v>
      </c>
      <c r="S240" t="str">
        <f>IFERROR(VLOOKUP($A240,Actual!$A:$D,3,FALSE),"0")</f>
        <v>0</v>
      </c>
      <c r="T240">
        <f>VLOOKUP(A240,NHT!B:F,5,FALSE)</f>
        <v>12.35</v>
      </c>
    </row>
    <row r="241" spans="1:20" x14ac:dyDescent="0.2">
      <c r="A241" t="s">
        <v>312</v>
      </c>
      <c r="B241" t="s">
        <v>74</v>
      </c>
      <c r="C241" t="s">
        <v>42</v>
      </c>
      <c r="D241" t="s">
        <v>410</v>
      </c>
      <c r="E241">
        <v>2500</v>
      </c>
      <c r="F241">
        <v>4.9000285486081401</v>
      </c>
      <c r="G241">
        <v>1.9600114194432501</v>
      </c>
      <c r="H241">
        <v>17.250071371520299</v>
      </c>
      <c r="I241">
        <v>3.75</v>
      </c>
      <c r="J241">
        <v>1.1500285486081401</v>
      </c>
      <c r="K241">
        <v>1.9600114194432501</v>
      </c>
      <c r="L241">
        <v>6.3829787234042507E-2</v>
      </c>
      <c r="M241">
        <v>0.21276595744680801</v>
      </c>
      <c r="N241">
        <v>0.97872340425531901</v>
      </c>
      <c r="O241">
        <v>0</v>
      </c>
      <c r="P241" s="2" t="d">
        <v>2026-01-23</v>
      </c>
      <c r="Q241" t="s">
        <v>406</v>
      </c>
      <c r="R241">
        <f>IFERROR(VLOOKUP($A241,Actual!$A:$D,4,FALSE),IFERROR(VLOOKUP($A241,FC!$A:$AC,29,FALSE), "Not Found"))</f>
        <v>1.3</v>
      </c>
      <c r="S241" t="str">
        <f>IFERROR(VLOOKUP($A241,Actual!$A:$D,3,FALSE),"0")</f>
        <v>0</v>
      </c>
      <c r="T241">
        <f>VLOOKUP(A241,NHT!B:F,5,FALSE)</f>
        <v>12.333333333333</v>
      </c>
    </row>
    <row r="242" spans="1:20" x14ac:dyDescent="0.2">
      <c r="A242" t="s">
        <v>243</v>
      </c>
      <c r="B242" t="s">
        <v>409</v>
      </c>
      <c r="C242" t="s">
        <v>36</v>
      </c>
      <c r="D242" t="s">
        <v>408</v>
      </c>
      <c r="E242">
        <v>2800</v>
      </c>
      <c r="F242">
        <v>8.1342351081766502</v>
      </c>
      <c r="G242">
        <v>3.2536940432706598</v>
      </c>
      <c r="H242">
        <v>25.335587770441599</v>
      </c>
      <c r="I242">
        <v>6</v>
      </c>
      <c r="J242">
        <v>2.1342351081766502</v>
      </c>
      <c r="K242">
        <v>2.9050839672059401</v>
      </c>
      <c r="L242">
        <v>0.256410256410256</v>
      </c>
      <c r="M242">
        <v>0.17948717948717899</v>
      </c>
      <c r="N242">
        <v>1.4871794871794799</v>
      </c>
      <c r="O242">
        <v>0.15384615384615299</v>
      </c>
      <c r="P242" s="2" t="d">
        <v>2026-01-23</v>
      </c>
      <c r="Q242" t="s">
        <v>406</v>
      </c>
      <c r="R242">
        <f>IFERROR(VLOOKUP($A242,Actual!$A:$D,4,FALSE),IFERROR(VLOOKUP($A242,FC!$A:$AC,29,FALSE), "Not Found"))</f>
        <v>4.3</v>
      </c>
      <c r="S242">
        <f>IFERROR(VLOOKUP($A242,Actual!$A:$D,3,FALSE),"0")</f>
        <v>1.54E-2</v>
      </c>
      <c r="T242">
        <f>VLOOKUP(A242,NHT!B:F,5,FALSE)</f>
        <v>12.3</v>
      </c>
    </row>
    <row r="243" spans="1:20" x14ac:dyDescent="0.2">
      <c r="A243" t="s">
        <v>197</v>
      </c>
      <c r="B243" t="s">
        <v>52</v>
      </c>
      <c r="C243" t="s">
        <v>42</v>
      </c>
      <c r="D243" t="s">
        <v>42</v>
      </c>
      <c r="E243">
        <v>2500</v>
      </c>
      <c r="F243">
        <v>4.48987251946021</v>
      </c>
      <c r="G243">
        <v>1.7959490077840801</v>
      </c>
      <c r="H243">
        <v>16.224681298650498</v>
      </c>
      <c r="I243">
        <v>3.92</v>
      </c>
      <c r="J243">
        <v>0.569872519460215</v>
      </c>
      <c r="K243">
        <v>1.7959490077840801</v>
      </c>
      <c r="L243">
        <v>0.04</v>
      </c>
      <c r="M243">
        <v>0.3</v>
      </c>
      <c r="N243">
        <v>0.62</v>
      </c>
      <c r="O243">
        <v>0</v>
      </c>
      <c r="P243" s="2" t="d">
        <v>2026-01-23</v>
      </c>
      <c r="Q243" t="s">
        <v>406</v>
      </c>
      <c r="R243">
        <f>IFERROR(VLOOKUP($A243,Actual!$A:$D,4,FALSE),IFERROR(VLOOKUP($A243,FC!$A:$AC,29,FALSE), "Not Found"))</f>
        <v>1.3</v>
      </c>
      <c r="S243">
        <f>IFERROR(VLOOKUP($A243,Actual!$A:$D,3,FALSE),"0")</f>
        <v>5.9999999999999995E-4</v>
      </c>
      <c r="T243">
        <f>VLOOKUP(A243,NHT!B:F,5,FALSE)</f>
        <v>12.2</v>
      </c>
    </row>
    <row r="244" spans="1:20" x14ac:dyDescent="0.2">
      <c r="A244" t="s">
        <v>154</v>
      </c>
      <c r="B244" t="s">
        <v>148</v>
      </c>
      <c r="C244" t="s">
        <v>46</v>
      </c>
      <c r="D244" t="s">
        <v>408</v>
      </c>
      <c r="E244">
        <v>2700</v>
      </c>
      <c r="F244">
        <v>6.98559856736318</v>
      </c>
      <c r="G244">
        <v>2.7942394269452699</v>
      </c>
      <c r="H244">
        <v>22.463996418407898</v>
      </c>
      <c r="I244">
        <v>5.53</v>
      </c>
      <c r="J244">
        <v>1.4555985673631799</v>
      </c>
      <c r="K244">
        <v>2.5872587286530302</v>
      </c>
      <c r="L244">
        <v>0.26315789473684198</v>
      </c>
      <c r="M244">
        <v>5.2631578947368397E-2</v>
      </c>
      <c r="N244">
        <v>1.57894736842105</v>
      </c>
      <c r="O244">
        <v>0.157894736842105</v>
      </c>
      <c r="P244" s="2" t="d">
        <v>2026-01-23</v>
      </c>
      <c r="Q244" t="s">
        <v>406</v>
      </c>
      <c r="R244">
        <f>IFERROR(VLOOKUP($A244,Actual!$A:$D,4,FALSE),IFERROR(VLOOKUP($A244,FC!$A:$AC,29,FALSE), "Not Found"))</f>
        <v>7.8</v>
      </c>
      <c r="S244">
        <f>IFERROR(VLOOKUP($A244,Actual!$A:$D,3,FALSE),"0")</f>
        <v>1.1000000000000001E-3</v>
      </c>
      <c r="T244">
        <f>VLOOKUP(A244,NHT!B:F,5,FALSE)</f>
        <v>12.166666666667</v>
      </c>
    </row>
    <row r="245" spans="1:20" x14ac:dyDescent="0.2">
      <c r="A245" t="s">
        <v>223</v>
      </c>
      <c r="B245" t="s">
        <v>148</v>
      </c>
      <c r="C245" t="s">
        <v>42</v>
      </c>
      <c r="D245" t="s">
        <v>410</v>
      </c>
      <c r="E245">
        <v>3000</v>
      </c>
      <c r="F245">
        <v>7.3025710981651404</v>
      </c>
      <c r="G245">
        <v>2.9210284392660499</v>
      </c>
      <c r="H245">
        <v>23.2564277454128</v>
      </c>
      <c r="I245">
        <v>5.59</v>
      </c>
      <c r="J245">
        <v>1.7125710981651401</v>
      </c>
      <c r="K245">
        <v>2.4341903660550401</v>
      </c>
      <c r="L245">
        <v>0.2</v>
      </c>
      <c r="M245">
        <v>0.2</v>
      </c>
      <c r="N245">
        <v>1.62</v>
      </c>
      <c r="O245">
        <v>0.04</v>
      </c>
      <c r="P245" s="2" t="d">
        <v>2026-01-23</v>
      </c>
      <c r="Q245" t="s">
        <v>406</v>
      </c>
      <c r="R245">
        <f>IFERROR(VLOOKUP($A245,Actual!$A:$D,4,FALSE),IFERROR(VLOOKUP($A245,FC!$A:$AC,29,FALSE), "Not Found"))</f>
        <v>0</v>
      </c>
      <c r="S245">
        <f>IFERROR(VLOOKUP($A245,Actual!$A:$D,3,FALSE),"0")</f>
        <v>4.4999999999999997E-3</v>
      </c>
      <c r="T245">
        <f>VLOOKUP(A245,NHT!B:F,5,FALSE)</f>
        <v>12.15</v>
      </c>
    </row>
    <row r="246" spans="1:20" x14ac:dyDescent="0.2">
      <c r="A246" t="s">
        <v>337</v>
      </c>
      <c r="B246" t="s">
        <v>52</v>
      </c>
      <c r="C246" t="s">
        <v>42</v>
      </c>
      <c r="D246" t="s">
        <v>42</v>
      </c>
      <c r="E246">
        <v>2600</v>
      </c>
      <c r="F246">
        <v>5.6695671215769003</v>
      </c>
      <c r="G246">
        <v>2.2678268486307598</v>
      </c>
      <c r="H246">
        <v>19.173917803942199</v>
      </c>
      <c r="I246">
        <v>4.54</v>
      </c>
      <c r="J246">
        <v>1.1295671215769001</v>
      </c>
      <c r="K246">
        <v>2.18060273906804</v>
      </c>
      <c r="L246">
        <v>0.16</v>
      </c>
      <c r="M246">
        <v>0.18</v>
      </c>
      <c r="N246">
        <v>1.04</v>
      </c>
      <c r="O246">
        <v>0.04</v>
      </c>
      <c r="P246" s="2" t="d">
        <v>2026-01-23</v>
      </c>
      <c r="Q246" t="s">
        <v>406</v>
      </c>
      <c r="R246">
        <f>IFERROR(VLOOKUP($A246,Actual!$A:$D,4,FALSE),IFERROR(VLOOKUP($A246,FC!$A:$AC,29,FALSE), "Not Found"))</f>
        <v>1.3</v>
      </c>
      <c r="S246">
        <f>IFERROR(VLOOKUP($A246,Actual!$A:$D,3,FALSE),"0")</f>
        <v>1.01E-2</v>
      </c>
      <c r="T246">
        <f>VLOOKUP(A246,NHT!B:F,5,FALSE)</f>
        <v>12.066666666667</v>
      </c>
    </row>
    <row r="247" spans="1:20" x14ac:dyDescent="0.2">
      <c r="A247" t="s">
        <v>221</v>
      </c>
      <c r="B247" t="s">
        <v>45</v>
      </c>
      <c r="C247" t="s">
        <v>42</v>
      </c>
      <c r="D247" t="s">
        <v>410</v>
      </c>
      <c r="E247">
        <v>2500</v>
      </c>
      <c r="F247">
        <v>5.1012084099828696</v>
      </c>
      <c r="G247">
        <v>2.0404833639931499</v>
      </c>
      <c r="H247">
        <v>17.7530210249571</v>
      </c>
      <c r="I247">
        <v>4.08</v>
      </c>
      <c r="J247">
        <v>1.02120840998287</v>
      </c>
      <c r="K247">
        <v>2.0404833639931401</v>
      </c>
      <c r="L247">
        <v>0</v>
      </c>
      <c r="M247">
        <v>0.3</v>
      </c>
      <c r="N247">
        <v>1.2</v>
      </c>
      <c r="O247">
        <v>0</v>
      </c>
      <c r="P247" s="2" t="d">
        <v>2026-01-23</v>
      </c>
      <c r="Q247" t="s">
        <v>406</v>
      </c>
      <c r="R247">
        <f>IFERROR(VLOOKUP($A247,Actual!$A:$D,4,FALSE),IFERROR(VLOOKUP($A247,FC!$A:$AC,29,FALSE), "Not Found"))</f>
        <v>1.3</v>
      </c>
      <c r="S247">
        <f>IFERROR(VLOOKUP($A247,Actual!$A:$D,3,FALSE),"0")</f>
        <v>8.0000000000000004E-4</v>
      </c>
      <c r="T247">
        <f>VLOOKUP(A247,NHT!B:F,5,FALSE)</f>
        <v>12</v>
      </c>
    </row>
    <row r="248" spans="1:20" x14ac:dyDescent="0.2">
      <c r="A248" t="s">
        <v>265</v>
      </c>
      <c r="B248" t="s">
        <v>45</v>
      </c>
      <c r="C248" t="s">
        <v>36</v>
      </c>
      <c r="D248" t="s">
        <v>410</v>
      </c>
      <c r="E248">
        <v>2500</v>
      </c>
      <c r="F248">
        <v>4.3160783185246299</v>
      </c>
      <c r="G248">
        <v>1.7264313274098499</v>
      </c>
      <c r="H248">
        <v>15.790195796311499</v>
      </c>
      <c r="I248">
        <v>4.5</v>
      </c>
      <c r="J248">
        <v>-0.183921681475363</v>
      </c>
      <c r="K248">
        <v>1.7264313274098499</v>
      </c>
      <c r="L248">
        <v>5.8823529411764698E-2</v>
      </c>
      <c r="M248">
        <v>0.11764705882352899</v>
      </c>
      <c r="N248">
        <v>1</v>
      </c>
      <c r="O248">
        <v>0</v>
      </c>
      <c r="P248" s="2" t="d">
        <v>2026-01-23</v>
      </c>
      <c r="Q248" t="s">
        <v>406</v>
      </c>
      <c r="R248">
        <f>IFERROR(VLOOKUP($A248,Actual!$A:$D,4,FALSE),IFERROR(VLOOKUP($A248,FC!$A:$AC,29,FALSE), "Not Found"))</f>
        <v>1.3</v>
      </c>
      <c r="S248" t="str">
        <f>IFERROR(VLOOKUP($A248,Actual!$A:$D,3,FALSE),"0")</f>
        <v>0</v>
      </c>
      <c r="T248">
        <f>VLOOKUP(A248,NHT!B:F,5,FALSE)</f>
        <v>11.916666666667</v>
      </c>
    </row>
    <row r="249" spans="1:20" x14ac:dyDescent="0.2">
      <c r="A249" t="s">
        <v>282</v>
      </c>
      <c r="B249" t="s">
        <v>117</v>
      </c>
      <c r="C249" t="s">
        <v>57</v>
      </c>
      <c r="D249" t="s">
        <v>57</v>
      </c>
      <c r="E249">
        <v>2500</v>
      </c>
      <c r="F249">
        <v>5.2481152668342403</v>
      </c>
      <c r="G249">
        <v>2.0992461067336898</v>
      </c>
      <c r="H249">
        <v>18.120288167085601</v>
      </c>
      <c r="I249">
        <v>3.07</v>
      </c>
      <c r="J249">
        <v>2.1781152668342401</v>
      </c>
      <c r="K249">
        <v>2.0992461067336898</v>
      </c>
      <c r="L249">
        <v>0</v>
      </c>
      <c r="M249">
        <v>0.125</v>
      </c>
      <c r="N249">
        <v>0.66666666666666596</v>
      </c>
      <c r="O249">
        <v>0</v>
      </c>
      <c r="P249" s="2" t="d">
        <v>2026-01-23</v>
      </c>
      <c r="Q249" t="s">
        <v>406</v>
      </c>
      <c r="R249">
        <f>IFERROR(VLOOKUP($A249,Actual!$A:$D,4,FALSE),IFERROR(VLOOKUP($A249,FC!$A:$AC,29,FALSE), "Not Found"))</f>
        <v>0</v>
      </c>
      <c r="S249" t="str">
        <f>IFERROR(VLOOKUP($A249,Actual!$A:$D,3,FALSE),"0")</f>
        <v>0</v>
      </c>
      <c r="T249">
        <f>VLOOKUP(A249,NHT!B:F,5,FALSE)</f>
        <v>11.7</v>
      </c>
    </row>
    <row r="250" spans="1:20" x14ac:dyDescent="0.2">
      <c r="A250" t="s">
        <v>164</v>
      </c>
      <c r="B250" t="s">
        <v>412</v>
      </c>
      <c r="C250" t="s">
        <v>46</v>
      </c>
      <c r="D250" t="s">
        <v>410</v>
      </c>
      <c r="E250">
        <v>2500</v>
      </c>
      <c r="F250">
        <v>3.0030465618996498</v>
      </c>
      <c r="G250">
        <v>1.20121862475986</v>
      </c>
      <c r="H250">
        <v>12.507616404749101</v>
      </c>
      <c r="I250">
        <v>2.09</v>
      </c>
      <c r="J250">
        <v>0.91304656189965006</v>
      </c>
      <c r="K250">
        <v>1.20121862475986</v>
      </c>
      <c r="L250">
        <v>0</v>
      </c>
      <c r="M250">
        <v>0</v>
      </c>
      <c r="N250">
        <v>1</v>
      </c>
      <c r="O250">
        <v>0</v>
      </c>
      <c r="P250" s="2" t="d">
        <v>2026-01-23</v>
      </c>
      <c r="Q250" t="s">
        <v>406</v>
      </c>
      <c r="R250">
        <f>IFERROR(VLOOKUP($A250,Actual!$A:$D,4,FALSE),IFERROR(VLOOKUP($A250,FC!$A:$AC,29,FALSE), "Not Found"))</f>
        <v>1.3</v>
      </c>
      <c r="S250">
        <f>IFERROR(VLOOKUP($A250,Actual!$A:$D,3,FALSE),"0")</f>
        <v>2.9999999999999997E-4</v>
      </c>
      <c r="T250">
        <f>VLOOKUP(A250,NHT!B:F,5,FALSE)</f>
        <v>11.533333333332999</v>
      </c>
    </row>
    <row r="251" spans="1:20" x14ac:dyDescent="0.2">
      <c r="A251" t="s">
        <v>251</v>
      </c>
      <c r="B251" t="s">
        <v>35</v>
      </c>
      <c r="C251" t="s">
        <v>36</v>
      </c>
      <c r="D251" t="s">
        <v>410</v>
      </c>
      <c r="E251">
        <v>2800</v>
      </c>
      <c r="F251">
        <v>7.1066592360731402</v>
      </c>
      <c r="G251">
        <v>2.8426636944292598</v>
      </c>
      <c r="H251">
        <v>22.766648090182802</v>
      </c>
      <c r="I251">
        <v>6.11</v>
      </c>
      <c r="J251">
        <v>0.99665923607314799</v>
      </c>
      <c r="K251">
        <v>2.5380925843118298</v>
      </c>
      <c r="L251">
        <v>0.31818181818181801</v>
      </c>
      <c r="M251">
        <v>9.0909090909090898E-2</v>
      </c>
      <c r="N251">
        <v>1.27272727272727</v>
      </c>
      <c r="O251">
        <v>0</v>
      </c>
      <c r="P251" s="2" t="d">
        <v>2026-01-23</v>
      </c>
      <c r="Q251" t="s">
        <v>406</v>
      </c>
      <c r="R251">
        <f>IFERROR(VLOOKUP($A251,Actual!$A:$D,4,FALSE),IFERROR(VLOOKUP($A251,FC!$A:$AC,29,FALSE), "Not Found"))</f>
        <v>0</v>
      </c>
      <c r="S251">
        <f>IFERROR(VLOOKUP($A251,Actual!$A:$D,3,FALSE),"0")</f>
        <v>5.9999999999999995E-4</v>
      </c>
      <c r="T251">
        <f>VLOOKUP(A251,NHT!B:F,5,FALSE)</f>
        <v>11.5</v>
      </c>
    </row>
    <row r="252" spans="1:20" x14ac:dyDescent="0.2">
      <c r="A252" t="s">
        <v>236</v>
      </c>
      <c r="B252" t="s">
        <v>45</v>
      </c>
      <c r="C252" t="s">
        <v>36</v>
      </c>
      <c r="D252" t="s">
        <v>408</v>
      </c>
      <c r="E252">
        <v>2500</v>
      </c>
      <c r="F252">
        <v>4.5065549028968404</v>
      </c>
      <c r="G252">
        <v>1.80262196115873</v>
      </c>
      <c r="H252">
        <v>16.266387257242101</v>
      </c>
      <c r="I252">
        <v>4.07</v>
      </c>
      <c r="J252">
        <v>0.43655490289684301</v>
      </c>
      <c r="K252">
        <v>1.80262196115873</v>
      </c>
      <c r="L252">
        <v>5.7142857142857099E-2</v>
      </c>
      <c r="M252">
        <v>0.22857142857142801</v>
      </c>
      <c r="N252">
        <v>0.8</v>
      </c>
      <c r="O252">
        <v>0</v>
      </c>
      <c r="P252" s="2" t="d">
        <v>2026-01-23</v>
      </c>
      <c r="Q252" t="s">
        <v>406</v>
      </c>
      <c r="R252">
        <f>IFERROR(VLOOKUP($A252,Actual!$A:$D,4,FALSE),IFERROR(VLOOKUP($A252,FC!$A:$AC,29,FALSE), "Not Found"))</f>
        <v>0</v>
      </c>
      <c r="S252">
        <f>IFERROR(VLOOKUP($A252,Actual!$A:$D,3,FALSE),"0")</f>
        <v>5.9999999999999995E-4</v>
      </c>
      <c r="T252">
        <f>VLOOKUP(A252,NHT!B:F,5,FALSE)</f>
        <v>11.483333333333</v>
      </c>
    </row>
    <row r="253" spans="1:20" x14ac:dyDescent="0.2">
      <c r="A253" t="s">
        <v>163</v>
      </c>
      <c r="B253" t="s">
        <v>52</v>
      </c>
      <c r="C253" t="s">
        <v>46</v>
      </c>
      <c r="D253" t="s">
        <v>408</v>
      </c>
      <c r="E253">
        <v>3000</v>
      </c>
      <c r="F253">
        <v>7.7153317077477599</v>
      </c>
      <c r="G253">
        <v>3.0861326830991</v>
      </c>
      <c r="H253">
        <v>24.288329269369399</v>
      </c>
      <c r="I253">
        <v>5.78</v>
      </c>
      <c r="J253">
        <v>1.9353317077477601</v>
      </c>
      <c r="K253">
        <v>2.5717772359159201</v>
      </c>
      <c r="L253">
        <v>0.24137931034482701</v>
      </c>
      <c r="M253">
        <v>0.24137931034482701</v>
      </c>
      <c r="N253">
        <v>1.41379310344827</v>
      </c>
      <c r="O253">
        <v>0</v>
      </c>
      <c r="P253" s="2" t="d">
        <v>2026-01-23</v>
      </c>
      <c r="Q253" t="s">
        <v>406</v>
      </c>
      <c r="R253">
        <f>IFERROR(VLOOKUP($A253,Actual!$A:$D,4,FALSE),IFERROR(VLOOKUP($A253,FC!$A:$AC,29,FALSE), "Not Found"))</f>
        <v>0</v>
      </c>
      <c r="S253">
        <f>IFERROR(VLOOKUP($A253,Actual!$A:$D,3,FALSE),"0")</f>
        <v>5.5999999999999999E-3</v>
      </c>
      <c r="T253">
        <f>VLOOKUP(A253,NHT!B:F,5,FALSE)</f>
        <v>11.366666666666999</v>
      </c>
    </row>
    <row r="254" spans="1:20" x14ac:dyDescent="0.2">
      <c r="A254" t="s">
        <v>303</v>
      </c>
      <c r="B254" t="s">
        <v>148</v>
      </c>
      <c r="C254" t="s">
        <v>46</v>
      </c>
      <c r="D254" t="s">
        <v>410</v>
      </c>
      <c r="E254">
        <v>2500</v>
      </c>
      <c r="F254">
        <v>4.4218061656484098</v>
      </c>
      <c r="G254">
        <v>1.7687224662593599</v>
      </c>
      <c r="H254">
        <v>16.054515414120999</v>
      </c>
      <c r="I254">
        <v>3.49</v>
      </c>
      <c r="J254">
        <v>0.93180616564841401</v>
      </c>
      <c r="K254">
        <v>1.7687224662593599</v>
      </c>
      <c r="L254">
        <v>8.3333333333333301E-2</v>
      </c>
      <c r="M254">
        <v>0.125</v>
      </c>
      <c r="N254">
        <v>1.0416666666666601</v>
      </c>
      <c r="O254">
        <v>0</v>
      </c>
      <c r="P254" s="2" t="d">
        <v>2026-01-23</v>
      </c>
      <c r="Q254" t="s">
        <v>406</v>
      </c>
      <c r="R254">
        <f>IFERROR(VLOOKUP($A254,Actual!$A:$D,4,FALSE),IFERROR(VLOOKUP($A254,FC!$A:$AC,29,FALSE), "Not Found"))</f>
        <v>1.3</v>
      </c>
      <c r="S254" t="str">
        <f>IFERROR(VLOOKUP($A254,Actual!$A:$D,3,FALSE),"0")</f>
        <v>0</v>
      </c>
      <c r="T254">
        <f>VLOOKUP(A254,NHT!B:F,5,FALSE)</f>
        <v>11.333333333333</v>
      </c>
    </row>
    <row r="255" spans="1:20" x14ac:dyDescent="0.2">
      <c r="A255" t="s">
        <v>327</v>
      </c>
      <c r="B255" t="s">
        <v>48</v>
      </c>
      <c r="C255" t="s">
        <v>42</v>
      </c>
      <c r="D255" t="s">
        <v>408</v>
      </c>
      <c r="E255">
        <v>2600</v>
      </c>
      <c r="F255">
        <v>6.1476158195759396</v>
      </c>
      <c r="G255">
        <v>2.4590463278303698</v>
      </c>
      <c r="H255">
        <v>20.369039548939799</v>
      </c>
      <c r="I255">
        <v>4.16</v>
      </c>
      <c r="J255">
        <v>1.9876158195759399</v>
      </c>
      <c r="K255">
        <v>2.36446762291382</v>
      </c>
      <c r="L255">
        <v>0.14285714285714199</v>
      </c>
      <c r="M255">
        <v>0.17142857142857101</v>
      </c>
      <c r="N255">
        <v>1.1428571428571399</v>
      </c>
      <c r="O255">
        <v>0</v>
      </c>
      <c r="P255" s="2" t="d">
        <v>2026-01-23</v>
      </c>
      <c r="Q255" t="s">
        <v>406</v>
      </c>
      <c r="R255">
        <f>IFERROR(VLOOKUP($A255,Actual!$A:$D,4,FALSE),IFERROR(VLOOKUP($A255,FC!$A:$AC,29,FALSE), "Not Found"))</f>
        <v>5.8</v>
      </c>
      <c r="S255">
        <f>IFERROR(VLOOKUP($A255,Actual!$A:$D,3,FALSE),"0")</f>
        <v>3.5999999999999999E-3</v>
      </c>
      <c r="T255">
        <f>VLOOKUP(A255,NHT!B:F,5,FALSE)</f>
        <v>11</v>
      </c>
    </row>
    <row r="256" spans="1:20" x14ac:dyDescent="0.2">
      <c r="A256" t="s">
        <v>328</v>
      </c>
      <c r="B256" t="s">
        <v>61</v>
      </c>
      <c r="C256" t="s">
        <v>36</v>
      </c>
      <c r="D256" t="s">
        <v>410</v>
      </c>
      <c r="E256">
        <v>2600</v>
      </c>
      <c r="F256">
        <v>7.5839667938269697</v>
      </c>
      <c r="G256">
        <v>3.03358671753079</v>
      </c>
      <c r="H256">
        <v>23.9599169845674</v>
      </c>
      <c r="I256">
        <v>5.65</v>
      </c>
      <c r="J256">
        <v>1.93396679382697</v>
      </c>
      <c r="K256">
        <v>2.9169103053180598</v>
      </c>
      <c r="L256">
        <v>0.17948717948717899</v>
      </c>
      <c r="M256">
        <v>0.23076923076923</v>
      </c>
      <c r="N256">
        <v>1.5641025641025601</v>
      </c>
      <c r="O256">
        <v>0</v>
      </c>
      <c r="P256" s="2" t="d">
        <v>2026-01-23</v>
      </c>
      <c r="Q256" t="s">
        <v>406</v>
      </c>
      <c r="R256">
        <f>IFERROR(VLOOKUP($A256,Actual!$A:$D,4,FALSE),IFERROR(VLOOKUP($A256,FC!$A:$AC,29,FALSE), "Not Found"))</f>
        <v>2.8</v>
      </c>
      <c r="S256">
        <f>IFERROR(VLOOKUP($A256,Actual!$A:$D,3,FALSE),"0")</f>
        <v>6.4000000000000003E-3</v>
      </c>
      <c r="T256">
        <f>VLOOKUP(A256,NHT!B:F,5,FALSE)</f>
        <v>10.85</v>
      </c>
    </row>
    <row r="257" spans="1:20" x14ac:dyDescent="0.2">
      <c r="A257" t="s">
        <v>237</v>
      </c>
      <c r="B257" t="s">
        <v>52</v>
      </c>
      <c r="C257" t="s">
        <v>57</v>
      </c>
      <c r="D257" t="s">
        <v>57</v>
      </c>
      <c r="E257">
        <v>2500</v>
      </c>
      <c r="F257">
        <v>5.5010141252445699</v>
      </c>
      <c r="G257">
        <v>2.20040565009782</v>
      </c>
      <c r="H257">
        <v>18.752535313111402</v>
      </c>
      <c r="I257">
        <v>3.06</v>
      </c>
      <c r="J257">
        <v>2.4410141252445698</v>
      </c>
      <c r="K257">
        <v>2.20040565009782</v>
      </c>
      <c r="L257">
        <v>0.08</v>
      </c>
      <c r="M257">
        <v>0.12</v>
      </c>
      <c r="N257">
        <v>0.56000000000000005</v>
      </c>
      <c r="O257">
        <v>0</v>
      </c>
      <c r="P257" s="2" t="d">
        <v>2026-01-23</v>
      </c>
      <c r="Q257" t="s">
        <v>406</v>
      </c>
      <c r="R257">
        <f>IFERROR(VLOOKUP($A257,Actual!$A:$D,4,FALSE),IFERROR(VLOOKUP($A257,FC!$A:$AC,29,FALSE), "Not Found"))</f>
        <v>1.3</v>
      </c>
      <c r="S257" t="str">
        <f>IFERROR(VLOOKUP($A257,Actual!$A:$D,3,FALSE),"0")</f>
        <v>0</v>
      </c>
      <c r="T257">
        <f>VLOOKUP(A257,NHT!B:F,5,FALSE)</f>
        <v>10.833333333333</v>
      </c>
    </row>
    <row r="258" spans="1:20" x14ac:dyDescent="0.2">
      <c r="A258" t="s">
        <v>230</v>
      </c>
      <c r="B258" t="s">
        <v>64</v>
      </c>
      <c r="C258" t="s">
        <v>42</v>
      </c>
      <c r="D258" t="s">
        <v>42</v>
      </c>
      <c r="E258">
        <v>2500</v>
      </c>
      <c r="F258">
        <v>3.51073244312638</v>
      </c>
      <c r="G258">
        <v>1.4042929772505499</v>
      </c>
      <c r="H258">
        <v>13.7768311078159</v>
      </c>
      <c r="I258">
        <v>2.92</v>
      </c>
      <c r="J258">
        <v>0.59073244312637996</v>
      </c>
      <c r="K258">
        <v>1.4042929772505499</v>
      </c>
      <c r="L258">
        <v>0.12</v>
      </c>
      <c r="M258">
        <v>0</v>
      </c>
      <c r="N258">
        <v>0.6</v>
      </c>
      <c r="O258">
        <v>0</v>
      </c>
      <c r="P258" s="2" t="d">
        <v>2026-01-23</v>
      </c>
      <c r="Q258" t="s">
        <v>406</v>
      </c>
      <c r="R258">
        <f>IFERROR(VLOOKUP($A258,Actual!$A:$D,4,FALSE),IFERROR(VLOOKUP($A258,FC!$A:$AC,29,FALSE), "Not Found"))</f>
        <v>4.3</v>
      </c>
      <c r="S258">
        <f>IFERROR(VLOOKUP($A258,Actual!$A:$D,3,FALSE),"0")</f>
        <v>1.9099999999999999E-2</v>
      </c>
      <c r="T258">
        <f>VLOOKUP(A258,NHT!B:F,5,FALSE)</f>
        <v>10.733333333333</v>
      </c>
    </row>
    <row r="259" spans="1:20" x14ac:dyDescent="0.2">
      <c r="A259" t="s">
        <v>180</v>
      </c>
      <c r="B259" t="s">
        <v>52</v>
      </c>
      <c r="C259" t="s">
        <v>42</v>
      </c>
      <c r="D259" t="s">
        <v>410</v>
      </c>
      <c r="E259">
        <v>2500</v>
      </c>
      <c r="F259">
        <v>3.5517107463993001</v>
      </c>
      <c r="G259">
        <v>1.4206842985597199</v>
      </c>
      <c r="H259">
        <v>13.8792768659982</v>
      </c>
      <c r="I259">
        <v>2.76</v>
      </c>
      <c r="J259">
        <v>0.79171074639930294</v>
      </c>
      <c r="K259">
        <v>1.4206842985597199</v>
      </c>
      <c r="L259">
        <v>4.54545454545454E-2</v>
      </c>
      <c r="M259">
        <v>0.11363636363636299</v>
      </c>
      <c r="N259">
        <v>0.77272727272727204</v>
      </c>
      <c r="O259">
        <v>0</v>
      </c>
      <c r="P259" s="2" t="d">
        <v>2026-01-23</v>
      </c>
      <c r="Q259" t="s">
        <v>406</v>
      </c>
      <c r="R259">
        <f>IFERROR(VLOOKUP($A259,Actual!$A:$D,4,FALSE),IFERROR(VLOOKUP($A259,FC!$A:$AC,29,FALSE), "Not Found"))</f>
        <v>0</v>
      </c>
      <c r="S259" t="str">
        <f>IFERROR(VLOOKUP($A259,Actual!$A:$D,3,FALSE),"0")</f>
        <v>0</v>
      </c>
      <c r="T259">
        <f>VLOOKUP(A259,NHT!B:F,5,FALSE)</f>
        <v>10.633333333333001</v>
      </c>
    </row>
    <row r="260" spans="1:20" x14ac:dyDescent="0.2">
      <c r="A260" t="s">
        <v>316</v>
      </c>
      <c r="B260" t="s">
        <v>74</v>
      </c>
      <c r="C260" t="s">
        <v>36</v>
      </c>
      <c r="D260" t="s">
        <v>408</v>
      </c>
      <c r="E260">
        <v>2500</v>
      </c>
      <c r="F260">
        <v>4.4876239109727498</v>
      </c>
      <c r="G260">
        <v>1.7950495643891</v>
      </c>
      <c r="H260">
        <v>16.219059777431799</v>
      </c>
      <c r="I260">
        <v>3.29</v>
      </c>
      <c r="J260">
        <v>1.19762391097275</v>
      </c>
      <c r="K260">
        <v>1.7950495643891</v>
      </c>
      <c r="L260">
        <v>6.6666666666666596E-2</v>
      </c>
      <c r="M260">
        <v>0.2</v>
      </c>
      <c r="N260">
        <v>0.8</v>
      </c>
      <c r="O260">
        <v>0</v>
      </c>
      <c r="P260" s="2" t="d">
        <v>2026-01-23</v>
      </c>
      <c r="Q260" t="s">
        <v>406</v>
      </c>
      <c r="R260">
        <f>IFERROR(VLOOKUP($A260,Actual!$A:$D,4,FALSE),IFERROR(VLOOKUP($A260,FC!$A:$AC,29,FALSE), "Not Found"))</f>
        <v>0</v>
      </c>
      <c r="S260" t="str">
        <f>IFERROR(VLOOKUP($A260,Actual!$A:$D,3,FALSE),"0")</f>
        <v>0</v>
      </c>
      <c r="T260">
        <f>VLOOKUP(A260,NHT!B:F,5,FALSE)</f>
        <v>10.5</v>
      </c>
    </row>
    <row r="261" spans="1:20" x14ac:dyDescent="0.2">
      <c r="A261" t="s">
        <v>152</v>
      </c>
      <c r="B261" t="s">
        <v>39</v>
      </c>
      <c r="C261" t="s">
        <v>36</v>
      </c>
      <c r="D261" t="s">
        <v>410</v>
      </c>
      <c r="E261">
        <v>2600</v>
      </c>
      <c r="F261">
        <v>8.02633314231581</v>
      </c>
      <c r="G261">
        <v>3.2105332569263201</v>
      </c>
      <c r="H261">
        <v>25.065832855789498</v>
      </c>
      <c r="I261">
        <v>5.89</v>
      </c>
      <c r="J261">
        <v>2.1363331423158098</v>
      </c>
      <c r="K261">
        <v>3.087051208583</v>
      </c>
      <c r="L261">
        <v>0.18181818181818099</v>
      </c>
      <c r="M261">
        <v>0.33333333333333298</v>
      </c>
      <c r="N261">
        <v>1.36363636363636</v>
      </c>
      <c r="O261">
        <v>6.0606060606060601E-2</v>
      </c>
      <c r="P261" s="2" t="d">
        <v>2026-01-23</v>
      </c>
      <c r="Q261" t="s">
        <v>406</v>
      </c>
      <c r="R261">
        <f>IFERROR(VLOOKUP($A261,Actual!$A:$D,4,FALSE),IFERROR(VLOOKUP($A261,FC!$A:$AC,29,FALSE), "Not Found"))</f>
        <v>11.5</v>
      </c>
      <c r="S261">
        <f>IFERROR(VLOOKUP($A261,Actual!$A:$D,3,FALSE),"0")</f>
        <v>6.4000000000000003E-3</v>
      </c>
      <c r="T261">
        <f>VLOOKUP(A261,NHT!B:F,5,FALSE)</f>
        <v>10.3</v>
      </c>
    </row>
    <row r="262" spans="1:20" x14ac:dyDescent="0.2">
      <c r="A262" t="s">
        <v>116</v>
      </c>
      <c r="B262" t="s">
        <v>117</v>
      </c>
      <c r="C262" t="s">
        <v>42</v>
      </c>
      <c r="D262" t="s">
        <v>42</v>
      </c>
      <c r="E262">
        <v>3700</v>
      </c>
      <c r="F262">
        <v>8.6254771109733692</v>
      </c>
      <c r="G262">
        <v>3.4501908443893501</v>
      </c>
      <c r="H262">
        <v>26.563692777433399</v>
      </c>
      <c r="I262">
        <v>6.2</v>
      </c>
      <c r="J262">
        <v>2.4254771109733699</v>
      </c>
      <c r="K262">
        <v>2.3312100299927998</v>
      </c>
      <c r="L262">
        <v>0.18</v>
      </c>
      <c r="M262">
        <v>0.28000000000000003</v>
      </c>
      <c r="N262">
        <v>1.72</v>
      </c>
      <c r="O262">
        <v>0.18</v>
      </c>
      <c r="P262" s="2" t="d">
        <v>2026-01-23</v>
      </c>
      <c r="Q262" t="s">
        <v>406</v>
      </c>
      <c r="R262">
        <f>IFERROR(VLOOKUP($A262,Actual!$A:$D,4,FALSE),IFERROR(VLOOKUP($A262,FC!$A:$AC,29,FALSE), "Not Found"))</f>
        <v>10</v>
      </c>
      <c r="S262">
        <f>IFERROR(VLOOKUP($A262,Actual!$A:$D,3,FALSE),"0")</f>
        <v>8.9999999999999993E-3</v>
      </c>
      <c r="T262">
        <f>VLOOKUP(A262,NHT!B:F,5,FALSE)</f>
        <v>10.216666666667001</v>
      </c>
    </row>
    <row r="263" spans="1:20" x14ac:dyDescent="0.2">
      <c r="A263" t="s">
        <v>279</v>
      </c>
      <c r="B263" t="s">
        <v>412</v>
      </c>
      <c r="C263" t="s">
        <v>46</v>
      </c>
      <c r="D263" t="s">
        <v>42</v>
      </c>
      <c r="E263">
        <v>2500</v>
      </c>
      <c r="F263">
        <v>4.6388339241644303</v>
      </c>
      <c r="G263">
        <v>1.85553356966577</v>
      </c>
      <c r="H263">
        <v>16.597084810411001</v>
      </c>
      <c r="I263">
        <v>3.22</v>
      </c>
      <c r="J263">
        <v>1.4188339241644301</v>
      </c>
      <c r="K263">
        <v>1.85553356966577</v>
      </c>
      <c r="L263">
        <v>0.10638297872340401</v>
      </c>
      <c r="M263">
        <v>0.10638297872340401</v>
      </c>
      <c r="N263">
        <v>0.89361702127659504</v>
      </c>
      <c r="O263">
        <v>2.1276595744680799E-2</v>
      </c>
      <c r="P263" s="2" t="d">
        <v>2026-01-23</v>
      </c>
      <c r="Q263" t="s">
        <v>406</v>
      </c>
      <c r="R263">
        <f>IFERROR(VLOOKUP($A263,Actual!$A:$D,4,FALSE),IFERROR(VLOOKUP($A263,FC!$A:$AC,29,FALSE), "Not Found"))</f>
        <v>2.8</v>
      </c>
      <c r="S263">
        <f>IFERROR(VLOOKUP($A263,Actual!$A:$D,3,FALSE),"0")</f>
        <v>2.9999999999999997E-4</v>
      </c>
      <c r="T263">
        <f>VLOOKUP(A263,NHT!B:F,5,FALSE)</f>
        <v>10.199999999999999</v>
      </c>
    </row>
    <row r="264" spans="1:20" x14ac:dyDescent="0.2">
      <c r="A264" t="s">
        <v>187</v>
      </c>
      <c r="B264" t="s">
        <v>64</v>
      </c>
      <c r="C264" t="s">
        <v>42</v>
      </c>
      <c r="D264" t="s">
        <v>408</v>
      </c>
      <c r="E264">
        <v>2700</v>
      </c>
      <c r="F264">
        <v>5.5026564746385302</v>
      </c>
      <c r="G264">
        <v>2.2010625898554101</v>
      </c>
      <c r="H264">
        <v>18.756641186596301</v>
      </c>
      <c r="I264">
        <v>3.77</v>
      </c>
      <c r="J264">
        <v>1.73265647463853</v>
      </c>
      <c r="K264">
        <v>2.0380209165327901</v>
      </c>
      <c r="L264">
        <v>0.10344827586206801</v>
      </c>
      <c r="M264">
        <v>0.17241379310344801</v>
      </c>
      <c r="N264">
        <v>1.1034482758620601</v>
      </c>
      <c r="O264">
        <v>3.4482758620689599E-2</v>
      </c>
      <c r="P264" s="2" t="d">
        <v>2026-01-23</v>
      </c>
      <c r="Q264" t="s">
        <v>406</v>
      </c>
      <c r="R264">
        <f>IFERROR(VLOOKUP($A264,Actual!$A:$D,4,FALSE),IFERROR(VLOOKUP($A264,FC!$A:$AC,29,FALSE), "Not Found"))</f>
        <v>3</v>
      </c>
      <c r="S264">
        <f>IFERROR(VLOOKUP($A264,Actual!$A:$D,3,FALSE),"0")</f>
        <v>5.3499999999999999E-2</v>
      </c>
      <c r="T264">
        <f>VLOOKUP(A264,NHT!B:F,5,FALSE)</f>
        <v>10.183333333333</v>
      </c>
    </row>
    <row r="265" spans="1:20" x14ac:dyDescent="0.2">
      <c r="A265" t="s">
        <v>140</v>
      </c>
      <c r="B265" t="s">
        <v>39</v>
      </c>
      <c r="C265" t="s">
        <v>36</v>
      </c>
      <c r="D265" t="s">
        <v>408</v>
      </c>
      <c r="E265">
        <v>2500</v>
      </c>
      <c r="F265">
        <v>5.4289647501826099</v>
      </c>
      <c r="G265">
        <v>2.17158590007304</v>
      </c>
      <c r="H265">
        <v>18.572411875456499</v>
      </c>
      <c r="I265">
        <v>4.18</v>
      </c>
      <c r="J265">
        <v>1.24896475018261</v>
      </c>
      <c r="K265">
        <v>2.17158590007304</v>
      </c>
      <c r="L265">
        <v>0.105263157894736</v>
      </c>
      <c r="M265">
        <v>0.157894736842105</v>
      </c>
      <c r="N265">
        <v>1.1052631578947301</v>
      </c>
      <c r="O265">
        <v>0</v>
      </c>
      <c r="P265" s="2" t="d">
        <v>2026-01-23</v>
      </c>
      <c r="Q265" t="s">
        <v>406</v>
      </c>
      <c r="R265">
        <f>IFERROR(VLOOKUP($A265,Actual!$A:$D,4,FALSE),IFERROR(VLOOKUP($A265,FC!$A:$AC,29,FALSE), "Not Found"))</f>
        <v>6.5</v>
      </c>
      <c r="S265">
        <f>IFERROR(VLOOKUP($A265,Actual!$A:$D,3,FALSE),"0")</f>
        <v>5.9999999999999995E-4</v>
      </c>
      <c r="T265">
        <f>VLOOKUP(A265,NHT!B:F,5,FALSE)</f>
        <v>9.75</v>
      </c>
    </row>
    <row r="266" spans="1:20" x14ac:dyDescent="0.2">
      <c r="A266" t="s">
        <v>292</v>
      </c>
      <c r="B266" t="s">
        <v>48</v>
      </c>
      <c r="C266" t="s">
        <v>46</v>
      </c>
      <c r="D266" t="s">
        <v>408</v>
      </c>
      <c r="E266">
        <v>2500</v>
      </c>
      <c r="F266">
        <v>3.7612456884138998</v>
      </c>
      <c r="G266">
        <v>1.50449827536556</v>
      </c>
      <c r="H266">
        <v>14.4031142210347</v>
      </c>
      <c r="I266">
        <v>2.36</v>
      </c>
      <c r="J266">
        <v>1.4012456884139</v>
      </c>
      <c r="K266">
        <v>1.50449827536556</v>
      </c>
      <c r="L266">
        <v>4.7619047619047603E-2</v>
      </c>
      <c r="M266">
        <v>0.14285714285714199</v>
      </c>
      <c r="N266">
        <v>0.61904761904761896</v>
      </c>
      <c r="O266">
        <v>0</v>
      </c>
      <c r="P266" s="2" t="d">
        <v>2026-01-23</v>
      </c>
      <c r="Q266" t="s">
        <v>406</v>
      </c>
      <c r="R266">
        <f>IFERROR(VLOOKUP($A266,Actual!$A:$D,4,FALSE),IFERROR(VLOOKUP($A266,FC!$A:$AC,29,FALSE), "Not Found"))</f>
        <v>4.5</v>
      </c>
      <c r="S266">
        <f>IFERROR(VLOOKUP($A266,Actual!$A:$D,3,FALSE),"0")</f>
        <v>2.9999999999999997E-4</v>
      </c>
      <c r="T266">
        <f>VLOOKUP(A266,NHT!B:F,5,FALSE)</f>
        <v>9.6</v>
      </c>
    </row>
    <row r="267" spans="1:20" x14ac:dyDescent="0.2">
      <c r="A267" t="s">
        <v>208</v>
      </c>
      <c r="B267" t="s">
        <v>407</v>
      </c>
      <c r="C267" t="s">
        <v>46</v>
      </c>
      <c r="D267" t="s">
        <v>408</v>
      </c>
      <c r="E267">
        <v>3000</v>
      </c>
      <c r="F267">
        <v>7.1182448253385999</v>
      </c>
      <c r="G267">
        <v>2.84729793013544</v>
      </c>
      <c r="H267">
        <v>22.7956120633465</v>
      </c>
      <c r="I267">
        <v>5.2</v>
      </c>
      <c r="J267">
        <v>1.9182448253386</v>
      </c>
      <c r="K267">
        <v>2.3727482751128601</v>
      </c>
      <c r="L267">
        <v>0.17241379310344801</v>
      </c>
      <c r="M267">
        <v>0.20689655172413701</v>
      </c>
      <c r="N267">
        <v>1.41379310344827</v>
      </c>
      <c r="O267">
        <v>3.4482758620689599E-2</v>
      </c>
      <c r="P267" s="2" t="d">
        <v>2026-01-23</v>
      </c>
      <c r="Q267" t="s">
        <v>406</v>
      </c>
      <c r="R267">
        <f>IFERROR(VLOOKUP($A267,Actual!$A:$D,4,FALSE),IFERROR(VLOOKUP($A267,FC!$A:$AC,29,FALSE), "Not Found"))</f>
        <v>1.3</v>
      </c>
      <c r="S267">
        <f>IFERROR(VLOOKUP($A267,Actual!$A:$D,3,FALSE),"0")</f>
        <v>9.4999999999999998E-3</v>
      </c>
      <c r="T267">
        <f>VLOOKUP(A267,NHT!B:F,5,FALSE)</f>
        <v>9.5833333333333002</v>
      </c>
    </row>
    <row r="268" spans="1:20" x14ac:dyDescent="0.2">
      <c r="A268" t="s">
        <v>245</v>
      </c>
      <c r="B268" t="s">
        <v>61</v>
      </c>
      <c r="C268" t="s">
        <v>42</v>
      </c>
      <c r="D268" t="s">
        <v>410</v>
      </c>
      <c r="E268">
        <v>2500</v>
      </c>
      <c r="F268">
        <v>5.6330836858136104</v>
      </c>
      <c r="G268">
        <v>2.2532334743254401</v>
      </c>
      <c r="H268">
        <v>19.082709214533999</v>
      </c>
      <c r="I268">
        <v>4.43</v>
      </c>
      <c r="J268">
        <v>1.20308368581361</v>
      </c>
      <c r="K268">
        <v>2.2532334743254401</v>
      </c>
      <c r="L268">
        <v>9.3023255813953404E-2</v>
      </c>
      <c r="M268">
        <v>0.232558139534883</v>
      </c>
      <c r="N268">
        <v>1.0930232558139501</v>
      </c>
      <c r="O268">
        <v>0</v>
      </c>
      <c r="P268" s="2" t="d">
        <v>2026-01-23</v>
      </c>
      <c r="Q268" t="s">
        <v>406</v>
      </c>
      <c r="R268">
        <f>IFERROR(VLOOKUP($A268,Actual!$A:$D,4,FALSE),IFERROR(VLOOKUP($A268,FC!$A:$AC,29,FALSE), "Not Found"))</f>
        <v>1.3</v>
      </c>
      <c r="S268">
        <f>IFERROR(VLOOKUP($A268,Actual!$A:$D,3,FALSE),"0")</f>
        <v>5.9999999999999995E-4</v>
      </c>
      <c r="T268">
        <f>VLOOKUP(A268,NHT!B:F,5,FALSE)</f>
        <v>9.5500000000000007</v>
      </c>
    </row>
    <row r="269" spans="1:20" x14ac:dyDescent="0.2">
      <c r="A269" t="s">
        <v>142</v>
      </c>
      <c r="B269" t="s">
        <v>56</v>
      </c>
      <c r="C269" t="s">
        <v>42</v>
      </c>
      <c r="D269" t="s">
        <v>42</v>
      </c>
      <c r="E269">
        <v>2500</v>
      </c>
      <c r="F269">
        <v>2.8584445812154202</v>
      </c>
      <c r="G269">
        <v>1.1433778324861701</v>
      </c>
      <c r="H269">
        <v>12.1461114530385</v>
      </c>
      <c r="I269">
        <v>2.13</v>
      </c>
      <c r="J269">
        <v>0.72844458121542499</v>
      </c>
      <c r="K269">
        <v>1.1433778324861701</v>
      </c>
      <c r="L269">
        <v>0</v>
      </c>
      <c r="M269">
        <v>0.125</v>
      </c>
      <c r="N269">
        <v>0.70833333333333304</v>
      </c>
      <c r="O269">
        <v>0</v>
      </c>
      <c r="P269" s="2" t="d">
        <v>2026-01-23</v>
      </c>
      <c r="Q269" t="s">
        <v>406</v>
      </c>
      <c r="R269">
        <f>IFERROR(VLOOKUP($A269,Actual!$A:$D,4,FALSE),IFERROR(VLOOKUP($A269,FC!$A:$AC,29,FALSE), "Not Found"))</f>
        <v>13</v>
      </c>
      <c r="S269">
        <f>IFERROR(VLOOKUP($A269,Actual!$A:$D,3,FALSE),"0")</f>
        <v>5.9999999999999995E-4</v>
      </c>
      <c r="T269">
        <f>VLOOKUP(A269,NHT!B:F,5,FALSE)</f>
        <v>9.5333333333332995</v>
      </c>
    </row>
    <row r="270" spans="1:20" x14ac:dyDescent="0.2">
      <c r="A270" t="s">
        <v>91</v>
      </c>
      <c r="B270" t="s">
        <v>61</v>
      </c>
      <c r="C270" t="s">
        <v>42</v>
      </c>
      <c r="D270" t="s">
        <v>42</v>
      </c>
      <c r="E270">
        <v>2900</v>
      </c>
      <c r="F270">
        <v>6.2797363859450401</v>
      </c>
      <c r="G270">
        <v>2.51189455437801</v>
      </c>
      <c r="H270">
        <v>20.6993409648626</v>
      </c>
      <c r="I270">
        <v>5.33</v>
      </c>
      <c r="J270">
        <v>0.94973638594504095</v>
      </c>
      <c r="K270">
        <v>2.1654263399810398</v>
      </c>
      <c r="L270">
        <v>0.21875</v>
      </c>
      <c r="M270">
        <v>6.25E-2</v>
      </c>
      <c r="N270">
        <v>1.21875</v>
      </c>
      <c r="O270">
        <v>0</v>
      </c>
      <c r="P270" s="2" t="d">
        <v>2026-01-23</v>
      </c>
      <c r="Q270" t="s">
        <v>406</v>
      </c>
      <c r="R270">
        <f>IFERROR(VLOOKUP($A270,Actual!$A:$D,4,FALSE),IFERROR(VLOOKUP($A270,FC!$A:$AC,29,FALSE), "Not Found"))</f>
        <v>10</v>
      </c>
      <c r="S270">
        <f>IFERROR(VLOOKUP($A270,Actual!$A:$D,3,FALSE),"0")</f>
        <v>3.0999999999999999E-3</v>
      </c>
      <c r="T270">
        <f>VLOOKUP(A270,NHT!B:F,5,FALSE)</f>
        <v>9.4666666666667005</v>
      </c>
    </row>
    <row r="271" spans="1:20" x14ac:dyDescent="0.2">
      <c r="A271" t="s">
        <v>323</v>
      </c>
      <c r="B271" t="s">
        <v>117</v>
      </c>
      <c r="C271" t="s">
        <v>36</v>
      </c>
      <c r="D271" t="s">
        <v>408</v>
      </c>
      <c r="E271">
        <v>2500</v>
      </c>
      <c r="F271">
        <v>4.9557048351332504</v>
      </c>
      <c r="G271">
        <v>1.9822819340533</v>
      </c>
      <c r="H271">
        <v>17.389262087833099</v>
      </c>
      <c r="I271">
        <v>3.75</v>
      </c>
      <c r="J271">
        <v>1.20570483513325</v>
      </c>
      <c r="K271">
        <v>1.9822819340533</v>
      </c>
      <c r="L271">
        <v>0.10204081632653</v>
      </c>
      <c r="M271">
        <v>0.122448979591836</v>
      </c>
      <c r="N271">
        <v>1</v>
      </c>
      <c r="O271">
        <v>2.04081632653061E-2</v>
      </c>
      <c r="P271" s="2" t="d">
        <v>2026-01-23</v>
      </c>
      <c r="Q271" t="s">
        <v>406</v>
      </c>
      <c r="R271">
        <f>IFERROR(VLOOKUP($A271,Actual!$A:$D,4,FALSE),IFERROR(VLOOKUP($A271,FC!$A:$AC,29,FALSE), "Not Found"))</f>
        <v>4.3</v>
      </c>
      <c r="S271">
        <f>IFERROR(VLOOKUP($A271,Actual!$A:$D,3,FALSE),"0")</f>
        <v>2.8E-3</v>
      </c>
      <c r="T271">
        <f>VLOOKUP(A271,NHT!B:F,5,FALSE)</f>
        <v>9.4333333333332998</v>
      </c>
    </row>
    <row r="272" spans="1:20" x14ac:dyDescent="0.2">
      <c r="A272" t="s">
        <v>258</v>
      </c>
      <c r="B272" t="s">
        <v>56</v>
      </c>
      <c r="C272" t="s">
        <v>36</v>
      </c>
      <c r="D272" t="s">
        <v>410</v>
      </c>
      <c r="E272">
        <v>2500</v>
      </c>
      <c r="F272">
        <v>3.17880147259145</v>
      </c>
      <c r="G272">
        <v>1.2715205890365799</v>
      </c>
      <c r="H272">
        <v>12.9470036814786</v>
      </c>
      <c r="I272">
        <v>2.86</v>
      </c>
      <c r="J272">
        <v>0.31880147259145097</v>
      </c>
      <c r="K272">
        <v>1.2715205890365799</v>
      </c>
      <c r="L272">
        <v>7.8431372549019607E-2</v>
      </c>
      <c r="M272">
        <v>3.9215686274509803E-2</v>
      </c>
      <c r="N272">
        <v>0.70588235294117596</v>
      </c>
      <c r="O272">
        <v>0</v>
      </c>
      <c r="P272" s="2" t="d">
        <v>2026-01-23</v>
      </c>
      <c r="Q272" t="s">
        <v>406</v>
      </c>
      <c r="R272">
        <f>IFERROR(VLOOKUP($A272,Actual!$A:$D,4,FALSE),IFERROR(VLOOKUP($A272,FC!$A:$AC,29,FALSE), "Not Found"))</f>
        <v>2.6</v>
      </c>
      <c r="S272">
        <f>IFERROR(VLOOKUP($A272,Actual!$A:$D,3,FALSE),"0")</f>
        <v>5.9999999999999995E-4</v>
      </c>
      <c r="T272">
        <f>VLOOKUP(A272,NHT!B:F,5,FALSE)</f>
        <v>9.2333333333333005</v>
      </c>
    </row>
    <row r="273" spans="1:20" x14ac:dyDescent="0.2">
      <c r="A273" t="s">
        <v>338</v>
      </c>
      <c r="B273" t="s">
        <v>117</v>
      </c>
      <c r="C273" t="s">
        <v>36</v>
      </c>
      <c r="D273" t="s">
        <v>408</v>
      </c>
      <c r="E273">
        <v>2900</v>
      </c>
      <c r="F273">
        <v>7.68739571517039</v>
      </c>
      <c r="G273">
        <v>3.0749582860681501</v>
      </c>
      <c r="H273">
        <v>24.218489287925902</v>
      </c>
      <c r="I273">
        <v>5.89</v>
      </c>
      <c r="J273">
        <v>1.7973957151703901</v>
      </c>
      <c r="K273">
        <v>2.65082610867944</v>
      </c>
      <c r="L273">
        <v>0.14285714285714199</v>
      </c>
      <c r="M273">
        <v>0.14285714285714199</v>
      </c>
      <c r="N273">
        <v>1.8571428571428501</v>
      </c>
      <c r="O273">
        <v>0</v>
      </c>
      <c r="P273" s="2" t="d">
        <v>2026-01-23</v>
      </c>
      <c r="Q273" t="s">
        <v>406</v>
      </c>
      <c r="R273">
        <f>IFERROR(VLOOKUP($A273,Actual!$A:$D,4,FALSE),IFERROR(VLOOKUP($A273,FC!$A:$AC,29,FALSE), "Not Found"))</f>
        <v>0</v>
      </c>
      <c r="S273">
        <f>IFERROR(VLOOKUP($A273,Actual!$A:$D,3,FALSE),"0")</f>
        <v>5.5999999999999999E-3</v>
      </c>
      <c r="T273">
        <f>VLOOKUP(A273,NHT!B:F,5,FALSE)</f>
        <v>9.15</v>
      </c>
    </row>
    <row r="274" spans="1:20" x14ac:dyDescent="0.2">
      <c r="A274" t="s">
        <v>84</v>
      </c>
      <c r="B274" t="s">
        <v>85</v>
      </c>
      <c r="C274" t="s">
        <v>42</v>
      </c>
      <c r="D274" t="s">
        <v>42</v>
      </c>
      <c r="E274">
        <v>2500</v>
      </c>
      <c r="F274">
        <v>4.2424652147826798</v>
      </c>
      <c r="G274">
        <v>1.6969860859130701</v>
      </c>
      <c r="H274">
        <v>15.606163036956699</v>
      </c>
      <c r="I274">
        <v>3.27</v>
      </c>
      <c r="J274">
        <v>0.972465214782684</v>
      </c>
      <c r="K274">
        <v>1.6969860859130701</v>
      </c>
      <c r="L274">
        <v>3.9215686274509803E-2</v>
      </c>
      <c r="M274">
        <v>0.11764705882352899</v>
      </c>
      <c r="N274">
        <v>1.0196078431372499</v>
      </c>
      <c r="O274">
        <v>0</v>
      </c>
      <c r="P274" s="2" t="d">
        <v>2026-01-23</v>
      </c>
      <c r="Q274" t="s">
        <v>406</v>
      </c>
      <c r="R274">
        <f>IFERROR(VLOOKUP($A274,Actual!$A:$D,4,FALSE),IFERROR(VLOOKUP($A274,FC!$A:$AC,29,FALSE), "Not Found"))</f>
        <v>10</v>
      </c>
      <c r="S274">
        <f>IFERROR(VLOOKUP($A274,Actual!$A:$D,3,FALSE),"0")</f>
        <v>2.9999999999999997E-4</v>
      </c>
      <c r="T274">
        <f>VLOOKUP(A274,NHT!B:F,5,FALSE)</f>
        <v>9.1166666666666991</v>
      </c>
    </row>
    <row r="275" spans="1:20" x14ac:dyDescent="0.2">
      <c r="A275" t="s">
        <v>311</v>
      </c>
      <c r="B275" t="s">
        <v>85</v>
      </c>
      <c r="C275" t="s">
        <v>46</v>
      </c>
      <c r="D275" t="s">
        <v>408</v>
      </c>
      <c r="E275">
        <v>2500</v>
      </c>
      <c r="F275">
        <v>3.7692746800136399</v>
      </c>
      <c r="G275">
        <v>1.50770987200545</v>
      </c>
      <c r="H275">
        <v>14.423186700034099</v>
      </c>
      <c r="I275">
        <v>2.84</v>
      </c>
      <c r="J275">
        <v>0.92927468001364399</v>
      </c>
      <c r="K275">
        <v>1.50770987200545</v>
      </c>
      <c r="L275">
        <v>9.0909090909090898E-2</v>
      </c>
      <c r="M275">
        <v>0</v>
      </c>
      <c r="N275">
        <v>0.90909090909090895</v>
      </c>
      <c r="O275">
        <v>0</v>
      </c>
      <c r="P275" s="2" t="d">
        <v>2026-01-23</v>
      </c>
      <c r="Q275" t="s">
        <v>406</v>
      </c>
      <c r="R275">
        <f>IFERROR(VLOOKUP($A275,Actual!$A:$D,4,FALSE),IFERROR(VLOOKUP($A275,FC!$A:$AC,29,FALSE), "Not Found"))</f>
        <v>3</v>
      </c>
      <c r="S275">
        <f>IFERROR(VLOOKUP($A275,Actual!$A:$D,3,FALSE),"0")</f>
        <v>1.6999999999999999E-3</v>
      </c>
      <c r="T275">
        <f>VLOOKUP(A275,NHT!B:F,5,FALSE)</f>
        <v>9.0166666666666995</v>
      </c>
    </row>
    <row r="276" spans="1:20" x14ac:dyDescent="0.2">
      <c r="A276" t="s">
        <v>248</v>
      </c>
      <c r="B276" t="s">
        <v>117</v>
      </c>
      <c r="C276" t="s">
        <v>46</v>
      </c>
      <c r="D276" t="s">
        <v>410</v>
      </c>
      <c r="E276">
        <v>2500</v>
      </c>
      <c r="F276">
        <v>4.08141693024226</v>
      </c>
      <c r="G276">
        <v>1.6325667720968999</v>
      </c>
      <c r="H276">
        <v>15.2035423256056</v>
      </c>
      <c r="I276">
        <v>2.72</v>
      </c>
      <c r="J276">
        <v>1.3614169302422601</v>
      </c>
      <c r="K276">
        <v>1.6325667720968999</v>
      </c>
      <c r="L276">
        <v>6.5217391304347797E-2</v>
      </c>
      <c r="M276">
        <v>8.6956521739130405E-2</v>
      </c>
      <c r="N276">
        <v>0.89130434782608603</v>
      </c>
      <c r="O276">
        <v>0</v>
      </c>
      <c r="P276" s="2" t="d">
        <v>2026-01-23</v>
      </c>
      <c r="Q276" t="s">
        <v>406</v>
      </c>
      <c r="R276">
        <f>IFERROR(VLOOKUP($A276,Actual!$A:$D,4,FALSE),IFERROR(VLOOKUP($A276,FC!$A:$AC,29,FALSE), "Not Found"))</f>
        <v>4.5</v>
      </c>
      <c r="S276">
        <f>IFERROR(VLOOKUP($A276,Actual!$A:$D,3,FALSE),"0")</f>
        <v>2.9999999999999997E-4</v>
      </c>
      <c r="T276">
        <f>VLOOKUP(A276,NHT!B:F,5,FALSE)</f>
        <v>8.9833333333333005</v>
      </c>
    </row>
    <row r="277" spans="1:20" x14ac:dyDescent="0.2">
      <c r="A277" t="s">
        <v>315</v>
      </c>
      <c r="B277" t="s">
        <v>409</v>
      </c>
      <c r="C277" t="s">
        <v>42</v>
      </c>
      <c r="D277" t="s">
        <v>42</v>
      </c>
      <c r="E277">
        <v>2500</v>
      </c>
      <c r="F277">
        <v>4.0081488249067103</v>
      </c>
      <c r="G277">
        <v>1.60325952996268</v>
      </c>
      <c r="H277">
        <v>15.0203720622667</v>
      </c>
      <c r="I277">
        <v>2.83</v>
      </c>
      <c r="J277">
        <v>1.17814882490671</v>
      </c>
      <c r="K277">
        <v>1.60325952996268</v>
      </c>
      <c r="L277">
        <v>0.11111111111111099</v>
      </c>
      <c r="M277">
        <v>3.7037037037037E-2</v>
      </c>
      <c r="N277">
        <v>0.77777777777777701</v>
      </c>
      <c r="O277">
        <v>0</v>
      </c>
      <c r="P277" s="2" t="d">
        <v>2026-01-23</v>
      </c>
      <c r="Q277" t="s">
        <v>406</v>
      </c>
      <c r="R277">
        <f>IFERROR(VLOOKUP($A277,Actual!$A:$D,4,FALSE),IFERROR(VLOOKUP($A277,FC!$A:$AC,29,FALSE), "Not Found"))</f>
        <v>1.5</v>
      </c>
      <c r="S277">
        <f>IFERROR(VLOOKUP($A277,Actual!$A:$D,3,FALSE),"0")</f>
        <v>2.9999999999999997E-4</v>
      </c>
      <c r="T277">
        <f>VLOOKUP(A277,NHT!B:F,5,FALSE)</f>
        <v>8.85</v>
      </c>
    </row>
    <row r="278" spans="1:20" x14ac:dyDescent="0.2">
      <c r="A278" t="s">
        <v>175</v>
      </c>
      <c r="B278" t="s">
        <v>61</v>
      </c>
      <c r="C278" t="s">
        <v>42</v>
      </c>
      <c r="D278" t="s">
        <v>408</v>
      </c>
      <c r="E278">
        <v>2500</v>
      </c>
      <c r="F278">
        <v>4.9915447199230503</v>
      </c>
      <c r="G278">
        <v>1.99661788796922</v>
      </c>
      <c r="H278">
        <v>17.4788617998076</v>
      </c>
      <c r="I278">
        <v>3.33</v>
      </c>
      <c r="J278">
        <v>1.66154471992305</v>
      </c>
      <c r="K278">
        <v>1.99661788796922</v>
      </c>
      <c r="L278">
        <v>0.19354838709677399</v>
      </c>
      <c r="M278">
        <v>3.2258064516128997E-2</v>
      </c>
      <c r="N278">
        <v>0.90322580645161199</v>
      </c>
      <c r="O278">
        <v>0</v>
      </c>
      <c r="P278" s="2" t="d">
        <v>2026-01-23</v>
      </c>
      <c r="Q278" t="s">
        <v>406</v>
      </c>
      <c r="R278">
        <f>IFERROR(VLOOKUP($A278,Actual!$A:$D,4,FALSE),IFERROR(VLOOKUP($A278,FC!$A:$AC,29,FALSE), "Not Found"))</f>
        <v>1.5</v>
      </c>
      <c r="S278" t="str">
        <f>IFERROR(VLOOKUP($A278,Actual!$A:$D,3,FALSE),"0")</f>
        <v>0</v>
      </c>
      <c r="T278">
        <f>VLOOKUP(A278,NHT!B:F,5,FALSE)</f>
        <v>8.6999999999999993</v>
      </c>
    </row>
    <row r="279" spans="1:20" x14ac:dyDescent="0.2">
      <c r="A279" t="s">
        <v>110</v>
      </c>
      <c r="B279" t="s">
        <v>85</v>
      </c>
      <c r="C279" t="s">
        <v>36</v>
      </c>
      <c r="D279" t="s">
        <v>410</v>
      </c>
      <c r="E279">
        <v>2500</v>
      </c>
      <c r="F279">
        <v>4.7582595470811597</v>
      </c>
      <c r="G279">
        <v>1.90330381883246</v>
      </c>
      <c r="H279">
        <v>16.895648867702899</v>
      </c>
      <c r="I279">
        <v>3.82</v>
      </c>
      <c r="J279">
        <v>0.93825954708116699</v>
      </c>
      <c r="K279">
        <v>1.90330381883246</v>
      </c>
      <c r="L279">
        <v>0.14583333333333301</v>
      </c>
      <c r="M279">
        <v>8.3333333333333301E-2</v>
      </c>
      <c r="N279">
        <v>0.8125</v>
      </c>
      <c r="O279">
        <v>0</v>
      </c>
      <c r="P279" s="2" t="d">
        <v>2026-01-23</v>
      </c>
      <c r="Q279" t="s">
        <v>406</v>
      </c>
      <c r="R279">
        <f>IFERROR(VLOOKUP($A279,Actual!$A:$D,4,FALSE),IFERROR(VLOOKUP($A279,FC!$A:$AC,29,FALSE), "Not Found"))</f>
        <v>6.3</v>
      </c>
      <c r="S279" t="str">
        <f>IFERROR(VLOOKUP($A279,Actual!$A:$D,3,FALSE),"0")</f>
        <v>0</v>
      </c>
      <c r="T279">
        <f>VLOOKUP(A279,NHT!B:F,5,FALSE)</f>
        <v>8.4</v>
      </c>
    </row>
    <row r="280" spans="1:20" x14ac:dyDescent="0.2">
      <c r="A280" t="s">
        <v>97</v>
      </c>
      <c r="B280" t="s">
        <v>35</v>
      </c>
      <c r="C280" t="s">
        <v>36</v>
      </c>
      <c r="D280" t="s">
        <v>408</v>
      </c>
      <c r="E280">
        <v>2500</v>
      </c>
      <c r="F280">
        <v>1.97703299533757</v>
      </c>
      <c r="G280">
        <v>0.79081319813503104</v>
      </c>
      <c r="H280">
        <v>9.9425824883439393</v>
      </c>
      <c r="I280">
        <v>1.98</v>
      </c>
      <c r="J280">
        <v>-2.96700466242105E-3</v>
      </c>
      <c r="K280">
        <v>0.79081319813503104</v>
      </c>
      <c r="L280">
        <v>2.3255813953488299E-2</v>
      </c>
      <c r="M280">
        <v>0</v>
      </c>
      <c r="N280">
        <v>0.44186046511627902</v>
      </c>
      <c r="O280">
        <v>0</v>
      </c>
      <c r="P280" s="2" t="d">
        <v>2026-01-23</v>
      </c>
      <c r="Q280" t="s">
        <v>406</v>
      </c>
      <c r="R280">
        <f>IFERROR(VLOOKUP($A280,Actual!$A:$D,4,FALSE),IFERROR(VLOOKUP($A280,FC!$A:$AC,29,FALSE), "Not Found"))</f>
        <v>6.3</v>
      </c>
      <c r="S280" t="str">
        <f>IFERROR(VLOOKUP($A280,Actual!$A:$D,3,FALSE),"0")</f>
        <v>0</v>
      </c>
      <c r="T280">
        <f>VLOOKUP(A280,NHT!B:F,5,FALSE)</f>
        <v>8.1666666666666998</v>
      </c>
    </row>
    <row r="281" spans="1:20" x14ac:dyDescent="0.2">
      <c r="A281" t="s">
        <v>192</v>
      </c>
      <c r="B281" t="s">
        <v>409</v>
      </c>
      <c r="C281" t="s">
        <v>42</v>
      </c>
      <c r="D281" t="s">
        <v>410</v>
      </c>
      <c r="E281">
        <v>2500</v>
      </c>
      <c r="F281">
        <v>4.3497618368278497</v>
      </c>
      <c r="G281">
        <v>1.73990473473114</v>
      </c>
      <c r="H281">
        <v>15.874404592069601</v>
      </c>
      <c r="I281">
        <v>3.69</v>
      </c>
      <c r="J281">
        <v>0.65976183682785805</v>
      </c>
      <c r="K281">
        <v>1.73990473473114</v>
      </c>
      <c r="L281">
        <v>8.16326530612244E-2</v>
      </c>
      <c r="M281">
        <v>0.10204081632653</v>
      </c>
      <c r="N281">
        <v>0.89795918367346905</v>
      </c>
      <c r="O281">
        <v>0</v>
      </c>
      <c r="P281" s="2" t="d">
        <v>2026-01-23</v>
      </c>
      <c r="Q281" t="s">
        <v>406</v>
      </c>
      <c r="R281">
        <f>IFERROR(VLOOKUP($A281,Actual!$A:$D,4,FALSE),IFERROR(VLOOKUP($A281,FC!$A:$AC,29,FALSE), "Not Found"))</f>
        <v>2.6</v>
      </c>
      <c r="S281">
        <f>IFERROR(VLOOKUP($A281,Actual!$A:$D,3,FALSE),"0")</f>
        <v>1.6999999999999999E-3</v>
      </c>
      <c r="T281">
        <f>VLOOKUP(A281,NHT!B:F,5,FALSE)</f>
        <v>7.5166666666667004</v>
      </c>
    </row>
    <row r="282" spans="1:20" x14ac:dyDescent="0.2">
      <c r="A282" t="s">
        <v>317</v>
      </c>
      <c r="B282" t="s">
        <v>48</v>
      </c>
      <c r="C282" t="s">
        <v>46</v>
      </c>
      <c r="D282" t="s">
        <v>408</v>
      </c>
      <c r="E282">
        <v>2500</v>
      </c>
      <c r="F282">
        <v>2.7081587609822999</v>
      </c>
      <c r="G282">
        <v>1.08326350439292</v>
      </c>
      <c r="H282">
        <v>11.770396902455699</v>
      </c>
      <c r="I282">
        <v>1.47</v>
      </c>
      <c r="J282">
        <v>1.2381587609822999</v>
      </c>
      <c r="K282">
        <v>1.08326350439292</v>
      </c>
      <c r="L282">
        <v>0</v>
      </c>
      <c r="M282">
        <v>0</v>
      </c>
      <c r="N282">
        <v>0.83333333333333304</v>
      </c>
      <c r="O282">
        <v>0</v>
      </c>
      <c r="P282" s="2" t="d">
        <v>2026-01-23</v>
      </c>
      <c r="Q282" t="s">
        <v>406</v>
      </c>
      <c r="R282">
        <f>IFERROR(VLOOKUP($A282,Actual!$A:$D,4,FALSE),IFERROR(VLOOKUP($A282,FC!$A:$AC,29,FALSE), "Not Found"))</f>
        <v>1.5</v>
      </c>
      <c r="S282" t="str">
        <f>IFERROR(VLOOKUP($A282,Actual!$A:$D,3,FALSE),"0")</f>
        <v>0</v>
      </c>
      <c r="T282">
        <f>VLOOKUP(A282,NHT!B:F,5,FALSE)</f>
        <v>7.2666666666667004</v>
      </c>
    </row>
    <row r="283" spans="1:20" x14ac:dyDescent="0.2">
      <c r="A283" t="s">
        <v>274</v>
      </c>
      <c r="B283" t="s">
        <v>52</v>
      </c>
      <c r="C283" t="s">
        <v>57</v>
      </c>
      <c r="D283" t="s">
        <v>57</v>
      </c>
      <c r="E283">
        <v>2500</v>
      </c>
      <c r="F283">
        <v>5.3109045556934698</v>
      </c>
      <c r="G283">
        <v>2.1243618222773901</v>
      </c>
      <c r="H283">
        <v>18.277261389233701</v>
      </c>
      <c r="I283">
        <v>4.9000000000000004</v>
      </c>
      <c r="J283">
        <v>0.410904555693479</v>
      </c>
      <c r="K283">
        <v>2.1243618222773901</v>
      </c>
      <c r="L283">
        <v>2.6315789473684199E-2</v>
      </c>
      <c r="M283">
        <v>0.157894736842105</v>
      </c>
      <c r="N283">
        <v>0.63157894736842102</v>
      </c>
      <c r="O283">
        <v>0</v>
      </c>
      <c r="P283" s="2" t="d">
        <v>2026-01-23</v>
      </c>
      <c r="Q283" t="s">
        <v>406</v>
      </c>
      <c r="R283">
        <f>IFERROR(VLOOKUP($A283,Actual!$A:$D,4,FALSE),IFERROR(VLOOKUP($A283,FC!$A:$AC,29,FALSE), "Not Found"))</f>
        <v>2.6</v>
      </c>
      <c r="S283">
        <f>IFERROR(VLOOKUP($A283,Actual!$A:$D,3,FALSE),"0")</f>
        <v>2.9999999999999997E-4</v>
      </c>
      <c r="T283">
        <f>VLOOKUP(A283,NHT!B:F,5,FALSE)</f>
        <v>7.1166666666667</v>
      </c>
    </row>
    <row r="284" spans="1:20" x14ac:dyDescent="0.2">
      <c r="A284" t="s">
        <v>146</v>
      </c>
      <c r="B284" t="s">
        <v>48</v>
      </c>
      <c r="C284" t="s">
        <v>42</v>
      </c>
      <c r="D284" t="s">
        <v>410</v>
      </c>
      <c r="E284">
        <v>2500</v>
      </c>
      <c r="F284">
        <v>3.8210314566522698</v>
      </c>
      <c r="G284">
        <v>1.5284125826609101</v>
      </c>
      <c r="H284">
        <v>14.5525786416306</v>
      </c>
      <c r="I284">
        <v>2.82</v>
      </c>
      <c r="J284">
        <v>1.00103145665227</v>
      </c>
      <c r="K284">
        <v>1.5284125826609101</v>
      </c>
      <c r="L284">
        <v>2.8571428571428501E-2</v>
      </c>
      <c r="M284">
        <v>0.2</v>
      </c>
      <c r="N284">
        <v>0.57142857142857095</v>
      </c>
      <c r="O284">
        <v>0</v>
      </c>
      <c r="P284" s="2" t="d">
        <v>2026-01-23</v>
      </c>
      <c r="Q284" t="s">
        <v>406</v>
      </c>
      <c r="R284">
        <f>IFERROR(VLOOKUP($A284,Actual!$A:$D,4,FALSE),IFERROR(VLOOKUP($A284,FC!$A:$AC,29,FALSE), "Not Found"))</f>
        <v>7.8</v>
      </c>
      <c r="S284" t="str">
        <f>IFERROR(VLOOKUP($A284,Actual!$A:$D,3,FALSE),"0")</f>
        <v>0</v>
      </c>
      <c r="T284">
        <f>VLOOKUP(A284,NHT!B:F,5,FALSE)</f>
        <v>5.9</v>
      </c>
    </row>
    <row r="285" spans="1:20" x14ac:dyDescent="0.2">
      <c r="A285" t="s">
        <v>161</v>
      </c>
      <c r="B285" t="s">
        <v>148</v>
      </c>
      <c r="C285" t="s">
        <v>46</v>
      </c>
      <c r="D285" t="s">
        <v>410</v>
      </c>
      <c r="E285">
        <v>2500</v>
      </c>
      <c r="F285">
        <v>5.0419547774561497</v>
      </c>
      <c r="G285">
        <v>2.0167819109824601</v>
      </c>
      <c r="H285">
        <v>17.604886943640299</v>
      </c>
      <c r="I285">
        <v>4.72</v>
      </c>
      <c r="J285">
        <v>0.32195477745615603</v>
      </c>
      <c r="K285">
        <v>2.0167819109824601</v>
      </c>
      <c r="L285">
        <v>7.1428571428571397E-2</v>
      </c>
      <c r="M285">
        <v>0.28571428571428498</v>
      </c>
      <c r="N285">
        <v>0.89285714285714202</v>
      </c>
      <c r="O285">
        <v>7.1428571428571397E-2</v>
      </c>
      <c r="P285" s="2" t="d">
        <v>2026-01-23</v>
      </c>
      <c r="Q285" t="s">
        <v>406</v>
      </c>
      <c r="R285">
        <f>IFERROR(VLOOKUP($A285,Actual!$A:$D,4,FALSE),IFERROR(VLOOKUP($A285,FC!$A:$AC,29,FALSE), "Not Found"))</f>
        <v>1.3</v>
      </c>
      <c r="S285">
        <f>IFERROR(VLOOKUP($A285,Actual!$A:$D,3,FALSE),"0")</f>
        <v>8.0000000000000004E-4</v>
      </c>
      <c r="T285">
        <f>VLOOKUP(A285,NHT!B:F,5,FALSE)</f>
        <v>5.6833333333332998</v>
      </c>
    </row>
    <row r="286" spans="1:20" x14ac:dyDescent="0.2">
      <c r="A286" t="s">
        <v>160</v>
      </c>
      <c r="B286" t="s">
        <v>409</v>
      </c>
      <c r="C286" t="s">
        <v>36</v>
      </c>
      <c r="D286" t="s">
        <v>408</v>
      </c>
      <c r="E286">
        <v>2500</v>
      </c>
      <c r="F286">
        <v>2.8785872368033001</v>
      </c>
      <c r="G286">
        <v>1.15143489472132</v>
      </c>
      <c r="H286">
        <v>12.1964680920082</v>
      </c>
      <c r="I286">
        <v>1.81</v>
      </c>
      <c r="J286">
        <v>1.0685872368033</v>
      </c>
      <c r="K286">
        <v>1.15143489472132</v>
      </c>
      <c r="L286">
        <v>7.3170731707316999E-2</v>
      </c>
      <c r="M286">
        <v>0</v>
      </c>
      <c r="N286">
        <v>0.53658536585365801</v>
      </c>
      <c r="O286">
        <v>0</v>
      </c>
      <c r="P286" s="2" t="d">
        <v>2026-01-23</v>
      </c>
      <c r="Q286" t="s">
        <v>406</v>
      </c>
      <c r="R286">
        <f>IFERROR(VLOOKUP($A286,Actual!$A:$D,4,FALSE),IFERROR(VLOOKUP($A286,FC!$A:$AC,29,FALSE), "Not Found"))</f>
        <v>2.8</v>
      </c>
      <c r="S286">
        <f>IFERROR(VLOOKUP($A286,Actual!$A:$D,3,FALSE),"0")</f>
        <v>2.9999999999999997E-4</v>
      </c>
      <c r="T286">
        <f>VLOOKUP(A286,NHT!B:F,5,FALSE)</f>
        <v>3.9333333333332998</v>
      </c>
    </row>
    <row r="287" spans="1:20" x14ac:dyDescent="0.2">
      <c r="A287" t="s">
        <v>296</v>
      </c>
      <c r="B287" t="s">
        <v>407</v>
      </c>
      <c r="C287" t="s">
        <v>42</v>
      </c>
      <c r="D287" t="s">
        <v>42</v>
      </c>
      <c r="E287">
        <v>2500</v>
      </c>
      <c r="F287">
        <v>3.76390378942427</v>
      </c>
      <c r="G287">
        <v>1.5055615157697</v>
      </c>
      <c r="H287">
        <v>14.4097594735606</v>
      </c>
      <c r="I287">
        <v>2.33</v>
      </c>
      <c r="J287">
        <v>1.4339037894242701</v>
      </c>
      <c r="K287">
        <v>1.5055615157697</v>
      </c>
      <c r="L287">
        <v>0.11764705882352899</v>
      </c>
      <c r="M287">
        <v>5.8823529411764698E-2</v>
      </c>
      <c r="N287">
        <v>0.58823529411764697</v>
      </c>
      <c r="O287">
        <v>0</v>
      </c>
      <c r="P287" s="2" t="d">
        <v>2026-01-23</v>
      </c>
      <c r="Q287" t="s">
        <v>406</v>
      </c>
      <c r="R287">
        <f>IFERROR(VLOOKUP($A287,Actual!$A:$D,4,FALSE),IFERROR(VLOOKUP($A287,FC!$A:$AC,29,FALSE), "Not Found"))</f>
        <v>0</v>
      </c>
      <c r="S287" t="str">
        <f>IFERROR(VLOOKUP($A287,Actual!$A:$D,3,FALSE),"0")</f>
        <v>0</v>
      </c>
      <c r="T287">
        <f>VLOOKUP(A287,NHT!B:F,5,FALSE)</f>
        <v>1.0166666666666999</v>
      </c>
    </row>
  </sheetData>
  <autoFilter ref="A1:T287" xr:uid="{4822EC4B-D56E-104F-9D45-7D784B71A093}">
    <sortState xmlns:xlrd2="http://schemas.microsoft.com/office/spreadsheetml/2017/richdata2" ref="A2:T287">
      <sortCondition descending="1" ref="T1:T287"/>
    </sortState>
  </autoFilter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E46B-710E-DF47-A67B-D3CB643B2C19}">
  <dimension ref="A1:AI305"/>
  <sheetViews>
    <sheetView topLeftCell="A83" workbookViewId="0">
      <selection activeCell="B94" sqref="B94"/>
    </sheetView>
  </sheetViews>
  <sheetFormatPr baseColWidth="10" defaultRowHeight="16" x14ac:dyDescent="0.2"/>
  <cols>
    <col min="1" max="1" width="4.1640625" bestFit="1" customWidth="1"/>
    <col min="2" max="2" width="21.6640625" bestFit="1" customWidth="1"/>
    <col min="3" max="3" width="5.5" bestFit="1" customWidth="1"/>
    <col min="4" max="4" width="7.6640625" bestFit="1" customWidth="1"/>
    <col min="5" max="5" width="3.5" bestFit="1" customWidth="1"/>
    <col min="6" max="6" width="12.1640625" bestFit="1" customWidth="1"/>
    <col min="7" max="7" width="5.83203125" bestFit="1" customWidth="1"/>
    <col min="8" max="8" width="11" bestFit="1" customWidth="1"/>
    <col min="9" max="9" width="10.6640625" bestFit="1" customWidth="1"/>
    <col min="10" max="10" width="13" bestFit="1" customWidth="1"/>
    <col min="11" max="11" width="10.5" bestFit="1" customWidth="1"/>
    <col min="12" max="12" width="6.1640625" bestFit="1" customWidth="1"/>
    <col min="13" max="13" width="5.6640625" bestFit="1" customWidth="1"/>
    <col min="14" max="14" width="6.1640625" bestFit="1" customWidth="1"/>
    <col min="15" max="15" width="5.1640625" bestFit="1" customWidth="1"/>
    <col min="16" max="16" width="4" bestFit="1" customWidth="1"/>
    <col min="17" max="17" width="3.6640625" bestFit="1" customWidth="1"/>
    <col min="18" max="18" width="5" bestFit="1" customWidth="1"/>
    <col min="19" max="19" width="6.6640625" bestFit="1" customWidth="1"/>
    <col min="20" max="20" width="12.83203125" bestFit="1" customWidth="1"/>
    <col min="21" max="21" width="16.33203125" bestFit="1" customWidth="1"/>
    <col min="22" max="22" width="4.1640625" bestFit="1" customWidth="1"/>
    <col min="23" max="23" width="13" bestFit="1" customWidth="1"/>
    <col min="24" max="25" width="5.83203125" bestFit="1" customWidth="1"/>
    <col min="26" max="26" width="10.6640625" bestFit="1" customWidth="1"/>
    <col min="27" max="27" width="14.33203125" bestFit="1" customWidth="1"/>
    <col min="28" max="29" width="9.83203125" bestFit="1" customWidth="1"/>
    <col min="30" max="30" width="4.5" bestFit="1" customWidth="1"/>
    <col min="31" max="31" width="9.5" bestFit="1" customWidth="1"/>
    <col min="32" max="32" width="12.5" bestFit="1" customWidth="1"/>
    <col min="33" max="33" width="12" bestFit="1" customWidth="1"/>
    <col min="34" max="34" width="11.6640625" bestFit="1" customWidth="1"/>
    <col min="35" max="35" width="9.83203125" bestFit="1" customWidth="1"/>
  </cols>
  <sheetData>
    <row r="1" spans="1:3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">
      <c r="A2">
        <v>126</v>
      </c>
      <c r="B2" t="s">
        <v>243</v>
      </c>
      <c r="C2" t="s">
        <v>69</v>
      </c>
      <c r="D2" t="s">
        <v>36</v>
      </c>
      <c r="E2">
        <v>1</v>
      </c>
      <c r="F2">
        <v>12.3</v>
      </c>
      <c r="G2">
        <v>0</v>
      </c>
      <c r="H2">
        <v>0</v>
      </c>
      <c r="I2">
        <v>0</v>
      </c>
      <c r="J2">
        <v>0</v>
      </c>
      <c r="K2">
        <v>0</v>
      </c>
      <c r="L2" t="s">
        <v>37</v>
      </c>
      <c r="M2">
        <v>2</v>
      </c>
      <c r="N2">
        <v>0</v>
      </c>
      <c r="O2">
        <v>0.26</v>
      </c>
      <c r="P2">
        <v>2</v>
      </c>
      <c r="Q2">
        <v>2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50</v>
      </c>
    </row>
    <row r="3" spans="1:35" x14ac:dyDescent="0.2">
      <c r="A3">
        <v>257</v>
      </c>
      <c r="B3" t="s">
        <v>323</v>
      </c>
      <c r="C3" t="s">
        <v>117</v>
      </c>
      <c r="D3" t="s">
        <v>36</v>
      </c>
      <c r="E3">
        <v>1</v>
      </c>
      <c r="F3">
        <v>9.4333333333332998</v>
      </c>
      <c r="G3">
        <v>0</v>
      </c>
      <c r="H3">
        <v>0</v>
      </c>
      <c r="I3">
        <v>0</v>
      </c>
      <c r="J3">
        <v>0</v>
      </c>
      <c r="K3">
        <v>0</v>
      </c>
      <c r="L3" t="s">
        <v>37</v>
      </c>
      <c r="M3">
        <v>2</v>
      </c>
      <c r="N3">
        <v>0</v>
      </c>
      <c r="O3">
        <v>0.61</v>
      </c>
      <c r="P3">
        <v>6</v>
      </c>
      <c r="Q3">
        <v>5</v>
      </c>
      <c r="R3">
        <v>4</v>
      </c>
      <c r="S3">
        <v>3</v>
      </c>
      <c r="T3">
        <v>0</v>
      </c>
      <c r="U3">
        <v>2</v>
      </c>
      <c r="V3">
        <v>12</v>
      </c>
      <c r="W3">
        <v>2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3</v>
      </c>
      <c r="AE3">
        <v>1</v>
      </c>
      <c r="AF3">
        <v>1</v>
      </c>
      <c r="AG3">
        <v>0</v>
      </c>
      <c r="AH3">
        <v>0</v>
      </c>
      <c r="AI3" t="s">
        <v>37</v>
      </c>
    </row>
    <row r="4" spans="1:35" x14ac:dyDescent="0.2">
      <c r="A4">
        <v>42</v>
      </c>
      <c r="B4" t="s">
        <v>186</v>
      </c>
      <c r="C4" t="s">
        <v>74</v>
      </c>
      <c r="D4" t="s">
        <v>57</v>
      </c>
      <c r="E4">
        <v>1</v>
      </c>
      <c r="F4">
        <v>17.566666666667</v>
      </c>
      <c r="G4">
        <v>0</v>
      </c>
      <c r="H4">
        <v>0</v>
      </c>
      <c r="I4">
        <v>0</v>
      </c>
      <c r="J4">
        <v>0</v>
      </c>
      <c r="K4">
        <v>0</v>
      </c>
      <c r="L4" t="s">
        <v>37</v>
      </c>
      <c r="M4">
        <v>0</v>
      </c>
      <c r="N4" t="s">
        <v>37</v>
      </c>
      <c r="O4">
        <v>0.02</v>
      </c>
      <c r="P4">
        <v>3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t="s">
        <v>37</v>
      </c>
    </row>
    <row r="5" spans="1:35" x14ac:dyDescent="0.2">
      <c r="A5">
        <v>9</v>
      </c>
      <c r="B5" t="s">
        <v>362</v>
      </c>
      <c r="C5" t="s">
        <v>39</v>
      </c>
      <c r="D5" t="s">
        <v>346</v>
      </c>
      <c r="E5">
        <v>1</v>
      </c>
      <c r="F5">
        <v>60</v>
      </c>
    </row>
    <row r="6" spans="1:35" x14ac:dyDescent="0.2">
      <c r="A6">
        <v>5</v>
      </c>
      <c r="B6" t="s">
        <v>162</v>
      </c>
      <c r="C6" t="s">
        <v>64</v>
      </c>
      <c r="D6" t="s">
        <v>46</v>
      </c>
      <c r="E6">
        <v>1</v>
      </c>
      <c r="F6">
        <v>15.283333333332999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0.11</v>
      </c>
      <c r="P6">
        <v>2</v>
      </c>
      <c r="Q6">
        <v>2</v>
      </c>
      <c r="R6">
        <v>1</v>
      </c>
      <c r="S6">
        <v>0</v>
      </c>
      <c r="T6">
        <v>0</v>
      </c>
      <c r="U6">
        <v>1</v>
      </c>
      <c r="V6">
        <v>2</v>
      </c>
      <c r="W6">
        <v>1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37</v>
      </c>
    </row>
    <row r="7" spans="1:35" x14ac:dyDescent="0.2">
      <c r="A7">
        <v>7</v>
      </c>
      <c r="B7" t="s">
        <v>356</v>
      </c>
      <c r="C7" t="s">
        <v>69</v>
      </c>
      <c r="D7" t="s">
        <v>346</v>
      </c>
      <c r="E7">
        <v>1</v>
      </c>
      <c r="F7">
        <v>60</v>
      </c>
    </row>
    <row r="8" spans="1:35" x14ac:dyDescent="0.2">
      <c r="A8">
        <v>2</v>
      </c>
      <c r="B8" t="s">
        <v>72</v>
      </c>
      <c r="C8" t="s">
        <v>56</v>
      </c>
      <c r="D8" t="s">
        <v>46</v>
      </c>
      <c r="E8">
        <v>1</v>
      </c>
      <c r="F8">
        <v>17.816666666667</v>
      </c>
      <c r="G8">
        <v>1</v>
      </c>
      <c r="H8">
        <v>0</v>
      </c>
      <c r="I8">
        <v>0</v>
      </c>
      <c r="J8">
        <v>0</v>
      </c>
      <c r="K8">
        <v>1</v>
      </c>
      <c r="L8">
        <v>100</v>
      </c>
      <c r="M8">
        <v>6</v>
      </c>
      <c r="N8">
        <v>16.670000000000002</v>
      </c>
      <c r="O8">
        <v>0.82</v>
      </c>
      <c r="P8">
        <v>10</v>
      </c>
      <c r="Q8">
        <v>9</v>
      </c>
      <c r="R8">
        <v>5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 t="s">
        <v>37</v>
      </c>
    </row>
    <row r="9" spans="1:35" x14ac:dyDescent="0.2">
      <c r="A9">
        <v>196</v>
      </c>
      <c r="B9" t="s">
        <v>286</v>
      </c>
      <c r="C9" t="s">
        <v>148</v>
      </c>
      <c r="D9" t="s">
        <v>57</v>
      </c>
      <c r="E9">
        <v>1</v>
      </c>
      <c r="F9">
        <v>23.7</v>
      </c>
      <c r="G9">
        <v>0</v>
      </c>
      <c r="H9">
        <v>0</v>
      </c>
      <c r="I9">
        <v>0</v>
      </c>
      <c r="J9">
        <v>0</v>
      </c>
      <c r="K9">
        <v>0</v>
      </c>
      <c r="L9" t="s">
        <v>37</v>
      </c>
      <c r="M9">
        <v>2</v>
      </c>
      <c r="N9">
        <v>0</v>
      </c>
      <c r="O9">
        <v>0.02</v>
      </c>
      <c r="P9">
        <v>5</v>
      </c>
      <c r="Q9">
        <v>2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3</v>
      </c>
      <c r="AG9">
        <v>0</v>
      </c>
      <c r="AH9">
        <v>0</v>
      </c>
      <c r="AI9" t="s">
        <v>37</v>
      </c>
    </row>
    <row r="10" spans="1:35" x14ac:dyDescent="0.2">
      <c r="A10">
        <v>219</v>
      </c>
      <c r="B10" t="s">
        <v>140</v>
      </c>
      <c r="C10" t="s">
        <v>39</v>
      </c>
      <c r="D10" t="s">
        <v>36</v>
      </c>
      <c r="E10">
        <v>1</v>
      </c>
      <c r="F10">
        <v>9.75</v>
      </c>
      <c r="G10">
        <v>0</v>
      </c>
      <c r="H10">
        <v>1</v>
      </c>
      <c r="I10">
        <v>0</v>
      </c>
      <c r="J10">
        <v>1</v>
      </c>
      <c r="K10">
        <v>1</v>
      </c>
      <c r="L10">
        <v>100</v>
      </c>
      <c r="M10">
        <v>1</v>
      </c>
      <c r="N10">
        <v>0</v>
      </c>
      <c r="O10">
        <v>7.0000000000000007E-2</v>
      </c>
      <c r="P10">
        <v>2</v>
      </c>
      <c r="Q10">
        <v>2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2</v>
      </c>
      <c r="AE10">
        <v>1</v>
      </c>
      <c r="AF10">
        <v>0</v>
      </c>
      <c r="AG10">
        <v>0</v>
      </c>
      <c r="AH10">
        <v>0</v>
      </c>
      <c r="AI10" t="s">
        <v>37</v>
      </c>
    </row>
    <row r="11" spans="1:35" x14ac:dyDescent="0.2">
      <c r="A11">
        <v>83</v>
      </c>
      <c r="B11" t="s">
        <v>216</v>
      </c>
      <c r="C11" t="s">
        <v>69</v>
      </c>
      <c r="D11" t="s">
        <v>42</v>
      </c>
      <c r="E11">
        <v>1</v>
      </c>
      <c r="F11">
        <v>24.466666666666999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37</v>
      </c>
      <c r="O11">
        <v>0.92</v>
      </c>
      <c r="P11">
        <v>4</v>
      </c>
      <c r="Q11">
        <v>4</v>
      </c>
      <c r="R11">
        <v>4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4</v>
      </c>
      <c r="AG11">
        <v>8</v>
      </c>
      <c r="AH11">
        <v>13</v>
      </c>
      <c r="AI11">
        <v>38.1</v>
      </c>
    </row>
    <row r="12" spans="1:35" x14ac:dyDescent="0.2">
      <c r="A12">
        <v>166</v>
      </c>
      <c r="B12" t="s">
        <v>265</v>
      </c>
      <c r="C12" t="s">
        <v>45</v>
      </c>
      <c r="D12" t="s">
        <v>36</v>
      </c>
      <c r="E12">
        <v>1</v>
      </c>
      <c r="F12">
        <v>11.916666666667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37</v>
      </c>
      <c r="M12">
        <v>0</v>
      </c>
      <c r="N12" t="s">
        <v>37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 t="s">
        <v>37</v>
      </c>
    </row>
    <row r="13" spans="1:35" x14ac:dyDescent="0.2">
      <c r="A13">
        <v>217</v>
      </c>
      <c r="B13" t="s">
        <v>297</v>
      </c>
      <c r="C13" t="s">
        <v>85</v>
      </c>
      <c r="D13" t="s">
        <v>46</v>
      </c>
      <c r="E13">
        <v>1</v>
      </c>
      <c r="F13">
        <v>14.333333333333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37</v>
      </c>
      <c r="M13">
        <v>1</v>
      </c>
      <c r="N13">
        <v>0</v>
      </c>
      <c r="O13">
        <v>0.24</v>
      </c>
      <c r="P13">
        <v>3</v>
      </c>
      <c r="Q13">
        <v>3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0</v>
      </c>
      <c r="AH13">
        <v>0</v>
      </c>
      <c r="AI13" t="s">
        <v>37</v>
      </c>
    </row>
    <row r="14" spans="1:35" x14ac:dyDescent="0.2">
      <c r="A14">
        <v>205</v>
      </c>
      <c r="B14" t="s">
        <v>132</v>
      </c>
      <c r="C14" t="s">
        <v>56</v>
      </c>
      <c r="D14" t="s">
        <v>42</v>
      </c>
      <c r="E14">
        <v>1</v>
      </c>
      <c r="F14">
        <v>19.2</v>
      </c>
      <c r="G14">
        <v>1</v>
      </c>
      <c r="H14">
        <v>0</v>
      </c>
      <c r="I14">
        <v>0</v>
      </c>
      <c r="J14">
        <v>0</v>
      </c>
      <c r="K14">
        <v>1</v>
      </c>
      <c r="L14">
        <v>100</v>
      </c>
      <c r="M14">
        <v>3</v>
      </c>
      <c r="N14">
        <v>33.33</v>
      </c>
      <c r="O14">
        <v>0.59</v>
      </c>
      <c r="P14">
        <v>5</v>
      </c>
      <c r="Q14">
        <v>5</v>
      </c>
      <c r="R14">
        <v>4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2</v>
      </c>
      <c r="AF14">
        <v>2</v>
      </c>
      <c r="AG14">
        <v>0</v>
      </c>
      <c r="AH14">
        <v>0</v>
      </c>
      <c r="AI14" t="s">
        <v>37</v>
      </c>
    </row>
    <row r="15" spans="1:35" x14ac:dyDescent="0.2">
      <c r="A15">
        <v>74</v>
      </c>
      <c r="B15" t="s">
        <v>209</v>
      </c>
      <c r="C15" t="s">
        <v>148</v>
      </c>
      <c r="D15" t="s">
        <v>46</v>
      </c>
      <c r="E15">
        <v>1</v>
      </c>
      <c r="F15">
        <v>21.433333333333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37</v>
      </c>
      <c r="M15">
        <v>3</v>
      </c>
      <c r="N15">
        <v>0</v>
      </c>
      <c r="O15">
        <v>0.68</v>
      </c>
      <c r="P15">
        <v>5</v>
      </c>
      <c r="Q15">
        <v>5</v>
      </c>
      <c r="R15">
        <v>5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</v>
      </c>
      <c r="AE15">
        <v>0</v>
      </c>
      <c r="AF15">
        <v>1</v>
      </c>
      <c r="AG15">
        <v>0</v>
      </c>
      <c r="AH15">
        <v>0</v>
      </c>
      <c r="AI15" t="s">
        <v>37</v>
      </c>
    </row>
    <row r="16" spans="1:35" x14ac:dyDescent="0.2">
      <c r="A16">
        <v>4</v>
      </c>
      <c r="B16" t="s">
        <v>348</v>
      </c>
      <c r="C16" t="s">
        <v>87</v>
      </c>
      <c r="D16" t="s">
        <v>346</v>
      </c>
      <c r="E16">
        <v>1</v>
      </c>
      <c r="F16">
        <v>65</v>
      </c>
    </row>
    <row r="17" spans="1:35" x14ac:dyDescent="0.2">
      <c r="A17">
        <v>116</v>
      </c>
      <c r="B17" t="s">
        <v>234</v>
      </c>
      <c r="C17" t="s">
        <v>56</v>
      </c>
      <c r="D17" t="s">
        <v>46</v>
      </c>
      <c r="E17">
        <v>1</v>
      </c>
      <c r="F17">
        <v>13.8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0.26</v>
      </c>
      <c r="P17">
        <v>5</v>
      </c>
      <c r="Q17">
        <v>5</v>
      </c>
      <c r="R17">
        <v>4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100</v>
      </c>
    </row>
    <row r="18" spans="1:35" x14ac:dyDescent="0.2">
      <c r="A18">
        <v>122</v>
      </c>
      <c r="B18" t="s">
        <v>108</v>
      </c>
      <c r="C18" t="s">
        <v>87</v>
      </c>
      <c r="D18" t="s">
        <v>42</v>
      </c>
      <c r="E18">
        <v>1</v>
      </c>
      <c r="F18">
        <v>19.350000000000001</v>
      </c>
      <c r="G18">
        <v>0</v>
      </c>
      <c r="H18">
        <v>1</v>
      </c>
      <c r="I18">
        <v>0</v>
      </c>
      <c r="J18">
        <v>1</v>
      </c>
      <c r="K18">
        <v>1</v>
      </c>
      <c r="L18">
        <v>100</v>
      </c>
      <c r="M18">
        <v>2</v>
      </c>
      <c r="N18">
        <v>0</v>
      </c>
      <c r="O18">
        <v>0.43</v>
      </c>
      <c r="P18">
        <v>3</v>
      </c>
      <c r="Q18">
        <v>3</v>
      </c>
      <c r="R18">
        <v>3</v>
      </c>
      <c r="S18">
        <v>2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0</v>
      </c>
      <c r="AE18">
        <v>1</v>
      </c>
      <c r="AF18">
        <v>1</v>
      </c>
      <c r="AG18">
        <v>7</v>
      </c>
      <c r="AH18">
        <v>7</v>
      </c>
      <c r="AI18">
        <v>50</v>
      </c>
    </row>
    <row r="19" spans="1:35" x14ac:dyDescent="0.2">
      <c r="A19">
        <v>5</v>
      </c>
      <c r="B19" t="s">
        <v>349</v>
      </c>
      <c r="C19" t="s">
        <v>61</v>
      </c>
      <c r="D19" t="s">
        <v>346</v>
      </c>
      <c r="E19">
        <v>1</v>
      </c>
      <c r="F19">
        <v>58.333333333333002</v>
      </c>
    </row>
    <row r="20" spans="1:35" x14ac:dyDescent="0.2">
      <c r="A20">
        <v>67</v>
      </c>
      <c r="B20" t="s">
        <v>95</v>
      </c>
      <c r="C20" t="s">
        <v>85</v>
      </c>
      <c r="D20" t="s">
        <v>46</v>
      </c>
      <c r="E20">
        <v>1</v>
      </c>
      <c r="F20">
        <v>6.2333333333332996</v>
      </c>
      <c r="G20">
        <v>0</v>
      </c>
      <c r="H20">
        <v>1</v>
      </c>
      <c r="I20">
        <v>0</v>
      </c>
      <c r="J20">
        <v>1</v>
      </c>
      <c r="K20">
        <v>1</v>
      </c>
      <c r="L20">
        <v>100</v>
      </c>
      <c r="M20">
        <v>3</v>
      </c>
      <c r="N20">
        <v>0</v>
      </c>
      <c r="O20">
        <v>0.35</v>
      </c>
      <c r="P20">
        <v>4</v>
      </c>
      <c r="Q20">
        <v>4</v>
      </c>
      <c r="R20">
        <v>3</v>
      </c>
      <c r="S20">
        <v>2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37</v>
      </c>
    </row>
    <row r="21" spans="1:35" x14ac:dyDescent="0.2">
      <c r="A21">
        <v>208</v>
      </c>
      <c r="B21" t="s">
        <v>134</v>
      </c>
      <c r="C21" t="s">
        <v>41</v>
      </c>
      <c r="D21" t="s">
        <v>36</v>
      </c>
      <c r="E21">
        <v>1</v>
      </c>
      <c r="F21">
        <v>13.233333333333</v>
      </c>
      <c r="G21">
        <v>0</v>
      </c>
      <c r="H21">
        <v>1</v>
      </c>
      <c r="I21">
        <v>1</v>
      </c>
      <c r="J21">
        <v>0</v>
      </c>
      <c r="K21">
        <v>1</v>
      </c>
      <c r="L21">
        <v>33.33</v>
      </c>
      <c r="M21">
        <v>0</v>
      </c>
      <c r="N21" t="s">
        <v>37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37</v>
      </c>
    </row>
    <row r="22" spans="1:35" x14ac:dyDescent="0.2">
      <c r="A22">
        <v>123</v>
      </c>
      <c r="B22" t="s">
        <v>240</v>
      </c>
      <c r="C22" t="s">
        <v>85</v>
      </c>
      <c r="D22" t="s">
        <v>46</v>
      </c>
      <c r="E22">
        <v>1</v>
      </c>
      <c r="F22">
        <v>21.166666666666998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37</v>
      </c>
      <c r="M22">
        <v>3</v>
      </c>
      <c r="N22">
        <v>0</v>
      </c>
      <c r="O22">
        <v>0.56999999999999995</v>
      </c>
      <c r="P22">
        <v>11</v>
      </c>
      <c r="Q22">
        <v>8</v>
      </c>
      <c r="R22">
        <v>4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 t="s">
        <v>37</v>
      </c>
    </row>
    <row r="23" spans="1:35" x14ac:dyDescent="0.2">
      <c r="A23">
        <v>77</v>
      </c>
      <c r="B23" t="s">
        <v>212</v>
      </c>
      <c r="C23" t="s">
        <v>48</v>
      </c>
      <c r="D23" t="s">
        <v>46</v>
      </c>
      <c r="E23">
        <v>1</v>
      </c>
      <c r="F23">
        <v>15.283333333332999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37</v>
      </c>
      <c r="M23">
        <v>0</v>
      </c>
      <c r="N23" t="s">
        <v>37</v>
      </c>
      <c r="O23">
        <v>0.09</v>
      </c>
      <c r="P23">
        <v>3</v>
      </c>
      <c r="Q23">
        <v>1</v>
      </c>
      <c r="R23">
        <v>1</v>
      </c>
      <c r="S23">
        <v>1</v>
      </c>
      <c r="T23">
        <v>0</v>
      </c>
      <c r="U23">
        <v>0</v>
      </c>
      <c r="V23">
        <v>2</v>
      </c>
      <c r="W23">
        <v>1</v>
      </c>
      <c r="X23">
        <v>1</v>
      </c>
      <c r="Y23">
        <v>0</v>
      </c>
      <c r="Z23">
        <v>0</v>
      </c>
      <c r="AA23">
        <v>0</v>
      </c>
      <c r="AB23">
        <v>2</v>
      </c>
      <c r="AC23">
        <v>0</v>
      </c>
      <c r="AD23">
        <v>1</v>
      </c>
      <c r="AE23">
        <v>2</v>
      </c>
      <c r="AF23">
        <v>0</v>
      </c>
      <c r="AG23">
        <v>1</v>
      </c>
      <c r="AH23">
        <v>0</v>
      </c>
      <c r="AI23">
        <v>100</v>
      </c>
    </row>
    <row r="24" spans="1:35" x14ac:dyDescent="0.2">
      <c r="A24">
        <v>279</v>
      </c>
      <c r="B24" t="s">
        <v>334</v>
      </c>
      <c r="C24" t="s">
        <v>148</v>
      </c>
      <c r="D24" t="s">
        <v>57</v>
      </c>
      <c r="E24">
        <v>1</v>
      </c>
      <c r="F24">
        <v>21.983333333333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37</v>
      </c>
      <c r="M24">
        <v>0</v>
      </c>
      <c r="N24" t="s">
        <v>37</v>
      </c>
      <c r="O24">
        <v>0.02</v>
      </c>
      <c r="P24">
        <v>4</v>
      </c>
      <c r="Q24">
        <v>2</v>
      </c>
      <c r="R24">
        <v>1</v>
      </c>
      <c r="S24">
        <v>0</v>
      </c>
      <c r="T24">
        <v>0</v>
      </c>
      <c r="U24">
        <v>0</v>
      </c>
      <c r="V24">
        <v>2</v>
      </c>
      <c r="W24">
        <v>1</v>
      </c>
      <c r="X24">
        <v>1</v>
      </c>
      <c r="Y24">
        <v>0</v>
      </c>
      <c r="Z24">
        <v>0</v>
      </c>
      <c r="AA24">
        <v>0</v>
      </c>
      <c r="AB24">
        <v>4</v>
      </c>
      <c r="AC24">
        <v>0</v>
      </c>
      <c r="AD24">
        <v>2</v>
      </c>
      <c r="AE24">
        <v>1</v>
      </c>
      <c r="AF24">
        <v>0</v>
      </c>
      <c r="AG24">
        <v>0</v>
      </c>
      <c r="AH24">
        <v>0</v>
      </c>
      <c r="AI24" t="s">
        <v>37</v>
      </c>
    </row>
    <row r="25" spans="1:35" x14ac:dyDescent="0.2">
      <c r="A25">
        <v>16</v>
      </c>
      <c r="B25" t="s">
        <v>360</v>
      </c>
      <c r="C25" t="s">
        <v>148</v>
      </c>
      <c r="D25" t="s">
        <v>346</v>
      </c>
      <c r="E25">
        <v>1</v>
      </c>
      <c r="F25">
        <v>65</v>
      </c>
    </row>
    <row r="26" spans="1:35" x14ac:dyDescent="0.2">
      <c r="A26">
        <v>132</v>
      </c>
      <c r="B26" t="s">
        <v>249</v>
      </c>
      <c r="C26" t="s">
        <v>61</v>
      </c>
      <c r="D26" t="s">
        <v>42</v>
      </c>
      <c r="E26">
        <v>1</v>
      </c>
      <c r="F26">
        <v>23.5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0</v>
      </c>
      <c r="O26">
        <v>0.35</v>
      </c>
      <c r="P26">
        <v>9</v>
      </c>
      <c r="Q26">
        <v>6</v>
      </c>
      <c r="R26">
        <v>4</v>
      </c>
      <c r="S26">
        <v>2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2</v>
      </c>
      <c r="AF26">
        <v>0</v>
      </c>
      <c r="AG26">
        <v>9</v>
      </c>
      <c r="AH26">
        <v>5</v>
      </c>
      <c r="AI26">
        <v>64.290000000000006</v>
      </c>
    </row>
    <row r="27" spans="1:35" x14ac:dyDescent="0.2">
      <c r="A27">
        <v>50</v>
      </c>
      <c r="B27" t="s">
        <v>192</v>
      </c>
      <c r="C27" t="s">
        <v>69</v>
      </c>
      <c r="D27" t="s">
        <v>42</v>
      </c>
      <c r="E27">
        <v>1</v>
      </c>
      <c r="F27">
        <v>7.5166666666667004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37</v>
      </c>
      <c r="M27">
        <v>0</v>
      </c>
      <c r="N27" t="s">
        <v>37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 t="s">
        <v>37</v>
      </c>
    </row>
    <row r="28" spans="1:35" x14ac:dyDescent="0.2">
      <c r="A28">
        <v>278</v>
      </c>
      <c r="B28" t="s">
        <v>333</v>
      </c>
      <c r="C28" t="s">
        <v>64</v>
      </c>
      <c r="D28" t="s">
        <v>36</v>
      </c>
      <c r="E28">
        <v>1</v>
      </c>
      <c r="F28">
        <v>13.9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0.22</v>
      </c>
      <c r="P28">
        <v>2</v>
      </c>
      <c r="Q28">
        <v>2</v>
      </c>
      <c r="R28">
        <v>2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0</v>
      </c>
      <c r="AG28">
        <v>0</v>
      </c>
      <c r="AH28">
        <v>0</v>
      </c>
      <c r="AI28" t="s">
        <v>37</v>
      </c>
    </row>
    <row r="29" spans="1:35" x14ac:dyDescent="0.2">
      <c r="A29">
        <v>66</v>
      </c>
      <c r="B29" t="s">
        <v>203</v>
      </c>
      <c r="C29" t="s">
        <v>39</v>
      </c>
      <c r="D29" t="s">
        <v>57</v>
      </c>
      <c r="E29">
        <v>1</v>
      </c>
      <c r="F29">
        <v>14.45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37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 t="s">
        <v>37</v>
      </c>
    </row>
    <row r="30" spans="1:35" x14ac:dyDescent="0.2">
      <c r="A30">
        <v>281</v>
      </c>
      <c r="B30" t="s">
        <v>335</v>
      </c>
      <c r="C30" t="s">
        <v>74</v>
      </c>
      <c r="D30" t="s">
        <v>42</v>
      </c>
      <c r="E30">
        <v>1</v>
      </c>
      <c r="F30">
        <v>13.616666666666999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37</v>
      </c>
      <c r="M30">
        <v>1</v>
      </c>
      <c r="N30">
        <v>0</v>
      </c>
      <c r="O30">
        <v>0.13</v>
      </c>
      <c r="P30">
        <v>3</v>
      </c>
      <c r="Q30">
        <v>3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2</v>
      </c>
      <c r="AF30">
        <v>0</v>
      </c>
      <c r="AG30">
        <v>0</v>
      </c>
      <c r="AH30">
        <v>0</v>
      </c>
      <c r="AI30" t="s">
        <v>37</v>
      </c>
    </row>
    <row r="31" spans="1:35" x14ac:dyDescent="0.2">
      <c r="A31">
        <v>192</v>
      </c>
      <c r="B31" t="s">
        <v>126</v>
      </c>
      <c r="C31" t="s">
        <v>35</v>
      </c>
      <c r="D31" t="s">
        <v>36</v>
      </c>
      <c r="E31">
        <v>1</v>
      </c>
      <c r="F31">
        <v>13.216666666667001</v>
      </c>
      <c r="G31">
        <v>1</v>
      </c>
      <c r="H31">
        <v>0</v>
      </c>
      <c r="I31">
        <v>0</v>
      </c>
      <c r="J31">
        <v>0</v>
      </c>
      <c r="K31">
        <v>1</v>
      </c>
      <c r="L31">
        <v>100</v>
      </c>
      <c r="M31">
        <v>2</v>
      </c>
      <c r="N31">
        <v>50</v>
      </c>
      <c r="O31">
        <v>0.25</v>
      </c>
      <c r="P31">
        <v>3</v>
      </c>
      <c r="Q31">
        <v>2</v>
      </c>
      <c r="R31">
        <v>2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37</v>
      </c>
    </row>
    <row r="32" spans="1:35" x14ac:dyDescent="0.2">
      <c r="A32">
        <v>230</v>
      </c>
      <c r="B32" t="s">
        <v>144</v>
      </c>
      <c r="C32" t="s">
        <v>61</v>
      </c>
      <c r="D32" t="s">
        <v>42</v>
      </c>
      <c r="E32">
        <v>1</v>
      </c>
      <c r="F32">
        <v>17.316666666667</v>
      </c>
      <c r="G32">
        <v>1</v>
      </c>
      <c r="H32">
        <v>0</v>
      </c>
      <c r="I32">
        <v>0</v>
      </c>
      <c r="J32">
        <v>0</v>
      </c>
      <c r="K32">
        <v>1</v>
      </c>
      <c r="L32">
        <v>100</v>
      </c>
      <c r="M32">
        <v>4</v>
      </c>
      <c r="N32">
        <v>25</v>
      </c>
      <c r="O32">
        <v>0.36</v>
      </c>
      <c r="P32">
        <v>8</v>
      </c>
      <c r="Q32">
        <v>7</v>
      </c>
      <c r="R32">
        <v>5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37</v>
      </c>
    </row>
    <row r="33" spans="1:35" x14ac:dyDescent="0.2">
      <c r="A33">
        <v>212</v>
      </c>
      <c r="B33" t="s">
        <v>295</v>
      </c>
      <c r="C33" t="s">
        <v>85</v>
      </c>
      <c r="D33" t="s">
        <v>57</v>
      </c>
      <c r="E33">
        <v>1</v>
      </c>
      <c r="F33">
        <v>22.766666666667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37</v>
      </c>
      <c r="M33">
        <v>0</v>
      </c>
      <c r="N33" t="s">
        <v>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0</v>
      </c>
      <c r="AE33">
        <v>1</v>
      </c>
      <c r="AF33">
        <v>2</v>
      </c>
      <c r="AG33">
        <v>0</v>
      </c>
      <c r="AH33">
        <v>0</v>
      </c>
      <c r="AI33" t="s">
        <v>37</v>
      </c>
    </row>
    <row r="34" spans="1:35" x14ac:dyDescent="0.2">
      <c r="A34">
        <v>262</v>
      </c>
      <c r="B34" t="s">
        <v>152</v>
      </c>
      <c r="C34" t="s">
        <v>39</v>
      </c>
      <c r="D34" t="s">
        <v>36</v>
      </c>
      <c r="E34">
        <v>1</v>
      </c>
      <c r="F34">
        <v>10.3</v>
      </c>
      <c r="G34">
        <v>1</v>
      </c>
      <c r="H34">
        <v>0</v>
      </c>
      <c r="I34">
        <v>0</v>
      </c>
      <c r="J34">
        <v>0</v>
      </c>
      <c r="K34">
        <v>1</v>
      </c>
      <c r="L34">
        <v>100</v>
      </c>
      <c r="M34">
        <v>2</v>
      </c>
      <c r="N34">
        <v>50</v>
      </c>
      <c r="O34">
        <v>0.11</v>
      </c>
      <c r="P34">
        <v>4</v>
      </c>
      <c r="Q34">
        <v>2</v>
      </c>
      <c r="R34">
        <v>3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 t="s">
        <v>37</v>
      </c>
    </row>
    <row r="35" spans="1:35" x14ac:dyDescent="0.2">
      <c r="A35">
        <v>111</v>
      </c>
      <c r="B35" t="s">
        <v>231</v>
      </c>
      <c r="C35" t="s">
        <v>61</v>
      </c>
      <c r="D35" t="s">
        <v>57</v>
      </c>
      <c r="E35">
        <v>1</v>
      </c>
      <c r="F35">
        <v>15.85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37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2</v>
      </c>
      <c r="AF35">
        <v>0</v>
      </c>
      <c r="AG35">
        <v>0</v>
      </c>
      <c r="AH35">
        <v>0</v>
      </c>
      <c r="AI35" t="s">
        <v>37</v>
      </c>
    </row>
    <row r="36" spans="1:35" x14ac:dyDescent="0.2">
      <c r="A36">
        <v>143</v>
      </c>
      <c r="B36" t="s">
        <v>258</v>
      </c>
      <c r="C36" t="s">
        <v>56</v>
      </c>
      <c r="D36" t="s">
        <v>36</v>
      </c>
      <c r="E36">
        <v>1</v>
      </c>
      <c r="F36">
        <v>9.2333333333333005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37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1</v>
      </c>
      <c r="AF36">
        <v>2</v>
      </c>
      <c r="AG36">
        <v>0</v>
      </c>
      <c r="AH36">
        <v>1</v>
      </c>
      <c r="AI36">
        <v>0</v>
      </c>
    </row>
    <row r="37" spans="1:35" x14ac:dyDescent="0.2">
      <c r="A37">
        <v>144</v>
      </c>
      <c r="B37" t="s">
        <v>111</v>
      </c>
      <c r="C37" t="s">
        <v>87</v>
      </c>
      <c r="D37" t="s">
        <v>46</v>
      </c>
      <c r="E37">
        <v>1</v>
      </c>
      <c r="F37">
        <v>23.75</v>
      </c>
      <c r="G37">
        <v>0</v>
      </c>
      <c r="H37">
        <v>1</v>
      </c>
      <c r="I37">
        <v>1</v>
      </c>
      <c r="J37">
        <v>0</v>
      </c>
      <c r="K37">
        <v>1</v>
      </c>
      <c r="L37">
        <v>100</v>
      </c>
      <c r="M37">
        <v>2</v>
      </c>
      <c r="N37">
        <v>0</v>
      </c>
      <c r="O37">
        <v>0.45</v>
      </c>
      <c r="P37">
        <v>5</v>
      </c>
      <c r="Q37">
        <v>5</v>
      </c>
      <c r="R37">
        <v>4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 t="s">
        <v>37</v>
      </c>
    </row>
    <row r="38" spans="1:35" x14ac:dyDescent="0.2">
      <c r="A38">
        <v>94</v>
      </c>
      <c r="B38" t="s">
        <v>222</v>
      </c>
      <c r="C38" t="s">
        <v>74</v>
      </c>
      <c r="D38" t="s">
        <v>57</v>
      </c>
      <c r="E38">
        <v>1</v>
      </c>
      <c r="F38">
        <v>27.9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37</v>
      </c>
      <c r="M38">
        <v>2</v>
      </c>
      <c r="N38">
        <v>0</v>
      </c>
      <c r="O38">
        <v>0.03</v>
      </c>
      <c r="P38">
        <v>3</v>
      </c>
      <c r="Q38">
        <v>2</v>
      </c>
      <c r="R38">
        <v>0</v>
      </c>
      <c r="S38">
        <v>0</v>
      </c>
      <c r="T38">
        <v>0</v>
      </c>
      <c r="U38">
        <v>1</v>
      </c>
      <c r="V38">
        <v>2</v>
      </c>
      <c r="W38">
        <v>1</v>
      </c>
      <c r="X38">
        <v>1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2</v>
      </c>
      <c r="AF38">
        <v>2</v>
      </c>
      <c r="AG38">
        <v>0</v>
      </c>
      <c r="AH38">
        <v>0</v>
      </c>
      <c r="AI38" t="s">
        <v>37</v>
      </c>
    </row>
    <row r="39" spans="1:35" x14ac:dyDescent="0.2">
      <c r="A39">
        <v>186</v>
      </c>
      <c r="B39" t="s">
        <v>282</v>
      </c>
      <c r="C39" t="s">
        <v>117</v>
      </c>
      <c r="D39" t="s">
        <v>57</v>
      </c>
      <c r="E39">
        <v>1</v>
      </c>
      <c r="F39">
        <v>11.7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37</v>
      </c>
      <c r="M39">
        <v>0</v>
      </c>
      <c r="N39" t="s">
        <v>37</v>
      </c>
      <c r="O39">
        <v>0</v>
      </c>
      <c r="P39">
        <v>4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3</v>
      </c>
      <c r="AE39">
        <v>1</v>
      </c>
      <c r="AF39">
        <v>0</v>
      </c>
      <c r="AG39">
        <v>0</v>
      </c>
      <c r="AH39">
        <v>0</v>
      </c>
      <c r="AI39" t="s">
        <v>37</v>
      </c>
    </row>
    <row r="40" spans="1:35" x14ac:dyDescent="0.2">
      <c r="A40">
        <v>15</v>
      </c>
      <c r="B40" t="s">
        <v>168</v>
      </c>
      <c r="C40" t="s">
        <v>45</v>
      </c>
      <c r="D40" t="s">
        <v>42</v>
      </c>
      <c r="E40">
        <v>1</v>
      </c>
      <c r="F40">
        <v>16.383333333332999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37</v>
      </c>
      <c r="M40">
        <v>3</v>
      </c>
      <c r="N40">
        <v>0</v>
      </c>
      <c r="O40">
        <v>0.56000000000000005</v>
      </c>
      <c r="P40">
        <v>4</v>
      </c>
      <c r="Q40">
        <v>3</v>
      </c>
      <c r="R40">
        <v>3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9</v>
      </c>
      <c r="AH40">
        <v>7</v>
      </c>
      <c r="AI40">
        <v>56.25</v>
      </c>
    </row>
    <row r="41" spans="1:35" x14ac:dyDescent="0.2">
      <c r="A41">
        <v>22</v>
      </c>
      <c r="B41" t="s">
        <v>173</v>
      </c>
      <c r="C41" t="s">
        <v>41</v>
      </c>
      <c r="D41" t="s">
        <v>57</v>
      </c>
      <c r="E41">
        <v>1</v>
      </c>
      <c r="F41">
        <v>20.383333333332999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37</v>
      </c>
      <c r="M41">
        <v>0</v>
      </c>
      <c r="N41" t="s">
        <v>37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1</v>
      </c>
      <c r="AF41">
        <v>2</v>
      </c>
      <c r="AG41">
        <v>0</v>
      </c>
      <c r="AH41">
        <v>0</v>
      </c>
      <c r="AI41" t="s">
        <v>37</v>
      </c>
    </row>
    <row r="42" spans="1:35" x14ac:dyDescent="0.2">
      <c r="A42">
        <v>239</v>
      </c>
      <c r="B42" t="s">
        <v>311</v>
      </c>
      <c r="C42" t="s">
        <v>85</v>
      </c>
      <c r="D42" t="s">
        <v>46</v>
      </c>
      <c r="E42">
        <v>1</v>
      </c>
      <c r="F42">
        <v>9.0166666666666995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37</v>
      </c>
      <c r="M42">
        <v>2</v>
      </c>
      <c r="N42">
        <v>0</v>
      </c>
      <c r="O42">
        <v>0.14000000000000001</v>
      </c>
      <c r="P42">
        <v>2</v>
      </c>
      <c r="Q42">
        <v>2</v>
      </c>
      <c r="R42">
        <v>2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2</v>
      </c>
      <c r="AE42">
        <v>0</v>
      </c>
      <c r="AF42">
        <v>0</v>
      </c>
      <c r="AG42">
        <v>0</v>
      </c>
      <c r="AH42">
        <v>0</v>
      </c>
      <c r="AI42" t="s">
        <v>37</v>
      </c>
    </row>
    <row r="43" spans="1:35" x14ac:dyDescent="0.2">
      <c r="A43">
        <v>1</v>
      </c>
      <c r="B43" t="s">
        <v>159</v>
      </c>
      <c r="C43" t="s">
        <v>48</v>
      </c>
      <c r="D43" t="s">
        <v>57</v>
      </c>
      <c r="E43">
        <v>1</v>
      </c>
      <c r="F43">
        <v>17.899999999999999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37</v>
      </c>
      <c r="M43">
        <v>1</v>
      </c>
      <c r="N43">
        <v>0</v>
      </c>
      <c r="O43">
        <v>7.0000000000000007E-2</v>
      </c>
      <c r="P43">
        <v>4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 t="s">
        <v>37</v>
      </c>
    </row>
    <row r="44" spans="1:35" x14ac:dyDescent="0.2">
      <c r="A44">
        <v>79</v>
      </c>
      <c r="B44" t="s">
        <v>214</v>
      </c>
      <c r="C44" t="s">
        <v>41</v>
      </c>
      <c r="D44" t="s">
        <v>57</v>
      </c>
      <c r="E44">
        <v>1</v>
      </c>
      <c r="F44">
        <v>23.933333333333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37</v>
      </c>
      <c r="O44">
        <v>0.01</v>
      </c>
      <c r="P44">
        <v>2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3</v>
      </c>
      <c r="AF44">
        <v>1</v>
      </c>
      <c r="AG44">
        <v>0</v>
      </c>
      <c r="AH44">
        <v>0</v>
      </c>
      <c r="AI44" t="s">
        <v>37</v>
      </c>
    </row>
    <row r="45" spans="1:35" x14ac:dyDescent="0.2">
      <c r="A45">
        <v>112</v>
      </c>
      <c r="B45" t="s">
        <v>107</v>
      </c>
      <c r="C45" t="s">
        <v>59</v>
      </c>
      <c r="D45" t="s">
        <v>36</v>
      </c>
      <c r="E45">
        <v>1</v>
      </c>
      <c r="F45">
        <v>20.433333333333</v>
      </c>
      <c r="G45">
        <v>1</v>
      </c>
      <c r="H45">
        <v>0</v>
      </c>
      <c r="I45">
        <v>0</v>
      </c>
      <c r="J45">
        <v>0</v>
      </c>
      <c r="K45">
        <v>1</v>
      </c>
      <c r="L45">
        <v>100</v>
      </c>
      <c r="M45">
        <v>2</v>
      </c>
      <c r="N45">
        <v>50</v>
      </c>
      <c r="O45">
        <v>0.34</v>
      </c>
      <c r="P45">
        <v>6</v>
      </c>
      <c r="Q45">
        <v>4</v>
      </c>
      <c r="R45">
        <v>2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</row>
    <row r="46" spans="1:35" x14ac:dyDescent="0.2">
      <c r="A46">
        <v>27</v>
      </c>
      <c r="B46" t="s">
        <v>177</v>
      </c>
      <c r="C46" t="s">
        <v>48</v>
      </c>
      <c r="D46" t="s">
        <v>42</v>
      </c>
      <c r="E46">
        <v>1</v>
      </c>
      <c r="F46">
        <v>22.633333333332999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0.2</v>
      </c>
      <c r="P46">
        <v>4</v>
      </c>
      <c r="Q46">
        <v>2</v>
      </c>
      <c r="R46">
        <v>3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9</v>
      </c>
      <c r="AH46">
        <v>9</v>
      </c>
      <c r="AI46">
        <v>50</v>
      </c>
    </row>
    <row r="47" spans="1:35" x14ac:dyDescent="0.2">
      <c r="A47">
        <v>161</v>
      </c>
      <c r="B47" t="s">
        <v>120</v>
      </c>
      <c r="C47" t="s">
        <v>48</v>
      </c>
      <c r="D47" t="s">
        <v>57</v>
      </c>
      <c r="E47">
        <v>1</v>
      </c>
      <c r="F47">
        <v>26.35</v>
      </c>
      <c r="G47">
        <v>1</v>
      </c>
      <c r="H47">
        <v>0</v>
      </c>
      <c r="I47">
        <v>0</v>
      </c>
      <c r="J47">
        <v>0</v>
      </c>
      <c r="K47">
        <v>1</v>
      </c>
      <c r="L47">
        <v>50</v>
      </c>
      <c r="M47">
        <v>2</v>
      </c>
      <c r="N47">
        <v>50</v>
      </c>
      <c r="O47">
        <v>0.25</v>
      </c>
      <c r="P47">
        <v>11</v>
      </c>
      <c r="Q47">
        <v>6</v>
      </c>
      <c r="R47">
        <v>5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 t="s">
        <v>37</v>
      </c>
    </row>
    <row r="48" spans="1:35" x14ac:dyDescent="0.2">
      <c r="A48">
        <v>24</v>
      </c>
      <c r="B48" t="s">
        <v>175</v>
      </c>
      <c r="C48" t="s">
        <v>61</v>
      </c>
      <c r="D48" t="s">
        <v>42</v>
      </c>
      <c r="E48">
        <v>1</v>
      </c>
      <c r="F48">
        <v>8.6999999999999993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37</v>
      </c>
      <c r="M48">
        <v>1</v>
      </c>
      <c r="N48">
        <v>0</v>
      </c>
      <c r="O48">
        <v>0.02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37</v>
      </c>
    </row>
    <row r="49" spans="1:35" x14ac:dyDescent="0.2">
      <c r="A49">
        <v>29</v>
      </c>
      <c r="B49" t="s">
        <v>81</v>
      </c>
      <c r="C49" t="s">
        <v>45</v>
      </c>
      <c r="D49" t="s">
        <v>57</v>
      </c>
      <c r="E49">
        <v>1</v>
      </c>
      <c r="F49">
        <v>19.533333333333001</v>
      </c>
      <c r="G49">
        <v>0</v>
      </c>
      <c r="H49">
        <v>1</v>
      </c>
      <c r="I49">
        <v>0</v>
      </c>
      <c r="J49">
        <v>1</v>
      </c>
      <c r="K49">
        <v>1</v>
      </c>
      <c r="L49">
        <v>100</v>
      </c>
      <c r="M49">
        <v>0</v>
      </c>
      <c r="N49" t="s">
        <v>37</v>
      </c>
      <c r="O49">
        <v>0.03</v>
      </c>
      <c r="P49">
        <v>3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 t="s">
        <v>37</v>
      </c>
    </row>
    <row r="50" spans="1:35" x14ac:dyDescent="0.2">
      <c r="A50">
        <v>191</v>
      </c>
      <c r="B50" t="s">
        <v>125</v>
      </c>
      <c r="C50" t="s">
        <v>35</v>
      </c>
      <c r="D50" t="s">
        <v>57</v>
      </c>
      <c r="E50">
        <v>1</v>
      </c>
      <c r="F50">
        <v>21.55</v>
      </c>
      <c r="G50">
        <v>0</v>
      </c>
      <c r="H50">
        <v>1</v>
      </c>
      <c r="I50">
        <v>0</v>
      </c>
      <c r="J50">
        <v>1</v>
      </c>
      <c r="K50">
        <v>1</v>
      </c>
      <c r="L50">
        <v>33.33</v>
      </c>
      <c r="M50">
        <v>1</v>
      </c>
      <c r="N50">
        <v>0</v>
      </c>
      <c r="O50">
        <v>0.04</v>
      </c>
      <c r="P50">
        <v>3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>
        <v>2</v>
      </c>
      <c r="AG50">
        <v>0</v>
      </c>
      <c r="AH50">
        <v>0</v>
      </c>
      <c r="AI50" t="s">
        <v>37</v>
      </c>
    </row>
    <row r="51" spans="1:35" x14ac:dyDescent="0.2">
      <c r="A51">
        <v>134</v>
      </c>
      <c r="B51" t="s">
        <v>251</v>
      </c>
      <c r="C51" t="s">
        <v>35</v>
      </c>
      <c r="D51" t="s">
        <v>36</v>
      </c>
      <c r="E51">
        <v>1</v>
      </c>
      <c r="F51">
        <v>11.5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37</v>
      </c>
      <c r="M51">
        <v>0</v>
      </c>
      <c r="N51" t="s">
        <v>37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3</v>
      </c>
      <c r="AF51">
        <v>0</v>
      </c>
      <c r="AG51">
        <v>0</v>
      </c>
      <c r="AH51">
        <v>0</v>
      </c>
      <c r="AI51" t="s">
        <v>37</v>
      </c>
    </row>
    <row r="52" spans="1:35" x14ac:dyDescent="0.2">
      <c r="A52">
        <v>69</v>
      </c>
      <c r="B52" t="s">
        <v>205</v>
      </c>
      <c r="C52" t="s">
        <v>85</v>
      </c>
      <c r="D52" t="s">
        <v>57</v>
      </c>
      <c r="E52">
        <v>1</v>
      </c>
      <c r="F52">
        <v>12.833333333333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37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1</v>
      </c>
      <c r="X52">
        <v>1</v>
      </c>
      <c r="Y52">
        <v>0</v>
      </c>
      <c r="Z52">
        <v>0</v>
      </c>
      <c r="AA52">
        <v>0</v>
      </c>
      <c r="AB52">
        <v>2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 t="s">
        <v>37</v>
      </c>
    </row>
    <row r="53" spans="1:35" x14ac:dyDescent="0.2">
      <c r="A53">
        <v>62</v>
      </c>
      <c r="B53" t="s">
        <v>201</v>
      </c>
      <c r="C53" t="s">
        <v>74</v>
      </c>
      <c r="D53" t="s">
        <v>42</v>
      </c>
      <c r="E53">
        <v>1</v>
      </c>
      <c r="F53">
        <v>15.9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37</v>
      </c>
      <c r="M53">
        <v>0</v>
      </c>
      <c r="N53" t="s">
        <v>37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10</v>
      </c>
      <c r="AH53">
        <v>7</v>
      </c>
      <c r="AI53">
        <v>58.82</v>
      </c>
    </row>
    <row r="54" spans="1:35" x14ac:dyDescent="0.2">
      <c r="A54">
        <v>167</v>
      </c>
      <c r="B54" t="s">
        <v>266</v>
      </c>
      <c r="C54" t="s">
        <v>87</v>
      </c>
      <c r="D54" t="s">
        <v>57</v>
      </c>
      <c r="E54">
        <v>1</v>
      </c>
      <c r="F54">
        <v>20.85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37</v>
      </c>
      <c r="O54">
        <v>0.05</v>
      </c>
      <c r="P54">
        <v>3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4</v>
      </c>
      <c r="AE54">
        <v>0</v>
      </c>
      <c r="AF54">
        <v>1</v>
      </c>
      <c r="AG54">
        <v>0</v>
      </c>
      <c r="AH54">
        <v>0</v>
      </c>
      <c r="AI54" t="s">
        <v>37</v>
      </c>
    </row>
    <row r="55" spans="1:35" x14ac:dyDescent="0.2">
      <c r="A55">
        <v>18</v>
      </c>
      <c r="B55" t="s">
        <v>78</v>
      </c>
      <c r="C55" t="s">
        <v>64</v>
      </c>
      <c r="D55" t="s">
        <v>46</v>
      </c>
      <c r="E55">
        <v>1</v>
      </c>
      <c r="F55">
        <v>16.8</v>
      </c>
      <c r="G55">
        <v>1</v>
      </c>
      <c r="H55">
        <v>0</v>
      </c>
      <c r="I55">
        <v>0</v>
      </c>
      <c r="J55">
        <v>0</v>
      </c>
      <c r="K55">
        <v>1</v>
      </c>
      <c r="L55">
        <v>50</v>
      </c>
      <c r="M55">
        <v>1</v>
      </c>
      <c r="N55">
        <v>100</v>
      </c>
      <c r="O55">
        <v>0.49</v>
      </c>
      <c r="P55">
        <v>4</v>
      </c>
      <c r="Q55">
        <v>2</v>
      </c>
      <c r="R55">
        <v>4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</row>
    <row r="56" spans="1:35" x14ac:dyDescent="0.2">
      <c r="A56">
        <v>96</v>
      </c>
      <c r="B56" t="s">
        <v>224</v>
      </c>
      <c r="C56" t="s">
        <v>35</v>
      </c>
      <c r="D56" t="s">
        <v>42</v>
      </c>
      <c r="E56">
        <v>1</v>
      </c>
      <c r="F56">
        <v>20.8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37</v>
      </c>
      <c r="M56">
        <v>3</v>
      </c>
      <c r="N56">
        <v>0</v>
      </c>
      <c r="O56">
        <v>0.54</v>
      </c>
      <c r="P56">
        <v>5</v>
      </c>
      <c r="Q56">
        <v>4</v>
      </c>
      <c r="R56">
        <v>4</v>
      </c>
      <c r="S56">
        <v>2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6</v>
      </c>
      <c r="AC56">
        <v>0</v>
      </c>
      <c r="AD56">
        <v>0</v>
      </c>
      <c r="AE56">
        <v>0</v>
      </c>
      <c r="AF56">
        <v>1</v>
      </c>
      <c r="AG56">
        <v>7</v>
      </c>
      <c r="AH56">
        <v>8</v>
      </c>
      <c r="AI56">
        <v>46.67</v>
      </c>
    </row>
    <row r="57" spans="1:35" x14ac:dyDescent="0.2">
      <c r="A57">
        <v>149</v>
      </c>
      <c r="B57" t="s">
        <v>40</v>
      </c>
      <c r="C57" t="s">
        <v>41</v>
      </c>
      <c r="D57" t="s">
        <v>42</v>
      </c>
      <c r="E57">
        <v>1</v>
      </c>
      <c r="F57">
        <v>12.466666666667001</v>
      </c>
      <c r="G57">
        <v>2</v>
      </c>
      <c r="H57">
        <v>1</v>
      </c>
      <c r="I57">
        <v>0</v>
      </c>
      <c r="J57">
        <v>1</v>
      </c>
      <c r="K57">
        <v>3</v>
      </c>
      <c r="L57">
        <v>100</v>
      </c>
      <c r="M57">
        <v>4</v>
      </c>
      <c r="N57">
        <v>50</v>
      </c>
      <c r="O57">
        <v>0.38</v>
      </c>
      <c r="P57">
        <v>4</v>
      </c>
      <c r="Q57">
        <v>4</v>
      </c>
      <c r="R57">
        <v>3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4</v>
      </c>
      <c r="AH57">
        <v>7</v>
      </c>
      <c r="AI57">
        <v>36.36</v>
      </c>
    </row>
    <row r="58" spans="1:35" x14ac:dyDescent="0.2">
      <c r="A58">
        <v>35</v>
      </c>
      <c r="B58" t="s">
        <v>180</v>
      </c>
      <c r="C58" t="s">
        <v>52</v>
      </c>
      <c r="D58" t="s">
        <v>42</v>
      </c>
      <c r="E58">
        <v>1</v>
      </c>
      <c r="F58">
        <v>10.633333333333001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37</v>
      </c>
      <c r="M58">
        <v>0</v>
      </c>
      <c r="N58" t="s">
        <v>37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4</v>
      </c>
      <c r="AH58">
        <v>2</v>
      </c>
      <c r="AI58">
        <v>66.67</v>
      </c>
    </row>
    <row r="59" spans="1:35" x14ac:dyDescent="0.2">
      <c r="A59">
        <v>286</v>
      </c>
      <c r="B59" t="s">
        <v>71</v>
      </c>
      <c r="C59" t="s">
        <v>69</v>
      </c>
      <c r="D59" t="s">
        <v>36</v>
      </c>
      <c r="E59">
        <v>1</v>
      </c>
      <c r="F59">
        <v>19.216666666666999</v>
      </c>
      <c r="G59">
        <v>0</v>
      </c>
      <c r="H59">
        <v>2</v>
      </c>
      <c r="I59">
        <v>0</v>
      </c>
      <c r="J59">
        <v>2</v>
      </c>
      <c r="K59">
        <v>2</v>
      </c>
      <c r="L59">
        <v>100</v>
      </c>
      <c r="M59">
        <v>0</v>
      </c>
      <c r="N59" t="s">
        <v>37</v>
      </c>
      <c r="O59">
        <v>0.02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2</v>
      </c>
      <c r="W59">
        <v>1</v>
      </c>
      <c r="X59">
        <v>1</v>
      </c>
      <c r="Y59">
        <v>0</v>
      </c>
      <c r="Z59">
        <v>0</v>
      </c>
      <c r="AA59">
        <v>0</v>
      </c>
      <c r="AB59">
        <v>2</v>
      </c>
      <c r="AC59">
        <v>1</v>
      </c>
      <c r="AD59">
        <v>2</v>
      </c>
      <c r="AE59">
        <v>0</v>
      </c>
      <c r="AF59">
        <v>0</v>
      </c>
      <c r="AG59">
        <v>0</v>
      </c>
      <c r="AH59">
        <v>0</v>
      </c>
      <c r="AI59" t="s">
        <v>37</v>
      </c>
    </row>
    <row r="60" spans="1:35" x14ac:dyDescent="0.2">
      <c r="A60">
        <v>60</v>
      </c>
      <c r="B60" t="s">
        <v>199</v>
      </c>
      <c r="C60" t="s">
        <v>45</v>
      </c>
      <c r="D60" t="s">
        <v>57</v>
      </c>
      <c r="E60">
        <v>1</v>
      </c>
      <c r="F60">
        <v>21.883333333332999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37</v>
      </c>
      <c r="M60">
        <v>1</v>
      </c>
      <c r="N60">
        <v>0</v>
      </c>
      <c r="O60">
        <v>7.0000000000000007E-2</v>
      </c>
      <c r="P60">
        <v>5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</v>
      </c>
      <c r="AD60">
        <v>2</v>
      </c>
      <c r="AE60">
        <v>2</v>
      </c>
      <c r="AF60">
        <v>3</v>
      </c>
      <c r="AG60">
        <v>0</v>
      </c>
      <c r="AH60">
        <v>0</v>
      </c>
      <c r="AI60" t="s">
        <v>37</v>
      </c>
    </row>
    <row r="61" spans="1:35" x14ac:dyDescent="0.2">
      <c r="A61">
        <v>264</v>
      </c>
      <c r="B61" t="s">
        <v>326</v>
      </c>
      <c r="C61" t="s">
        <v>148</v>
      </c>
      <c r="D61" t="s">
        <v>42</v>
      </c>
      <c r="E61">
        <v>1</v>
      </c>
      <c r="F61">
        <v>21.6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37</v>
      </c>
      <c r="M61">
        <v>0</v>
      </c>
      <c r="N61" t="s">
        <v>37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 t="s">
        <v>37</v>
      </c>
    </row>
    <row r="62" spans="1:35" x14ac:dyDescent="0.2">
      <c r="A62">
        <v>65</v>
      </c>
      <c r="B62" t="s">
        <v>94</v>
      </c>
      <c r="C62" t="s">
        <v>41</v>
      </c>
      <c r="D62" t="s">
        <v>36</v>
      </c>
      <c r="E62">
        <v>1</v>
      </c>
      <c r="F62">
        <v>18.616666666667001</v>
      </c>
      <c r="G62">
        <v>1</v>
      </c>
      <c r="H62">
        <v>0</v>
      </c>
      <c r="I62">
        <v>0</v>
      </c>
      <c r="J62">
        <v>0</v>
      </c>
      <c r="K62">
        <v>1</v>
      </c>
      <c r="L62">
        <v>50</v>
      </c>
      <c r="M62">
        <v>1</v>
      </c>
      <c r="N62">
        <v>100</v>
      </c>
      <c r="O62">
        <v>0.33</v>
      </c>
      <c r="P62">
        <v>4</v>
      </c>
      <c r="Q62">
        <v>3</v>
      </c>
      <c r="R62">
        <v>2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</row>
    <row r="63" spans="1:35" x14ac:dyDescent="0.2">
      <c r="A63">
        <v>197</v>
      </c>
      <c r="B63" t="s">
        <v>287</v>
      </c>
      <c r="C63" t="s">
        <v>56</v>
      </c>
      <c r="D63" t="s">
        <v>42</v>
      </c>
      <c r="E63">
        <v>1</v>
      </c>
      <c r="F63">
        <v>12.5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37</v>
      </c>
      <c r="M63">
        <v>1</v>
      </c>
      <c r="N63">
        <v>0</v>
      </c>
      <c r="O63">
        <v>0.18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 t="s">
        <v>37</v>
      </c>
    </row>
    <row r="64" spans="1:35" x14ac:dyDescent="0.2">
      <c r="A64">
        <v>49</v>
      </c>
      <c r="B64" t="s">
        <v>191</v>
      </c>
      <c r="C64" t="s">
        <v>148</v>
      </c>
      <c r="D64" t="s">
        <v>57</v>
      </c>
      <c r="E64">
        <v>1</v>
      </c>
      <c r="F64">
        <v>17.566666666667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37</v>
      </c>
      <c r="M64">
        <v>0</v>
      </c>
      <c r="N64" t="s">
        <v>37</v>
      </c>
      <c r="O64">
        <v>0.03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3</v>
      </c>
      <c r="AG64">
        <v>0</v>
      </c>
      <c r="AH64">
        <v>0</v>
      </c>
      <c r="AI64" t="s">
        <v>37</v>
      </c>
    </row>
    <row r="65" spans="1:35" x14ac:dyDescent="0.2">
      <c r="A65">
        <v>213</v>
      </c>
      <c r="B65" t="s">
        <v>137</v>
      </c>
      <c r="C65" t="s">
        <v>117</v>
      </c>
      <c r="D65" t="s">
        <v>42</v>
      </c>
      <c r="E65">
        <v>1</v>
      </c>
      <c r="F65">
        <v>14.4</v>
      </c>
      <c r="G65">
        <v>0</v>
      </c>
      <c r="H65">
        <v>1</v>
      </c>
      <c r="I65">
        <v>1</v>
      </c>
      <c r="J65">
        <v>0</v>
      </c>
      <c r="K65">
        <v>1</v>
      </c>
      <c r="L65">
        <v>100</v>
      </c>
      <c r="M65">
        <v>0</v>
      </c>
      <c r="N65" t="s">
        <v>37</v>
      </c>
      <c r="O65">
        <v>0.21</v>
      </c>
      <c r="P65">
        <v>2</v>
      </c>
      <c r="Q65">
        <v>1</v>
      </c>
      <c r="R65">
        <v>2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4</v>
      </c>
      <c r="AH65">
        <v>7</v>
      </c>
      <c r="AI65">
        <v>36.36</v>
      </c>
    </row>
    <row r="66" spans="1:35" x14ac:dyDescent="0.2">
      <c r="A66">
        <v>125</v>
      </c>
      <c r="B66" t="s">
        <v>242</v>
      </c>
      <c r="C66" t="s">
        <v>59</v>
      </c>
      <c r="D66" t="s">
        <v>36</v>
      </c>
      <c r="E66">
        <v>1</v>
      </c>
      <c r="F66">
        <v>15.483333333333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37</v>
      </c>
      <c r="M66">
        <v>0</v>
      </c>
      <c r="N66" t="s">
        <v>37</v>
      </c>
      <c r="O66">
        <v>0.09</v>
      </c>
      <c r="P66">
        <v>3</v>
      </c>
      <c r="Q66">
        <v>1</v>
      </c>
      <c r="R66">
        <v>1</v>
      </c>
      <c r="S66">
        <v>0</v>
      </c>
      <c r="T66">
        <v>0</v>
      </c>
      <c r="U66">
        <v>0</v>
      </c>
      <c r="V66">
        <v>4</v>
      </c>
      <c r="W66">
        <v>1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1</v>
      </c>
      <c r="AI66">
        <v>50</v>
      </c>
    </row>
    <row r="67" spans="1:35" x14ac:dyDescent="0.2">
      <c r="A67">
        <v>248</v>
      </c>
      <c r="B67" t="s">
        <v>63</v>
      </c>
      <c r="C67" t="s">
        <v>64</v>
      </c>
      <c r="D67" t="s">
        <v>46</v>
      </c>
      <c r="E67">
        <v>1</v>
      </c>
      <c r="F67">
        <v>17.216666666666999</v>
      </c>
      <c r="G67">
        <v>1</v>
      </c>
      <c r="H67">
        <v>1</v>
      </c>
      <c r="I67">
        <v>1</v>
      </c>
      <c r="J67">
        <v>0</v>
      </c>
      <c r="K67">
        <v>2</v>
      </c>
      <c r="L67">
        <v>100</v>
      </c>
      <c r="M67">
        <v>7</v>
      </c>
      <c r="N67">
        <v>14.29</v>
      </c>
      <c r="O67">
        <v>0.23</v>
      </c>
      <c r="P67">
        <v>9</v>
      </c>
      <c r="Q67">
        <v>9</v>
      </c>
      <c r="R67">
        <v>2</v>
      </c>
      <c r="S67">
        <v>0</v>
      </c>
      <c r="T67">
        <v>0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2</v>
      </c>
      <c r="AE67">
        <v>0</v>
      </c>
      <c r="AF67">
        <v>0</v>
      </c>
      <c r="AG67">
        <v>2</v>
      </c>
      <c r="AH67">
        <v>1</v>
      </c>
      <c r="AI67">
        <v>66.67</v>
      </c>
    </row>
    <row r="68" spans="1:35" x14ac:dyDescent="0.2">
      <c r="A68">
        <v>267</v>
      </c>
      <c r="B68" t="s">
        <v>153</v>
      </c>
      <c r="C68" t="s">
        <v>45</v>
      </c>
      <c r="D68" t="s">
        <v>36</v>
      </c>
      <c r="E68">
        <v>1</v>
      </c>
      <c r="F68">
        <v>13.35</v>
      </c>
      <c r="G68">
        <v>1</v>
      </c>
      <c r="H68">
        <v>0</v>
      </c>
      <c r="I68">
        <v>0</v>
      </c>
      <c r="J68">
        <v>0</v>
      </c>
      <c r="K68">
        <v>1</v>
      </c>
      <c r="L68">
        <v>100</v>
      </c>
      <c r="M68">
        <v>1</v>
      </c>
      <c r="N68">
        <v>100</v>
      </c>
      <c r="O68">
        <v>0.23</v>
      </c>
      <c r="P68">
        <v>3</v>
      </c>
      <c r="Q68">
        <v>2</v>
      </c>
      <c r="R68">
        <v>2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6</v>
      </c>
      <c r="AH68">
        <v>10</v>
      </c>
      <c r="AI68">
        <v>37.5</v>
      </c>
    </row>
    <row r="69" spans="1:35" x14ac:dyDescent="0.2">
      <c r="A69">
        <v>98</v>
      </c>
      <c r="B69" t="s">
        <v>225</v>
      </c>
      <c r="C69" t="s">
        <v>87</v>
      </c>
      <c r="D69" t="s">
        <v>57</v>
      </c>
      <c r="E69">
        <v>1</v>
      </c>
      <c r="F69">
        <v>26.85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37</v>
      </c>
      <c r="M69">
        <v>5</v>
      </c>
      <c r="N69">
        <v>0</v>
      </c>
      <c r="O69">
        <v>0.27</v>
      </c>
      <c r="P69">
        <v>8</v>
      </c>
      <c r="Q69">
        <v>7</v>
      </c>
      <c r="R69">
        <v>3</v>
      </c>
      <c r="S69">
        <v>0</v>
      </c>
      <c r="T69">
        <v>0</v>
      </c>
      <c r="U69">
        <v>1</v>
      </c>
      <c r="V69">
        <v>2</v>
      </c>
      <c r="W69">
        <v>1</v>
      </c>
      <c r="X69">
        <v>1</v>
      </c>
      <c r="Y69">
        <v>0</v>
      </c>
      <c r="Z69">
        <v>0</v>
      </c>
      <c r="AA69">
        <v>0</v>
      </c>
      <c r="AB69">
        <v>2</v>
      </c>
      <c r="AC69">
        <v>0</v>
      </c>
      <c r="AD69">
        <v>1</v>
      </c>
      <c r="AE69">
        <v>1</v>
      </c>
      <c r="AF69">
        <v>1</v>
      </c>
      <c r="AG69">
        <v>0</v>
      </c>
      <c r="AH69">
        <v>0</v>
      </c>
      <c r="AI69" t="s">
        <v>37</v>
      </c>
    </row>
    <row r="70" spans="1:35" x14ac:dyDescent="0.2">
      <c r="A70">
        <v>163</v>
      </c>
      <c r="B70" t="s">
        <v>264</v>
      </c>
      <c r="C70" t="s">
        <v>59</v>
      </c>
      <c r="D70" t="s">
        <v>42</v>
      </c>
      <c r="E70">
        <v>1</v>
      </c>
      <c r="F70">
        <v>12.533333333332999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37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3</v>
      </c>
      <c r="AH70">
        <v>6</v>
      </c>
      <c r="AI70">
        <v>33.33</v>
      </c>
    </row>
    <row r="71" spans="1:35" x14ac:dyDescent="0.2">
      <c r="A71">
        <v>218</v>
      </c>
      <c r="B71" t="s">
        <v>298</v>
      </c>
      <c r="C71" t="s">
        <v>41</v>
      </c>
      <c r="D71" t="s">
        <v>42</v>
      </c>
      <c r="E71">
        <v>1</v>
      </c>
      <c r="F71">
        <v>19.05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37</v>
      </c>
      <c r="M71">
        <v>0</v>
      </c>
      <c r="N71" t="s">
        <v>37</v>
      </c>
      <c r="O71">
        <v>0.09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3</v>
      </c>
      <c r="AF71">
        <v>1</v>
      </c>
      <c r="AG71">
        <v>0</v>
      </c>
      <c r="AH71">
        <v>1</v>
      </c>
      <c r="AI71">
        <v>0</v>
      </c>
    </row>
    <row r="72" spans="1:35" x14ac:dyDescent="0.2">
      <c r="A72">
        <v>247</v>
      </c>
      <c r="B72" t="s">
        <v>318</v>
      </c>
      <c r="C72" t="s">
        <v>87</v>
      </c>
      <c r="D72" t="s">
        <v>57</v>
      </c>
      <c r="E72">
        <v>1</v>
      </c>
      <c r="F72">
        <v>12.35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37</v>
      </c>
      <c r="M72">
        <v>0</v>
      </c>
      <c r="N72" t="s">
        <v>37</v>
      </c>
      <c r="O72">
        <v>0</v>
      </c>
      <c r="P72">
        <v>2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 t="s">
        <v>37</v>
      </c>
    </row>
    <row r="73" spans="1:35" x14ac:dyDescent="0.2">
      <c r="A73">
        <v>263</v>
      </c>
      <c r="B73" t="s">
        <v>66</v>
      </c>
      <c r="C73" t="s">
        <v>35</v>
      </c>
      <c r="D73" t="s">
        <v>42</v>
      </c>
      <c r="E73">
        <v>1</v>
      </c>
      <c r="F73">
        <v>13.85</v>
      </c>
      <c r="G73">
        <v>1</v>
      </c>
      <c r="H73">
        <v>1</v>
      </c>
      <c r="I73">
        <v>1</v>
      </c>
      <c r="J73">
        <v>0</v>
      </c>
      <c r="K73">
        <v>2</v>
      </c>
      <c r="L73">
        <v>66.67</v>
      </c>
      <c r="M73">
        <v>2</v>
      </c>
      <c r="N73">
        <v>50</v>
      </c>
      <c r="O73">
        <v>0.09</v>
      </c>
      <c r="P73">
        <v>2</v>
      </c>
      <c r="Q73">
        <v>2</v>
      </c>
      <c r="R73">
        <v>1</v>
      </c>
      <c r="S73">
        <v>0</v>
      </c>
      <c r="T73">
        <v>0</v>
      </c>
      <c r="U73">
        <v>0</v>
      </c>
      <c r="V73">
        <v>2</v>
      </c>
      <c r="W73">
        <v>1</v>
      </c>
      <c r="X73">
        <v>1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37</v>
      </c>
    </row>
    <row r="74" spans="1:35" x14ac:dyDescent="0.2">
      <c r="A74">
        <v>15</v>
      </c>
      <c r="B74" t="s">
        <v>350</v>
      </c>
      <c r="C74" t="s">
        <v>117</v>
      </c>
      <c r="D74" t="s">
        <v>346</v>
      </c>
      <c r="E74">
        <v>1</v>
      </c>
      <c r="F74">
        <v>58.333333333333002</v>
      </c>
    </row>
    <row r="75" spans="1:35" x14ac:dyDescent="0.2">
      <c r="A75">
        <v>20</v>
      </c>
      <c r="B75" t="s">
        <v>171</v>
      </c>
      <c r="C75" t="s">
        <v>69</v>
      </c>
      <c r="D75" t="s">
        <v>57</v>
      </c>
      <c r="E75">
        <v>1</v>
      </c>
      <c r="F75">
        <v>20.666666666666998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0.06</v>
      </c>
      <c r="P75">
        <v>2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2</v>
      </c>
      <c r="AE75">
        <v>1</v>
      </c>
      <c r="AF75">
        <v>0</v>
      </c>
      <c r="AG75">
        <v>0</v>
      </c>
      <c r="AH75">
        <v>0</v>
      </c>
      <c r="AI75" t="s">
        <v>37</v>
      </c>
    </row>
    <row r="76" spans="1:35" x14ac:dyDescent="0.2">
      <c r="A76">
        <v>261</v>
      </c>
      <c r="B76" t="s">
        <v>325</v>
      </c>
      <c r="C76" t="s">
        <v>87</v>
      </c>
      <c r="D76" t="s">
        <v>42</v>
      </c>
      <c r="E76">
        <v>1</v>
      </c>
      <c r="F76">
        <v>12.633333333333001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37</v>
      </c>
      <c r="M76">
        <v>2</v>
      </c>
      <c r="N76">
        <v>0</v>
      </c>
      <c r="O76">
        <v>0.16</v>
      </c>
      <c r="P76">
        <v>3</v>
      </c>
      <c r="Q76">
        <v>3</v>
      </c>
      <c r="R76">
        <v>2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2</v>
      </c>
      <c r="AE76">
        <v>1</v>
      </c>
      <c r="AF76">
        <v>1</v>
      </c>
      <c r="AG76">
        <v>4</v>
      </c>
      <c r="AH76">
        <v>5</v>
      </c>
      <c r="AI76">
        <v>44.44</v>
      </c>
    </row>
    <row r="77" spans="1:35" x14ac:dyDescent="0.2">
      <c r="A77">
        <v>46</v>
      </c>
      <c r="B77" t="s">
        <v>89</v>
      </c>
      <c r="C77" t="s">
        <v>41</v>
      </c>
      <c r="D77" t="s">
        <v>57</v>
      </c>
      <c r="E77">
        <v>1</v>
      </c>
      <c r="F77">
        <v>21.366666666667001</v>
      </c>
      <c r="G77">
        <v>0</v>
      </c>
      <c r="H77">
        <v>1</v>
      </c>
      <c r="I77">
        <v>0</v>
      </c>
      <c r="J77">
        <v>1</v>
      </c>
      <c r="K77">
        <v>1</v>
      </c>
      <c r="L77">
        <v>33.33</v>
      </c>
      <c r="M77">
        <v>1</v>
      </c>
      <c r="N77">
        <v>0</v>
      </c>
      <c r="O77">
        <v>0.01</v>
      </c>
      <c r="P77">
        <v>3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 t="s">
        <v>37</v>
      </c>
    </row>
    <row r="78" spans="1:35" x14ac:dyDescent="0.2">
      <c r="A78">
        <v>195</v>
      </c>
      <c r="B78" t="s">
        <v>129</v>
      </c>
      <c r="C78" t="s">
        <v>64</v>
      </c>
      <c r="D78" t="s">
        <v>57</v>
      </c>
      <c r="E78">
        <v>1</v>
      </c>
      <c r="F78">
        <v>18.783333333333001</v>
      </c>
      <c r="G78">
        <v>0</v>
      </c>
      <c r="H78">
        <v>1</v>
      </c>
      <c r="I78">
        <v>0</v>
      </c>
      <c r="J78">
        <v>1</v>
      </c>
      <c r="K78">
        <v>1</v>
      </c>
      <c r="L78">
        <v>50</v>
      </c>
      <c r="M78">
        <v>1</v>
      </c>
      <c r="N78">
        <v>0</v>
      </c>
      <c r="O78">
        <v>0.03</v>
      </c>
      <c r="P78">
        <v>5</v>
      </c>
      <c r="Q78">
        <v>3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6</v>
      </c>
      <c r="AF78">
        <v>1</v>
      </c>
      <c r="AG78">
        <v>0</v>
      </c>
      <c r="AH78">
        <v>0</v>
      </c>
      <c r="AI78" t="s">
        <v>37</v>
      </c>
    </row>
    <row r="79" spans="1:35" x14ac:dyDescent="0.2">
      <c r="A79">
        <v>210</v>
      </c>
      <c r="B79" t="s">
        <v>135</v>
      </c>
      <c r="C79" t="s">
        <v>59</v>
      </c>
      <c r="D79" t="s">
        <v>46</v>
      </c>
      <c r="E79">
        <v>1</v>
      </c>
      <c r="F79">
        <v>18.183333333333</v>
      </c>
      <c r="G79">
        <v>0</v>
      </c>
      <c r="H79">
        <v>1</v>
      </c>
      <c r="I79">
        <v>1</v>
      </c>
      <c r="J79">
        <v>0</v>
      </c>
      <c r="K79">
        <v>1</v>
      </c>
      <c r="L79">
        <v>50</v>
      </c>
      <c r="M79">
        <v>2</v>
      </c>
      <c r="N79">
        <v>0</v>
      </c>
      <c r="O79">
        <v>0.45</v>
      </c>
      <c r="P79">
        <v>3</v>
      </c>
      <c r="Q79">
        <v>3</v>
      </c>
      <c r="R79">
        <v>3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37</v>
      </c>
    </row>
    <row r="80" spans="1:35" x14ac:dyDescent="0.2">
      <c r="A80">
        <v>110</v>
      </c>
      <c r="B80" t="s">
        <v>106</v>
      </c>
      <c r="C80" t="s">
        <v>56</v>
      </c>
      <c r="D80" t="s">
        <v>42</v>
      </c>
      <c r="E80">
        <v>1</v>
      </c>
      <c r="F80">
        <v>18.116666666667001</v>
      </c>
      <c r="G80">
        <v>0</v>
      </c>
      <c r="H80">
        <v>1</v>
      </c>
      <c r="I80">
        <v>1</v>
      </c>
      <c r="J80">
        <v>0</v>
      </c>
      <c r="K80">
        <v>1</v>
      </c>
      <c r="L80">
        <v>100</v>
      </c>
      <c r="M80">
        <v>4</v>
      </c>
      <c r="N80">
        <v>0</v>
      </c>
      <c r="O80">
        <v>0.81</v>
      </c>
      <c r="P80">
        <v>5</v>
      </c>
      <c r="Q80">
        <v>4</v>
      </c>
      <c r="R80">
        <v>3</v>
      </c>
      <c r="S80">
        <v>2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16</v>
      </c>
      <c r="AH80">
        <v>4</v>
      </c>
      <c r="AI80">
        <v>80</v>
      </c>
    </row>
    <row r="81" spans="1:35" x14ac:dyDescent="0.2">
      <c r="A81">
        <v>266</v>
      </c>
      <c r="B81" t="s">
        <v>328</v>
      </c>
      <c r="C81" t="s">
        <v>61</v>
      </c>
      <c r="D81" t="s">
        <v>36</v>
      </c>
      <c r="E81">
        <v>1</v>
      </c>
      <c r="F81">
        <v>10.85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37</v>
      </c>
      <c r="M81">
        <v>1</v>
      </c>
      <c r="N81">
        <v>0</v>
      </c>
      <c r="O81">
        <v>0.08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0</v>
      </c>
      <c r="AI81" t="s">
        <v>37</v>
      </c>
    </row>
    <row r="82" spans="1:35" x14ac:dyDescent="0.2">
      <c r="A82">
        <v>152</v>
      </c>
      <c r="B82" t="s">
        <v>261</v>
      </c>
      <c r="C82" t="s">
        <v>74</v>
      </c>
      <c r="D82" t="s">
        <v>36</v>
      </c>
      <c r="E82">
        <v>1</v>
      </c>
      <c r="F82">
        <v>15.566666666667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37</v>
      </c>
      <c r="M82">
        <v>3</v>
      </c>
      <c r="N82">
        <v>0</v>
      </c>
      <c r="O82">
        <v>0.26</v>
      </c>
      <c r="P82">
        <v>5</v>
      </c>
      <c r="Q82">
        <v>5</v>
      </c>
      <c r="R82">
        <v>3</v>
      </c>
      <c r="S82">
        <v>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</v>
      </c>
      <c r="AE82">
        <v>1</v>
      </c>
      <c r="AF82">
        <v>1</v>
      </c>
      <c r="AG82">
        <v>0</v>
      </c>
      <c r="AH82">
        <v>0</v>
      </c>
      <c r="AI82" t="s">
        <v>37</v>
      </c>
    </row>
    <row r="83" spans="1:35" x14ac:dyDescent="0.2">
      <c r="A83">
        <v>153</v>
      </c>
      <c r="B83" t="s">
        <v>115</v>
      </c>
      <c r="C83" t="s">
        <v>59</v>
      </c>
      <c r="D83" t="s">
        <v>42</v>
      </c>
      <c r="E83">
        <v>1</v>
      </c>
      <c r="F83">
        <v>14.3</v>
      </c>
      <c r="G83">
        <v>0</v>
      </c>
      <c r="H83">
        <v>1</v>
      </c>
      <c r="I83">
        <v>1</v>
      </c>
      <c r="J83">
        <v>0</v>
      </c>
      <c r="K83">
        <v>1</v>
      </c>
      <c r="L83">
        <v>100</v>
      </c>
      <c r="M83">
        <v>0</v>
      </c>
      <c r="N83" t="s">
        <v>37</v>
      </c>
      <c r="O83">
        <v>0.02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2</v>
      </c>
      <c r="AG83">
        <v>6</v>
      </c>
      <c r="AH83">
        <v>8</v>
      </c>
      <c r="AI83">
        <v>42.86</v>
      </c>
    </row>
    <row r="84" spans="1:35" x14ac:dyDescent="0.2">
      <c r="A84">
        <v>259</v>
      </c>
      <c r="B84" t="s">
        <v>115</v>
      </c>
      <c r="C84" t="s">
        <v>59</v>
      </c>
      <c r="D84" t="s">
        <v>57</v>
      </c>
      <c r="E84">
        <v>1</v>
      </c>
      <c r="F84">
        <v>16.133333333332999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37</v>
      </c>
      <c r="M84">
        <v>0</v>
      </c>
      <c r="N84" t="s">
        <v>37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5</v>
      </c>
      <c r="AE84">
        <v>1</v>
      </c>
      <c r="AF84">
        <v>4</v>
      </c>
      <c r="AG84">
        <v>0</v>
      </c>
      <c r="AH84">
        <v>0</v>
      </c>
      <c r="AI84" t="s">
        <v>37</v>
      </c>
    </row>
    <row r="85" spans="1:35" x14ac:dyDescent="0.2">
      <c r="A85">
        <v>220</v>
      </c>
      <c r="B85" t="s">
        <v>141</v>
      </c>
      <c r="C85" t="s">
        <v>35</v>
      </c>
      <c r="D85" t="s">
        <v>57</v>
      </c>
      <c r="E85">
        <v>1</v>
      </c>
      <c r="F85">
        <v>13.333333333333</v>
      </c>
      <c r="G85">
        <v>0</v>
      </c>
      <c r="H85">
        <v>1</v>
      </c>
      <c r="I85">
        <v>1</v>
      </c>
      <c r="J85">
        <v>0</v>
      </c>
      <c r="K85">
        <v>1</v>
      </c>
      <c r="L85">
        <v>100</v>
      </c>
      <c r="M85">
        <v>0</v>
      </c>
      <c r="N85" t="s">
        <v>37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1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 t="s">
        <v>37</v>
      </c>
    </row>
    <row r="86" spans="1:35" x14ac:dyDescent="0.2">
      <c r="A86">
        <v>105</v>
      </c>
      <c r="B86" t="s">
        <v>228</v>
      </c>
      <c r="C86" t="s">
        <v>87</v>
      </c>
      <c r="D86" t="s">
        <v>57</v>
      </c>
      <c r="E86">
        <v>1</v>
      </c>
      <c r="F86">
        <v>19.55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0.08</v>
      </c>
      <c r="P86">
        <v>4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0</v>
      </c>
      <c r="AD86">
        <v>4</v>
      </c>
      <c r="AE86">
        <v>0</v>
      </c>
      <c r="AF86">
        <v>0</v>
      </c>
      <c r="AG86">
        <v>0</v>
      </c>
      <c r="AH86">
        <v>0</v>
      </c>
      <c r="AI86" t="s">
        <v>37</v>
      </c>
    </row>
    <row r="87" spans="1:35" x14ac:dyDescent="0.2">
      <c r="A87">
        <v>61</v>
      </c>
      <c r="B87" t="s">
        <v>200</v>
      </c>
      <c r="C87" t="s">
        <v>52</v>
      </c>
      <c r="D87" t="s">
        <v>57</v>
      </c>
      <c r="E87">
        <v>1</v>
      </c>
      <c r="F87">
        <v>22.266666666667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37</v>
      </c>
      <c r="M87">
        <v>2</v>
      </c>
      <c r="N87">
        <v>0</v>
      </c>
      <c r="O87">
        <v>0.15</v>
      </c>
      <c r="P87">
        <v>4</v>
      </c>
      <c r="Q87">
        <v>2</v>
      </c>
      <c r="R87">
        <v>2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2</v>
      </c>
      <c r="AF87">
        <v>5</v>
      </c>
      <c r="AG87">
        <v>0</v>
      </c>
      <c r="AH87">
        <v>0</v>
      </c>
      <c r="AI87" t="s">
        <v>37</v>
      </c>
    </row>
    <row r="88" spans="1:35" x14ac:dyDescent="0.2">
      <c r="A88">
        <v>256</v>
      </c>
      <c r="B88" t="s">
        <v>322</v>
      </c>
      <c r="C88" t="s">
        <v>56</v>
      </c>
      <c r="D88" t="s">
        <v>42</v>
      </c>
      <c r="E88">
        <v>1</v>
      </c>
      <c r="F88">
        <v>13.833333333333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37</v>
      </c>
      <c r="M88">
        <v>0</v>
      </c>
      <c r="N88" t="s">
        <v>37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2</v>
      </c>
      <c r="AF88">
        <v>2</v>
      </c>
      <c r="AG88">
        <v>0</v>
      </c>
      <c r="AH88">
        <v>1</v>
      </c>
      <c r="AI88">
        <v>0</v>
      </c>
    </row>
    <row r="89" spans="1:35" x14ac:dyDescent="0.2">
      <c r="A89">
        <v>14</v>
      </c>
      <c r="B89" t="s">
        <v>167</v>
      </c>
      <c r="C89" t="s">
        <v>59</v>
      </c>
      <c r="D89" t="s">
        <v>46</v>
      </c>
      <c r="E89">
        <v>1</v>
      </c>
      <c r="F89">
        <v>15.55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0.32</v>
      </c>
      <c r="P89">
        <v>2</v>
      </c>
      <c r="Q89">
        <v>2</v>
      </c>
      <c r="R89">
        <v>2</v>
      </c>
      <c r="S89">
        <v>2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1</v>
      </c>
      <c r="AF89">
        <v>1</v>
      </c>
      <c r="AG89">
        <v>0</v>
      </c>
      <c r="AH89">
        <v>0</v>
      </c>
      <c r="AI89" t="s">
        <v>37</v>
      </c>
    </row>
    <row r="90" spans="1:35" x14ac:dyDescent="0.2">
      <c r="A90">
        <v>7</v>
      </c>
      <c r="B90" t="s">
        <v>164</v>
      </c>
      <c r="C90" t="s">
        <v>41</v>
      </c>
      <c r="D90" t="s">
        <v>46</v>
      </c>
      <c r="E90">
        <v>1</v>
      </c>
      <c r="F90">
        <v>11.533333333332999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37</v>
      </c>
      <c r="M90">
        <v>0</v>
      </c>
      <c r="N90" t="s">
        <v>37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1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 t="s">
        <v>37</v>
      </c>
    </row>
    <row r="91" spans="1:35" x14ac:dyDescent="0.2">
      <c r="A91">
        <v>162</v>
      </c>
      <c r="B91" t="s">
        <v>263</v>
      </c>
      <c r="C91" t="s">
        <v>59</v>
      </c>
      <c r="D91" t="s">
        <v>42</v>
      </c>
      <c r="E91">
        <v>1</v>
      </c>
      <c r="F91">
        <v>18.483333333333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0.17</v>
      </c>
      <c r="P91">
        <v>4</v>
      </c>
      <c r="Q91">
        <v>3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0</v>
      </c>
      <c r="AD91">
        <v>1</v>
      </c>
      <c r="AE91">
        <v>1</v>
      </c>
      <c r="AF91">
        <v>0</v>
      </c>
      <c r="AG91">
        <v>8</v>
      </c>
      <c r="AH91">
        <v>5</v>
      </c>
      <c r="AI91">
        <v>61.54</v>
      </c>
    </row>
    <row r="92" spans="1:35" x14ac:dyDescent="0.2">
      <c r="A92">
        <v>141</v>
      </c>
      <c r="B92" t="s">
        <v>256</v>
      </c>
      <c r="C92" t="s">
        <v>59</v>
      </c>
      <c r="D92" t="s">
        <v>57</v>
      </c>
      <c r="E92">
        <v>1</v>
      </c>
      <c r="F92">
        <v>27.45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0.05</v>
      </c>
      <c r="P92">
        <v>3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2</v>
      </c>
      <c r="AD92">
        <v>3</v>
      </c>
      <c r="AE92">
        <v>0</v>
      </c>
      <c r="AF92">
        <v>2</v>
      </c>
      <c r="AG92">
        <v>0</v>
      </c>
      <c r="AH92">
        <v>0</v>
      </c>
      <c r="AI92" t="s">
        <v>37</v>
      </c>
    </row>
    <row r="93" spans="1:35" x14ac:dyDescent="0.2">
      <c r="A93">
        <v>251</v>
      </c>
      <c r="B93" t="s">
        <v>319</v>
      </c>
      <c r="C93" t="s">
        <v>148</v>
      </c>
      <c r="D93" t="s">
        <v>42</v>
      </c>
      <c r="E93">
        <v>1</v>
      </c>
      <c r="F93">
        <v>20.616666666667001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37</v>
      </c>
      <c r="M93">
        <v>3</v>
      </c>
      <c r="N93">
        <v>0</v>
      </c>
      <c r="O93">
        <v>0.34</v>
      </c>
      <c r="P93">
        <v>6</v>
      </c>
      <c r="Q93">
        <v>4</v>
      </c>
      <c r="R93">
        <v>4</v>
      </c>
      <c r="S93">
        <v>2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2</v>
      </c>
      <c r="AF93">
        <v>0</v>
      </c>
      <c r="AG93">
        <v>9</v>
      </c>
      <c r="AH93">
        <v>5</v>
      </c>
      <c r="AI93">
        <v>64.290000000000006</v>
      </c>
    </row>
    <row r="94" spans="1:35" x14ac:dyDescent="0.2">
      <c r="A94">
        <v>88</v>
      </c>
      <c r="B94" t="s">
        <v>373</v>
      </c>
      <c r="C94" t="s">
        <v>74</v>
      </c>
      <c r="D94" t="s">
        <v>42</v>
      </c>
      <c r="E94">
        <v>1</v>
      </c>
      <c r="F94">
        <v>13.416666666667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37</v>
      </c>
      <c r="M94">
        <v>1</v>
      </c>
      <c r="N94">
        <v>0</v>
      </c>
      <c r="O94">
        <v>0.02</v>
      </c>
      <c r="P94">
        <v>1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2</v>
      </c>
      <c r="AH94">
        <v>3</v>
      </c>
      <c r="AI94">
        <v>40</v>
      </c>
    </row>
    <row r="95" spans="1:35" x14ac:dyDescent="0.2">
      <c r="A95">
        <v>272</v>
      </c>
      <c r="B95" t="s">
        <v>330</v>
      </c>
      <c r="C95" t="s">
        <v>85</v>
      </c>
      <c r="D95" t="s">
        <v>36</v>
      </c>
      <c r="E95">
        <v>1</v>
      </c>
      <c r="F95">
        <v>13.666666666667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37</v>
      </c>
      <c r="M95">
        <v>1</v>
      </c>
      <c r="N95">
        <v>0</v>
      </c>
      <c r="O95">
        <v>0.34</v>
      </c>
      <c r="P95">
        <v>2</v>
      </c>
      <c r="Q95">
        <v>2</v>
      </c>
      <c r="R95">
        <v>2</v>
      </c>
      <c r="S95">
        <v>1</v>
      </c>
      <c r="T95">
        <v>0</v>
      </c>
      <c r="U95">
        <v>2</v>
      </c>
      <c r="V95">
        <v>2</v>
      </c>
      <c r="W95">
        <v>1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2</v>
      </c>
      <c r="AE95">
        <v>0</v>
      </c>
      <c r="AF95">
        <v>1</v>
      </c>
      <c r="AG95">
        <v>0</v>
      </c>
      <c r="AH95">
        <v>0</v>
      </c>
      <c r="AI95" t="s">
        <v>37</v>
      </c>
    </row>
    <row r="96" spans="1:35" x14ac:dyDescent="0.2">
      <c r="A96">
        <v>229</v>
      </c>
      <c r="B96" t="s">
        <v>305</v>
      </c>
      <c r="C96" t="s">
        <v>87</v>
      </c>
      <c r="D96" t="s">
        <v>42</v>
      </c>
      <c r="E96">
        <v>1</v>
      </c>
      <c r="F96">
        <v>15.266666666667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37</v>
      </c>
      <c r="M96">
        <v>2</v>
      </c>
      <c r="N96">
        <v>0</v>
      </c>
      <c r="O96">
        <v>0.18</v>
      </c>
      <c r="P96">
        <v>3</v>
      </c>
      <c r="Q96">
        <v>3</v>
      </c>
      <c r="R96"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 t="s">
        <v>37</v>
      </c>
    </row>
    <row r="97" spans="1:35" x14ac:dyDescent="0.2">
      <c r="A97">
        <v>87</v>
      </c>
      <c r="B97" t="s">
        <v>97</v>
      </c>
      <c r="C97" t="s">
        <v>35</v>
      </c>
      <c r="D97" t="s">
        <v>36</v>
      </c>
      <c r="E97">
        <v>1</v>
      </c>
      <c r="F97">
        <v>8.1666666666666998</v>
      </c>
      <c r="G97">
        <v>0</v>
      </c>
      <c r="H97">
        <v>1</v>
      </c>
      <c r="I97">
        <v>0</v>
      </c>
      <c r="J97">
        <v>1</v>
      </c>
      <c r="K97">
        <v>1</v>
      </c>
      <c r="L97">
        <v>100</v>
      </c>
      <c r="M97">
        <v>0</v>
      </c>
      <c r="N97" t="s">
        <v>37</v>
      </c>
      <c r="O97">
        <v>0.01</v>
      </c>
      <c r="P97">
        <v>1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3</v>
      </c>
      <c r="AE97">
        <v>3</v>
      </c>
      <c r="AF97">
        <v>1</v>
      </c>
      <c r="AG97">
        <v>0</v>
      </c>
      <c r="AH97">
        <v>1</v>
      </c>
      <c r="AI97">
        <v>0</v>
      </c>
    </row>
    <row r="98" spans="1:35" x14ac:dyDescent="0.2">
      <c r="A98">
        <v>265</v>
      </c>
      <c r="B98" t="s">
        <v>327</v>
      </c>
      <c r="C98" t="s">
        <v>48</v>
      </c>
      <c r="D98" t="s">
        <v>42</v>
      </c>
      <c r="E98">
        <v>1</v>
      </c>
      <c r="F98">
        <v>11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37</v>
      </c>
      <c r="M98">
        <v>3</v>
      </c>
      <c r="N98">
        <v>0</v>
      </c>
      <c r="O98">
        <v>0.37</v>
      </c>
      <c r="P98">
        <v>3</v>
      </c>
      <c r="Q98">
        <v>3</v>
      </c>
      <c r="R98">
        <v>3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3</v>
      </c>
      <c r="AF98">
        <v>1</v>
      </c>
      <c r="AG98">
        <v>0</v>
      </c>
      <c r="AH98">
        <v>0</v>
      </c>
      <c r="AI98" t="s">
        <v>37</v>
      </c>
    </row>
    <row r="99" spans="1:35" x14ac:dyDescent="0.2">
      <c r="A99">
        <v>223</v>
      </c>
      <c r="B99" t="s">
        <v>142</v>
      </c>
      <c r="C99" t="s">
        <v>56</v>
      </c>
      <c r="D99" t="s">
        <v>42</v>
      </c>
      <c r="E99">
        <v>1</v>
      </c>
      <c r="F99">
        <v>9.5333333333332995</v>
      </c>
      <c r="G99">
        <v>1</v>
      </c>
      <c r="H99">
        <v>0</v>
      </c>
      <c r="I99">
        <v>0</v>
      </c>
      <c r="J99">
        <v>0</v>
      </c>
      <c r="K99">
        <v>1</v>
      </c>
      <c r="L99">
        <v>100</v>
      </c>
      <c r="M99">
        <v>3</v>
      </c>
      <c r="N99">
        <v>33.33</v>
      </c>
      <c r="O99">
        <v>0.35</v>
      </c>
      <c r="P99">
        <v>3</v>
      </c>
      <c r="Q99">
        <v>3</v>
      </c>
      <c r="R99">
        <v>3</v>
      </c>
      <c r="S99">
        <v>3</v>
      </c>
      <c r="T99">
        <v>0</v>
      </c>
      <c r="U99">
        <v>0</v>
      </c>
      <c r="V99">
        <v>2</v>
      </c>
      <c r="W99">
        <v>1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2</v>
      </c>
      <c r="AH99">
        <v>4</v>
      </c>
      <c r="AI99">
        <v>33.33</v>
      </c>
    </row>
    <row r="100" spans="1:35" x14ac:dyDescent="0.2">
      <c r="A100">
        <v>228</v>
      </c>
      <c r="B100" t="s">
        <v>143</v>
      </c>
      <c r="C100" t="s">
        <v>64</v>
      </c>
      <c r="D100" t="s">
        <v>57</v>
      </c>
      <c r="E100">
        <v>1</v>
      </c>
      <c r="F100">
        <v>14.316666666667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100</v>
      </c>
      <c r="M100">
        <v>1</v>
      </c>
      <c r="N100">
        <v>0</v>
      </c>
      <c r="O100">
        <v>0.06</v>
      </c>
      <c r="P100">
        <v>3</v>
      </c>
      <c r="Q100">
        <v>3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 t="s">
        <v>37</v>
      </c>
    </row>
    <row r="101" spans="1:35" x14ac:dyDescent="0.2">
      <c r="A101">
        <v>177</v>
      </c>
      <c r="B101" t="s">
        <v>274</v>
      </c>
      <c r="C101" t="s">
        <v>52</v>
      </c>
      <c r="D101" t="s">
        <v>57</v>
      </c>
      <c r="E101">
        <v>1</v>
      </c>
      <c r="F101">
        <v>7.1166666666667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37</v>
      </c>
      <c r="M101">
        <v>0</v>
      </c>
      <c r="N101" t="s">
        <v>37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2</v>
      </c>
      <c r="AG101">
        <v>0</v>
      </c>
      <c r="AH101">
        <v>0</v>
      </c>
      <c r="AI101" t="s">
        <v>37</v>
      </c>
    </row>
    <row r="102" spans="1:35" x14ac:dyDescent="0.2">
      <c r="A102">
        <v>203</v>
      </c>
      <c r="B102" t="s">
        <v>291</v>
      </c>
      <c r="C102" t="s">
        <v>148</v>
      </c>
      <c r="D102" t="s">
        <v>36</v>
      </c>
      <c r="E102">
        <v>1</v>
      </c>
      <c r="F102">
        <v>20.266666666667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37</v>
      </c>
      <c r="M102">
        <v>2</v>
      </c>
      <c r="N102">
        <v>0</v>
      </c>
      <c r="O102">
        <v>0.11</v>
      </c>
      <c r="P102">
        <v>2</v>
      </c>
      <c r="Q102">
        <v>2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 t="s">
        <v>37</v>
      </c>
    </row>
    <row r="103" spans="1:35" x14ac:dyDescent="0.2">
      <c r="A103">
        <v>92</v>
      </c>
      <c r="B103" t="s">
        <v>49</v>
      </c>
      <c r="C103" t="s">
        <v>39</v>
      </c>
      <c r="D103" t="s">
        <v>46</v>
      </c>
      <c r="E103">
        <v>1</v>
      </c>
      <c r="F103">
        <v>17.783333333333001</v>
      </c>
      <c r="G103">
        <v>0</v>
      </c>
      <c r="H103">
        <v>2</v>
      </c>
      <c r="I103">
        <v>1</v>
      </c>
      <c r="J103">
        <v>1</v>
      </c>
      <c r="K103">
        <v>2</v>
      </c>
      <c r="L103">
        <v>66.67</v>
      </c>
      <c r="M103">
        <v>1</v>
      </c>
      <c r="N103">
        <v>0</v>
      </c>
      <c r="O103">
        <v>7.0000000000000007E-2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1</v>
      </c>
      <c r="AD103">
        <v>0</v>
      </c>
      <c r="AE103">
        <v>1</v>
      </c>
      <c r="AF103">
        <v>1</v>
      </c>
      <c r="AG103">
        <v>0</v>
      </c>
      <c r="AH103">
        <v>0</v>
      </c>
      <c r="AI103" t="s">
        <v>37</v>
      </c>
    </row>
    <row r="104" spans="1:35" x14ac:dyDescent="0.2">
      <c r="A104">
        <v>231</v>
      </c>
      <c r="B104" t="s">
        <v>306</v>
      </c>
      <c r="C104" t="s">
        <v>87</v>
      </c>
      <c r="D104" t="s">
        <v>57</v>
      </c>
      <c r="E104">
        <v>1</v>
      </c>
      <c r="F104">
        <v>24.85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37</v>
      </c>
      <c r="M104">
        <v>2</v>
      </c>
      <c r="N104">
        <v>0</v>
      </c>
      <c r="O104">
        <v>0.1</v>
      </c>
      <c r="P104">
        <v>4</v>
      </c>
      <c r="Q104">
        <v>3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2</v>
      </c>
      <c r="AG104">
        <v>0</v>
      </c>
      <c r="AH104">
        <v>0</v>
      </c>
      <c r="AI104" t="s">
        <v>37</v>
      </c>
    </row>
    <row r="105" spans="1:35" x14ac:dyDescent="0.2">
      <c r="A105">
        <v>48</v>
      </c>
      <c r="B105" t="s">
        <v>190</v>
      </c>
      <c r="C105" t="s">
        <v>85</v>
      </c>
      <c r="D105" t="s">
        <v>42</v>
      </c>
      <c r="E105">
        <v>1</v>
      </c>
      <c r="F105">
        <v>22.816666666667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37</v>
      </c>
      <c r="M105">
        <v>2</v>
      </c>
      <c r="N105">
        <v>0</v>
      </c>
      <c r="O105">
        <v>0.23</v>
      </c>
      <c r="P105">
        <v>5</v>
      </c>
      <c r="Q105">
        <v>5</v>
      </c>
      <c r="R105">
        <v>2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8</v>
      </c>
      <c r="AH105">
        <v>4</v>
      </c>
      <c r="AI105">
        <v>66.67</v>
      </c>
    </row>
    <row r="106" spans="1:35" x14ac:dyDescent="0.2">
      <c r="A106">
        <v>211</v>
      </c>
      <c r="B106" t="s">
        <v>136</v>
      </c>
      <c r="C106" t="s">
        <v>48</v>
      </c>
      <c r="D106" t="s">
        <v>57</v>
      </c>
      <c r="E106">
        <v>1</v>
      </c>
      <c r="F106">
        <v>12.566666666667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100</v>
      </c>
      <c r="M106">
        <v>1</v>
      </c>
      <c r="N106">
        <v>0</v>
      </c>
      <c r="O106">
        <v>0.02</v>
      </c>
      <c r="P106">
        <v>3</v>
      </c>
      <c r="Q106">
        <v>1</v>
      </c>
      <c r="R106">
        <v>2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37</v>
      </c>
    </row>
    <row r="107" spans="1:35" x14ac:dyDescent="0.2">
      <c r="A107">
        <v>172</v>
      </c>
      <c r="B107" t="s">
        <v>269</v>
      </c>
      <c r="C107" t="s">
        <v>48</v>
      </c>
      <c r="D107" t="s">
        <v>42</v>
      </c>
      <c r="E107">
        <v>1</v>
      </c>
      <c r="F107">
        <v>14.633333333333001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37</v>
      </c>
      <c r="M107">
        <v>0</v>
      </c>
      <c r="N107" t="s">
        <v>37</v>
      </c>
      <c r="O107">
        <v>0.08</v>
      </c>
      <c r="P107">
        <v>3</v>
      </c>
      <c r="Q107">
        <v>1</v>
      </c>
      <c r="R107">
        <v>3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7</v>
      </c>
      <c r="AH107">
        <v>5</v>
      </c>
      <c r="AI107">
        <v>58.33</v>
      </c>
    </row>
    <row r="108" spans="1:35" x14ac:dyDescent="0.2">
      <c r="A108">
        <v>102</v>
      </c>
      <c r="B108" t="s">
        <v>50</v>
      </c>
      <c r="C108" t="s">
        <v>39</v>
      </c>
      <c r="D108" t="s">
        <v>42</v>
      </c>
      <c r="E108">
        <v>1</v>
      </c>
      <c r="F108">
        <v>19.266666666667</v>
      </c>
      <c r="G108">
        <v>1</v>
      </c>
      <c r="H108">
        <v>1</v>
      </c>
      <c r="I108">
        <v>1</v>
      </c>
      <c r="J108">
        <v>0</v>
      </c>
      <c r="K108">
        <v>2</v>
      </c>
      <c r="L108">
        <v>66.67</v>
      </c>
      <c r="M108">
        <v>3</v>
      </c>
      <c r="N108">
        <v>33.33</v>
      </c>
      <c r="O108">
        <v>0.24</v>
      </c>
      <c r="P108">
        <v>6</v>
      </c>
      <c r="Q108">
        <v>5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</v>
      </c>
      <c r="AC108">
        <v>0</v>
      </c>
      <c r="AD108">
        <v>0</v>
      </c>
      <c r="AE108">
        <v>1</v>
      </c>
      <c r="AF108">
        <v>0</v>
      </c>
      <c r="AG108">
        <v>8</v>
      </c>
      <c r="AH108">
        <v>11</v>
      </c>
      <c r="AI108">
        <v>42.11</v>
      </c>
    </row>
    <row r="109" spans="1:35" x14ac:dyDescent="0.2">
      <c r="A109">
        <v>216</v>
      </c>
      <c r="B109" t="s">
        <v>296</v>
      </c>
      <c r="C109" t="s">
        <v>87</v>
      </c>
      <c r="D109" t="s">
        <v>42</v>
      </c>
      <c r="E109">
        <v>1</v>
      </c>
      <c r="F109">
        <v>1.0166666666666999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37</v>
      </c>
      <c r="M109">
        <v>0</v>
      </c>
      <c r="N109" t="s">
        <v>37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7</v>
      </c>
      <c r="W109">
        <v>2</v>
      </c>
      <c r="X109">
        <v>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37</v>
      </c>
    </row>
    <row r="110" spans="1:35" x14ac:dyDescent="0.2">
      <c r="A110">
        <v>194</v>
      </c>
      <c r="B110" t="s">
        <v>128</v>
      </c>
      <c r="C110" t="s">
        <v>41</v>
      </c>
      <c r="D110" t="s">
        <v>42</v>
      </c>
      <c r="E110">
        <v>1</v>
      </c>
      <c r="F110">
        <v>18.899999999999999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100</v>
      </c>
      <c r="M110">
        <v>3</v>
      </c>
      <c r="N110">
        <v>0</v>
      </c>
      <c r="O110">
        <v>0.3</v>
      </c>
      <c r="P110">
        <v>7</v>
      </c>
      <c r="Q110">
        <v>5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2</v>
      </c>
      <c r="AF110">
        <v>1</v>
      </c>
      <c r="AG110">
        <v>0</v>
      </c>
      <c r="AH110">
        <v>0</v>
      </c>
      <c r="AI110" t="s">
        <v>37</v>
      </c>
    </row>
    <row r="111" spans="1:35" x14ac:dyDescent="0.2">
      <c r="A111">
        <v>202</v>
      </c>
      <c r="B111" t="s">
        <v>131</v>
      </c>
      <c r="C111" t="s">
        <v>64</v>
      </c>
      <c r="D111" t="s">
        <v>57</v>
      </c>
      <c r="E111">
        <v>1</v>
      </c>
      <c r="F111">
        <v>22.9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100</v>
      </c>
      <c r="M111">
        <v>1</v>
      </c>
      <c r="N111">
        <v>0</v>
      </c>
      <c r="O111">
        <v>0.05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2</v>
      </c>
      <c r="AF111">
        <v>1</v>
      </c>
      <c r="AG111">
        <v>0</v>
      </c>
      <c r="AH111">
        <v>0</v>
      </c>
      <c r="AI111" t="s">
        <v>37</v>
      </c>
    </row>
    <row r="112" spans="1:35" x14ac:dyDescent="0.2">
      <c r="A112">
        <v>1</v>
      </c>
      <c r="B112" t="s">
        <v>355</v>
      </c>
      <c r="C112" t="s">
        <v>41</v>
      </c>
      <c r="D112" t="s">
        <v>346</v>
      </c>
      <c r="E112">
        <v>1</v>
      </c>
      <c r="F112">
        <v>60</v>
      </c>
    </row>
    <row r="113" spans="1:35" x14ac:dyDescent="0.2">
      <c r="A113">
        <v>244</v>
      </c>
      <c r="B113" t="s">
        <v>316</v>
      </c>
      <c r="C113" t="s">
        <v>74</v>
      </c>
      <c r="D113" t="s">
        <v>36</v>
      </c>
      <c r="E113">
        <v>1</v>
      </c>
      <c r="F113">
        <v>10.5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37</v>
      </c>
      <c r="M113">
        <v>0</v>
      </c>
      <c r="N113" t="s">
        <v>37</v>
      </c>
      <c r="O113">
        <v>0.08</v>
      </c>
      <c r="P113">
        <v>3</v>
      </c>
      <c r="Q113">
        <v>3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</v>
      </c>
      <c r="AE113">
        <v>0</v>
      </c>
      <c r="AF113">
        <v>0</v>
      </c>
      <c r="AG113">
        <v>0</v>
      </c>
      <c r="AH113">
        <v>0</v>
      </c>
      <c r="AI113" t="s">
        <v>37</v>
      </c>
    </row>
    <row r="114" spans="1:35" x14ac:dyDescent="0.2">
      <c r="A114">
        <v>57</v>
      </c>
      <c r="B114" t="s">
        <v>196</v>
      </c>
      <c r="C114" t="s">
        <v>64</v>
      </c>
      <c r="D114" t="s">
        <v>57</v>
      </c>
      <c r="E114">
        <v>1</v>
      </c>
      <c r="F114">
        <v>22.533333333333001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37</v>
      </c>
      <c r="M114">
        <v>0</v>
      </c>
      <c r="N114" t="s">
        <v>37</v>
      </c>
      <c r="O114">
        <v>0.01</v>
      </c>
      <c r="P114">
        <v>5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 t="s">
        <v>37</v>
      </c>
    </row>
    <row r="115" spans="1:35" x14ac:dyDescent="0.2">
      <c r="A115">
        <v>30</v>
      </c>
      <c r="B115" t="s">
        <v>82</v>
      </c>
      <c r="C115" t="s">
        <v>74</v>
      </c>
      <c r="D115" t="s">
        <v>46</v>
      </c>
      <c r="E115">
        <v>1</v>
      </c>
      <c r="F115">
        <v>15.733333333333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100</v>
      </c>
      <c r="M115">
        <v>1</v>
      </c>
      <c r="N115">
        <v>100</v>
      </c>
      <c r="O115">
        <v>7.0000000000000007E-2</v>
      </c>
      <c r="P115">
        <v>2</v>
      </c>
      <c r="Q115">
        <v>1</v>
      </c>
      <c r="R115">
        <v>2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1</v>
      </c>
      <c r="AH115">
        <v>2</v>
      </c>
      <c r="AI115">
        <v>33.33</v>
      </c>
    </row>
    <row r="116" spans="1:35" x14ac:dyDescent="0.2">
      <c r="A116">
        <v>121</v>
      </c>
      <c r="B116" t="s">
        <v>239</v>
      </c>
      <c r="C116" t="s">
        <v>59</v>
      </c>
      <c r="D116" t="s">
        <v>46</v>
      </c>
      <c r="E116">
        <v>1</v>
      </c>
      <c r="F116">
        <v>12.733333333333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37</v>
      </c>
      <c r="M116">
        <v>0</v>
      </c>
      <c r="N116" t="s">
        <v>37</v>
      </c>
      <c r="O116">
        <v>0.33</v>
      </c>
      <c r="P116">
        <v>3</v>
      </c>
      <c r="Q116">
        <v>3</v>
      </c>
      <c r="R116">
        <v>2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 t="s">
        <v>37</v>
      </c>
    </row>
    <row r="117" spans="1:35" x14ac:dyDescent="0.2">
      <c r="A117">
        <v>71</v>
      </c>
      <c r="B117" t="s">
        <v>206</v>
      </c>
      <c r="C117" t="s">
        <v>87</v>
      </c>
      <c r="D117" t="s">
        <v>42</v>
      </c>
      <c r="E117">
        <v>1</v>
      </c>
      <c r="F117">
        <v>22.366666666667001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37</v>
      </c>
      <c r="M117">
        <v>3</v>
      </c>
      <c r="N117">
        <v>0</v>
      </c>
      <c r="O117">
        <v>0.34</v>
      </c>
      <c r="P117">
        <v>4</v>
      </c>
      <c r="Q117">
        <v>4</v>
      </c>
      <c r="R117">
        <v>4</v>
      </c>
      <c r="S117">
        <v>4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1</v>
      </c>
      <c r="AG117">
        <v>5</v>
      </c>
      <c r="AH117">
        <v>3</v>
      </c>
      <c r="AI117">
        <v>62.5</v>
      </c>
    </row>
    <row r="118" spans="1:35" x14ac:dyDescent="0.2">
      <c r="A118">
        <v>64</v>
      </c>
      <c r="B118" t="s">
        <v>202</v>
      </c>
      <c r="C118" t="s">
        <v>61</v>
      </c>
      <c r="D118" t="s">
        <v>57</v>
      </c>
      <c r="E118">
        <v>1</v>
      </c>
      <c r="F118">
        <v>22.383333333332999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37</v>
      </c>
      <c r="M118">
        <v>0</v>
      </c>
      <c r="N118" t="s">
        <v>37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 t="s">
        <v>37</v>
      </c>
    </row>
    <row r="119" spans="1:35" x14ac:dyDescent="0.2">
      <c r="A119">
        <v>215</v>
      </c>
      <c r="B119" t="s">
        <v>139</v>
      </c>
      <c r="C119" t="s">
        <v>45</v>
      </c>
      <c r="D119" t="s">
        <v>46</v>
      </c>
      <c r="E119">
        <v>1</v>
      </c>
      <c r="F119">
        <v>17.316666666667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50</v>
      </c>
      <c r="M119">
        <v>1</v>
      </c>
      <c r="N119">
        <v>0</v>
      </c>
      <c r="O119">
        <v>0.03</v>
      </c>
      <c r="P119">
        <v>2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 t="s">
        <v>37</v>
      </c>
    </row>
    <row r="120" spans="1:35" x14ac:dyDescent="0.2">
      <c r="A120">
        <v>10</v>
      </c>
      <c r="B120" t="s">
        <v>353</v>
      </c>
      <c r="C120" t="s">
        <v>52</v>
      </c>
      <c r="D120" t="s">
        <v>346</v>
      </c>
      <c r="E120">
        <v>1</v>
      </c>
      <c r="F120">
        <v>59.8</v>
      </c>
    </row>
    <row r="121" spans="1:35" x14ac:dyDescent="0.2">
      <c r="A121">
        <v>135</v>
      </c>
      <c r="B121" t="s">
        <v>252</v>
      </c>
      <c r="C121" t="s">
        <v>56</v>
      </c>
      <c r="D121" t="s">
        <v>57</v>
      </c>
      <c r="E121">
        <v>1</v>
      </c>
      <c r="F121">
        <v>19.149999999999999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0.3</v>
      </c>
      <c r="P121">
        <v>8</v>
      </c>
      <c r="Q121">
        <v>3</v>
      </c>
      <c r="R121">
        <v>4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1</v>
      </c>
      <c r="AE121">
        <v>3</v>
      </c>
      <c r="AF121">
        <v>2</v>
      </c>
      <c r="AG121">
        <v>0</v>
      </c>
      <c r="AH121">
        <v>0</v>
      </c>
      <c r="AI121" t="s">
        <v>37</v>
      </c>
    </row>
    <row r="122" spans="1:35" x14ac:dyDescent="0.2">
      <c r="A122">
        <v>6</v>
      </c>
      <c r="B122" t="s">
        <v>163</v>
      </c>
      <c r="C122" t="s">
        <v>52</v>
      </c>
      <c r="D122" t="s">
        <v>46</v>
      </c>
      <c r="E122">
        <v>1</v>
      </c>
      <c r="F122">
        <v>11.366666666666999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37</v>
      </c>
      <c r="M122">
        <v>0</v>
      </c>
      <c r="N122" t="s">
        <v>37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 t="s">
        <v>37</v>
      </c>
    </row>
    <row r="123" spans="1:35" x14ac:dyDescent="0.2">
      <c r="A123">
        <v>221</v>
      </c>
      <c r="B123" t="s">
        <v>299</v>
      </c>
      <c r="C123" t="s">
        <v>35</v>
      </c>
      <c r="D123" t="s">
        <v>57</v>
      </c>
      <c r="E123">
        <v>1</v>
      </c>
      <c r="F123">
        <v>22.5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37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4</v>
      </c>
      <c r="AG123">
        <v>0</v>
      </c>
      <c r="AH123">
        <v>0</v>
      </c>
      <c r="AI123" t="s">
        <v>37</v>
      </c>
    </row>
    <row r="124" spans="1:35" x14ac:dyDescent="0.2">
      <c r="A124">
        <v>47</v>
      </c>
      <c r="B124" t="s">
        <v>189</v>
      </c>
      <c r="C124" t="s">
        <v>74</v>
      </c>
      <c r="D124" t="s">
        <v>57</v>
      </c>
      <c r="E124">
        <v>1</v>
      </c>
      <c r="F124">
        <v>16.083333333333002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37</v>
      </c>
      <c r="M124">
        <v>1</v>
      </c>
      <c r="N124">
        <v>0</v>
      </c>
      <c r="O124">
        <v>0.03</v>
      </c>
      <c r="P124">
        <v>2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2</v>
      </c>
      <c r="AF124">
        <v>0</v>
      </c>
      <c r="AG124">
        <v>0</v>
      </c>
      <c r="AH124">
        <v>0</v>
      </c>
      <c r="AI124" t="s">
        <v>37</v>
      </c>
    </row>
    <row r="125" spans="1:35" x14ac:dyDescent="0.2">
      <c r="A125">
        <v>107</v>
      </c>
      <c r="B125" t="s">
        <v>230</v>
      </c>
      <c r="C125" t="s">
        <v>64</v>
      </c>
      <c r="D125" t="s">
        <v>42</v>
      </c>
      <c r="E125">
        <v>1</v>
      </c>
      <c r="F125">
        <v>10.733333333333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37</v>
      </c>
      <c r="M125">
        <v>2</v>
      </c>
      <c r="N125">
        <v>0</v>
      </c>
      <c r="O125">
        <v>0.15</v>
      </c>
      <c r="P125">
        <v>2</v>
      </c>
      <c r="Q125">
        <v>2</v>
      </c>
      <c r="R125">
        <v>2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3</v>
      </c>
      <c r="AH125">
        <v>3</v>
      </c>
      <c r="AI125">
        <v>50</v>
      </c>
    </row>
    <row r="126" spans="1:35" x14ac:dyDescent="0.2">
      <c r="A126">
        <v>91</v>
      </c>
      <c r="B126" t="s">
        <v>98</v>
      </c>
      <c r="C126" t="s">
        <v>74</v>
      </c>
      <c r="D126" t="s">
        <v>46</v>
      </c>
      <c r="E126">
        <v>1</v>
      </c>
      <c r="F126">
        <v>16.566666666667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100</v>
      </c>
      <c r="M126">
        <v>3</v>
      </c>
      <c r="N126">
        <v>33.33</v>
      </c>
      <c r="O126">
        <v>0.3</v>
      </c>
      <c r="P126">
        <v>5</v>
      </c>
      <c r="Q126">
        <v>4</v>
      </c>
      <c r="R126">
        <v>2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0</v>
      </c>
      <c r="AF126">
        <v>0</v>
      </c>
      <c r="AG126">
        <v>1</v>
      </c>
      <c r="AH126">
        <v>1</v>
      </c>
      <c r="AI126">
        <v>50</v>
      </c>
    </row>
    <row r="127" spans="1:35" x14ac:dyDescent="0.2">
      <c r="A127">
        <v>76</v>
      </c>
      <c r="B127" t="s">
        <v>211</v>
      </c>
      <c r="C127" t="s">
        <v>148</v>
      </c>
      <c r="D127" t="s">
        <v>42</v>
      </c>
      <c r="E127">
        <v>1</v>
      </c>
      <c r="F127">
        <v>15.333333333333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37</v>
      </c>
      <c r="M127">
        <v>1</v>
      </c>
      <c r="N127">
        <v>0</v>
      </c>
      <c r="O127">
        <v>0.1</v>
      </c>
      <c r="P127">
        <v>2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2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0</v>
      </c>
      <c r="AG127">
        <v>4</v>
      </c>
      <c r="AH127">
        <v>7</v>
      </c>
      <c r="AI127">
        <v>36.36</v>
      </c>
    </row>
    <row r="128" spans="1:35" x14ac:dyDescent="0.2">
      <c r="A128">
        <v>155</v>
      </c>
      <c r="B128" t="s">
        <v>54</v>
      </c>
      <c r="C128" t="s">
        <v>52</v>
      </c>
      <c r="D128" t="s">
        <v>46</v>
      </c>
      <c r="E128">
        <v>1</v>
      </c>
      <c r="F128">
        <v>22.9</v>
      </c>
      <c r="G128">
        <v>1</v>
      </c>
      <c r="H128">
        <v>1</v>
      </c>
      <c r="I128">
        <v>0</v>
      </c>
      <c r="J128">
        <v>1</v>
      </c>
      <c r="K128">
        <v>2</v>
      </c>
      <c r="L128">
        <v>66.67</v>
      </c>
      <c r="M128">
        <v>3</v>
      </c>
      <c r="N128">
        <v>33.33</v>
      </c>
      <c r="O128">
        <v>0.23</v>
      </c>
      <c r="P128">
        <v>6</v>
      </c>
      <c r="Q128">
        <v>4</v>
      </c>
      <c r="R128">
        <v>6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1</v>
      </c>
      <c r="AE128">
        <v>4</v>
      </c>
      <c r="AF128">
        <v>1</v>
      </c>
      <c r="AG128">
        <v>0</v>
      </c>
      <c r="AH128">
        <v>0</v>
      </c>
      <c r="AI128" t="s">
        <v>37</v>
      </c>
    </row>
    <row r="129" spans="1:35" x14ac:dyDescent="0.2">
      <c r="A129">
        <v>147</v>
      </c>
      <c r="B129" t="s">
        <v>113</v>
      </c>
      <c r="C129" t="s">
        <v>64</v>
      </c>
      <c r="D129" t="s">
        <v>46</v>
      </c>
      <c r="E129">
        <v>1</v>
      </c>
      <c r="F129">
        <v>15.95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100</v>
      </c>
      <c r="M129">
        <v>4</v>
      </c>
      <c r="N129">
        <v>0</v>
      </c>
      <c r="O129">
        <v>0.53</v>
      </c>
      <c r="P129">
        <v>6</v>
      </c>
      <c r="Q129">
        <v>6</v>
      </c>
      <c r="R129">
        <v>4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5</v>
      </c>
      <c r="AE129">
        <v>0</v>
      </c>
      <c r="AF129">
        <v>1</v>
      </c>
      <c r="AG129">
        <v>0</v>
      </c>
      <c r="AH129">
        <v>0</v>
      </c>
      <c r="AI129" t="s">
        <v>37</v>
      </c>
    </row>
    <row r="130" spans="1:35" x14ac:dyDescent="0.2">
      <c r="A130">
        <v>117</v>
      </c>
      <c r="B130" t="s">
        <v>235</v>
      </c>
      <c r="C130" t="s">
        <v>39</v>
      </c>
      <c r="D130" t="s">
        <v>57</v>
      </c>
      <c r="E130">
        <v>1</v>
      </c>
      <c r="F130">
        <v>21.45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37</v>
      </c>
      <c r="O130">
        <v>0.03</v>
      </c>
      <c r="P130">
        <v>2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</v>
      </c>
      <c r="AE130">
        <v>3</v>
      </c>
      <c r="AF130">
        <v>3</v>
      </c>
      <c r="AG130">
        <v>0</v>
      </c>
      <c r="AH130">
        <v>0</v>
      </c>
      <c r="AI130" t="s">
        <v>37</v>
      </c>
    </row>
    <row r="131" spans="1:35" x14ac:dyDescent="0.2">
      <c r="A131">
        <v>140</v>
      </c>
      <c r="B131" t="s">
        <v>255</v>
      </c>
      <c r="C131" t="s">
        <v>41</v>
      </c>
      <c r="D131" t="s">
        <v>46</v>
      </c>
      <c r="E131">
        <v>1</v>
      </c>
      <c r="F131">
        <v>15.433333333333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0.04</v>
      </c>
      <c r="P131">
        <v>3</v>
      </c>
      <c r="Q131">
        <v>1</v>
      </c>
      <c r="R131">
        <v>3</v>
      </c>
      <c r="S131">
        <v>1</v>
      </c>
      <c r="T131">
        <v>0</v>
      </c>
      <c r="U131">
        <v>0</v>
      </c>
      <c r="V131">
        <v>2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3</v>
      </c>
      <c r="AF131">
        <v>0</v>
      </c>
      <c r="AG131">
        <v>0</v>
      </c>
      <c r="AH131">
        <v>0</v>
      </c>
      <c r="AI131" t="s">
        <v>37</v>
      </c>
    </row>
    <row r="132" spans="1:35" x14ac:dyDescent="0.2">
      <c r="A132">
        <v>254</v>
      </c>
      <c r="B132" t="s">
        <v>321</v>
      </c>
      <c r="C132" t="s">
        <v>45</v>
      </c>
      <c r="D132" t="s">
        <v>36</v>
      </c>
      <c r="E132">
        <v>1</v>
      </c>
      <c r="F132">
        <v>15.6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37</v>
      </c>
      <c r="M132">
        <v>0</v>
      </c>
      <c r="N132" t="s">
        <v>37</v>
      </c>
      <c r="O132">
        <v>0.25</v>
      </c>
      <c r="P132">
        <v>3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2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1</v>
      </c>
      <c r="AH132">
        <v>0</v>
      </c>
      <c r="AI132">
        <v>100</v>
      </c>
    </row>
    <row r="133" spans="1:35" x14ac:dyDescent="0.2">
      <c r="A133">
        <v>171</v>
      </c>
      <c r="B133" t="s">
        <v>268</v>
      </c>
      <c r="C133" t="s">
        <v>117</v>
      </c>
      <c r="D133" t="s">
        <v>46</v>
      </c>
      <c r="E133">
        <v>1</v>
      </c>
      <c r="F133">
        <v>18.983333333333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37</v>
      </c>
      <c r="M133">
        <v>1</v>
      </c>
      <c r="N133">
        <v>0</v>
      </c>
      <c r="O133">
        <v>0.1</v>
      </c>
      <c r="P133">
        <v>5</v>
      </c>
      <c r="Q133">
        <v>3</v>
      </c>
      <c r="R133">
        <v>2</v>
      </c>
      <c r="S133">
        <v>2</v>
      </c>
      <c r="T133">
        <v>0</v>
      </c>
      <c r="U133">
        <v>0</v>
      </c>
      <c r="V133">
        <v>2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</row>
    <row r="134" spans="1:35" x14ac:dyDescent="0.2">
      <c r="A134">
        <v>85</v>
      </c>
      <c r="B134" t="s">
        <v>218</v>
      </c>
      <c r="C134" t="s">
        <v>117</v>
      </c>
      <c r="D134" t="s">
        <v>57</v>
      </c>
      <c r="E134">
        <v>1</v>
      </c>
      <c r="F134">
        <v>13.133333333333001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37</v>
      </c>
      <c r="M134">
        <v>0</v>
      </c>
      <c r="N134" t="s">
        <v>37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0</v>
      </c>
      <c r="AD134">
        <v>1</v>
      </c>
      <c r="AE134">
        <v>2</v>
      </c>
      <c r="AF134">
        <v>0</v>
      </c>
      <c r="AG134">
        <v>0</v>
      </c>
      <c r="AH134">
        <v>0</v>
      </c>
      <c r="AI134" t="s">
        <v>37</v>
      </c>
    </row>
    <row r="135" spans="1:35" x14ac:dyDescent="0.2">
      <c r="A135">
        <v>204</v>
      </c>
      <c r="B135" t="s">
        <v>292</v>
      </c>
      <c r="C135" t="s">
        <v>48</v>
      </c>
      <c r="D135" t="s">
        <v>46</v>
      </c>
      <c r="E135">
        <v>1</v>
      </c>
      <c r="F135">
        <v>9.6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0.15</v>
      </c>
      <c r="P135">
        <v>4</v>
      </c>
      <c r="Q135">
        <v>4</v>
      </c>
      <c r="R135">
        <v>2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3</v>
      </c>
      <c r="AF135">
        <v>0</v>
      </c>
      <c r="AG135">
        <v>0</v>
      </c>
      <c r="AH135">
        <v>0</v>
      </c>
      <c r="AI135" t="s">
        <v>37</v>
      </c>
    </row>
    <row r="136" spans="1:35" x14ac:dyDescent="0.2">
      <c r="A136">
        <v>11</v>
      </c>
      <c r="B136" t="s">
        <v>75</v>
      </c>
      <c r="C136" t="s">
        <v>56</v>
      </c>
      <c r="D136" t="s">
        <v>57</v>
      </c>
      <c r="E136">
        <v>1</v>
      </c>
      <c r="F136">
        <v>20.466666666666999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100</v>
      </c>
      <c r="M136">
        <v>2</v>
      </c>
      <c r="N136">
        <v>0</v>
      </c>
      <c r="O136">
        <v>0.2</v>
      </c>
      <c r="P136">
        <v>5</v>
      </c>
      <c r="Q136">
        <v>4</v>
      </c>
      <c r="R136">
        <v>2</v>
      </c>
      <c r="S136">
        <v>1</v>
      </c>
      <c r="T136">
        <v>0</v>
      </c>
      <c r="U136">
        <v>0</v>
      </c>
      <c r="V136">
        <v>2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 t="s">
        <v>37</v>
      </c>
    </row>
    <row r="137" spans="1:35" x14ac:dyDescent="0.2">
      <c r="A137">
        <v>33</v>
      </c>
      <c r="B137" t="s">
        <v>179</v>
      </c>
      <c r="C137" t="s">
        <v>69</v>
      </c>
      <c r="D137" t="s">
        <v>57</v>
      </c>
      <c r="E137">
        <v>1</v>
      </c>
      <c r="F137">
        <v>19.433333333333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</v>
      </c>
      <c r="N137">
        <v>0</v>
      </c>
      <c r="O137">
        <v>0.23</v>
      </c>
      <c r="P137">
        <v>5</v>
      </c>
      <c r="Q137">
        <v>4</v>
      </c>
      <c r="R137">
        <v>2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2</v>
      </c>
      <c r="AE137">
        <v>0</v>
      </c>
      <c r="AF137">
        <v>2</v>
      </c>
      <c r="AG137">
        <v>0</v>
      </c>
      <c r="AH137">
        <v>0</v>
      </c>
      <c r="AI137" t="s">
        <v>37</v>
      </c>
    </row>
    <row r="138" spans="1:35" x14ac:dyDescent="0.2">
      <c r="A138">
        <v>12</v>
      </c>
      <c r="B138" t="s">
        <v>76</v>
      </c>
      <c r="C138" t="s">
        <v>61</v>
      </c>
      <c r="D138" t="s">
        <v>42</v>
      </c>
      <c r="E138">
        <v>1</v>
      </c>
      <c r="F138">
        <v>19.133333333332999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100</v>
      </c>
      <c r="M138">
        <v>3</v>
      </c>
      <c r="N138">
        <v>33.33</v>
      </c>
      <c r="O138">
        <v>0.41</v>
      </c>
      <c r="P138">
        <v>5</v>
      </c>
      <c r="Q138">
        <v>4</v>
      </c>
      <c r="R138">
        <v>4</v>
      </c>
      <c r="S138">
        <v>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10</v>
      </c>
      <c r="AH138">
        <v>8</v>
      </c>
      <c r="AI138">
        <v>55.56</v>
      </c>
    </row>
    <row r="139" spans="1:35" x14ac:dyDescent="0.2">
      <c r="A139">
        <v>164</v>
      </c>
      <c r="B139" t="s">
        <v>121</v>
      </c>
      <c r="C139" t="s">
        <v>41</v>
      </c>
      <c r="D139" t="s">
        <v>57</v>
      </c>
      <c r="E139">
        <v>1</v>
      </c>
      <c r="F139">
        <v>14.466666666667001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100</v>
      </c>
      <c r="M139">
        <v>1</v>
      </c>
      <c r="N139">
        <v>0</v>
      </c>
      <c r="O139">
        <v>0.01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</v>
      </c>
      <c r="AE139">
        <v>1</v>
      </c>
      <c r="AF139">
        <v>0</v>
      </c>
      <c r="AG139">
        <v>0</v>
      </c>
      <c r="AH139">
        <v>0</v>
      </c>
      <c r="AI139" t="s">
        <v>37</v>
      </c>
    </row>
    <row r="140" spans="1:35" x14ac:dyDescent="0.2">
      <c r="A140">
        <v>151</v>
      </c>
      <c r="B140" t="s">
        <v>114</v>
      </c>
      <c r="C140" t="s">
        <v>39</v>
      </c>
      <c r="D140" t="s">
        <v>36</v>
      </c>
      <c r="E140">
        <v>1</v>
      </c>
      <c r="F140">
        <v>14.666666666667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100</v>
      </c>
      <c r="M140">
        <v>3</v>
      </c>
      <c r="N140">
        <v>0</v>
      </c>
      <c r="O140">
        <v>0.38</v>
      </c>
      <c r="P140">
        <v>4</v>
      </c>
      <c r="Q140">
        <v>4</v>
      </c>
      <c r="R140">
        <v>3</v>
      </c>
      <c r="S140">
        <v>2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 t="s">
        <v>37</v>
      </c>
    </row>
    <row r="141" spans="1:35" x14ac:dyDescent="0.2">
      <c r="A141">
        <v>101</v>
      </c>
      <c r="B141" t="s">
        <v>102</v>
      </c>
      <c r="C141" t="s">
        <v>41</v>
      </c>
      <c r="D141" t="s">
        <v>57</v>
      </c>
      <c r="E141">
        <v>1</v>
      </c>
      <c r="F141">
        <v>22.766666666667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50</v>
      </c>
      <c r="M141">
        <v>2</v>
      </c>
      <c r="N141">
        <v>0</v>
      </c>
      <c r="O141">
        <v>7.0000000000000007E-2</v>
      </c>
      <c r="P141">
        <v>2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 t="s">
        <v>37</v>
      </c>
    </row>
    <row r="142" spans="1:35" x14ac:dyDescent="0.2">
      <c r="A142">
        <v>180</v>
      </c>
      <c r="B142" t="s">
        <v>277</v>
      </c>
      <c r="C142" t="s">
        <v>45</v>
      </c>
      <c r="D142" t="s">
        <v>36</v>
      </c>
      <c r="E142">
        <v>1</v>
      </c>
      <c r="F142">
        <v>15.266666666667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37</v>
      </c>
      <c r="M142">
        <v>0</v>
      </c>
      <c r="N142" t="s">
        <v>37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37</v>
      </c>
    </row>
    <row r="143" spans="1:35" x14ac:dyDescent="0.2">
      <c r="A143">
        <v>41</v>
      </c>
      <c r="B143" t="s">
        <v>185</v>
      </c>
      <c r="C143" t="s">
        <v>117</v>
      </c>
      <c r="D143" t="s">
        <v>46</v>
      </c>
      <c r="E143">
        <v>1</v>
      </c>
      <c r="F143">
        <v>16.683333333333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37</v>
      </c>
      <c r="M143">
        <v>3</v>
      </c>
      <c r="N143">
        <v>0</v>
      </c>
      <c r="O143">
        <v>0.14000000000000001</v>
      </c>
      <c r="P143">
        <v>4</v>
      </c>
      <c r="Q143">
        <v>4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50</v>
      </c>
    </row>
    <row r="144" spans="1:35" x14ac:dyDescent="0.2">
      <c r="A144">
        <v>3</v>
      </c>
      <c r="B144" t="s">
        <v>359</v>
      </c>
      <c r="C144" t="s">
        <v>45</v>
      </c>
      <c r="D144" t="s">
        <v>346</v>
      </c>
      <c r="E144">
        <v>1</v>
      </c>
      <c r="F144">
        <v>59</v>
      </c>
    </row>
    <row r="145" spans="1:35" x14ac:dyDescent="0.2">
      <c r="A145">
        <v>10</v>
      </c>
      <c r="B145" t="s">
        <v>73</v>
      </c>
      <c r="C145" t="s">
        <v>74</v>
      </c>
      <c r="D145" t="s">
        <v>36</v>
      </c>
      <c r="E145">
        <v>1</v>
      </c>
      <c r="F145">
        <v>19.083333333333002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100</v>
      </c>
      <c r="M145">
        <v>1</v>
      </c>
      <c r="N145">
        <v>0</v>
      </c>
      <c r="O145">
        <v>0.19</v>
      </c>
      <c r="P145">
        <v>2</v>
      </c>
      <c r="Q145">
        <v>2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 t="s">
        <v>37</v>
      </c>
    </row>
    <row r="146" spans="1:35" x14ac:dyDescent="0.2">
      <c r="A146">
        <v>137</v>
      </c>
      <c r="B146" t="s">
        <v>109</v>
      </c>
      <c r="C146" t="s">
        <v>45</v>
      </c>
      <c r="D146" t="s">
        <v>36</v>
      </c>
      <c r="E146">
        <v>1</v>
      </c>
      <c r="F146">
        <v>15.816666666667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50</v>
      </c>
      <c r="M146">
        <v>3</v>
      </c>
      <c r="N146">
        <v>0</v>
      </c>
      <c r="O146">
        <v>0.17</v>
      </c>
      <c r="P146">
        <v>5</v>
      </c>
      <c r="Q146">
        <v>3</v>
      </c>
      <c r="R146">
        <v>1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37</v>
      </c>
    </row>
    <row r="147" spans="1:35" x14ac:dyDescent="0.2">
      <c r="A147">
        <v>37</v>
      </c>
      <c r="B147" t="s">
        <v>182</v>
      </c>
      <c r="C147" t="s">
        <v>48</v>
      </c>
      <c r="D147" t="s">
        <v>57</v>
      </c>
      <c r="E147">
        <v>1</v>
      </c>
      <c r="F147">
        <v>17.833333333333002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37</v>
      </c>
      <c r="M147">
        <v>2</v>
      </c>
      <c r="N147">
        <v>0</v>
      </c>
      <c r="O147">
        <v>0.05</v>
      </c>
      <c r="P147">
        <v>3</v>
      </c>
      <c r="Q147">
        <v>2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2</v>
      </c>
      <c r="AD147">
        <v>2</v>
      </c>
      <c r="AE147">
        <v>2</v>
      </c>
      <c r="AF147">
        <v>0</v>
      </c>
      <c r="AG147">
        <v>0</v>
      </c>
      <c r="AH147">
        <v>0</v>
      </c>
      <c r="AI147" t="s">
        <v>37</v>
      </c>
    </row>
    <row r="148" spans="1:35" x14ac:dyDescent="0.2">
      <c r="A148">
        <v>26</v>
      </c>
      <c r="B148" t="s">
        <v>176</v>
      </c>
      <c r="C148" t="s">
        <v>45</v>
      </c>
      <c r="D148" t="s">
        <v>57</v>
      </c>
      <c r="E148">
        <v>1</v>
      </c>
      <c r="F148">
        <v>20.216666666666999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0.22</v>
      </c>
      <c r="P148">
        <v>2</v>
      </c>
      <c r="Q148">
        <v>2</v>
      </c>
      <c r="R148">
        <v>1</v>
      </c>
      <c r="S148">
        <v>1</v>
      </c>
      <c r="T148">
        <v>0</v>
      </c>
      <c r="U148">
        <v>0</v>
      </c>
      <c r="V148">
        <v>2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</v>
      </c>
      <c r="AE148">
        <v>1</v>
      </c>
      <c r="AF148">
        <v>0</v>
      </c>
      <c r="AG148">
        <v>0</v>
      </c>
      <c r="AH148">
        <v>0</v>
      </c>
      <c r="AI148" t="s">
        <v>37</v>
      </c>
    </row>
    <row r="149" spans="1:35" x14ac:dyDescent="0.2">
      <c r="A149">
        <v>284</v>
      </c>
      <c r="B149" t="s">
        <v>337</v>
      </c>
      <c r="C149" t="s">
        <v>52</v>
      </c>
      <c r="D149" t="s">
        <v>42</v>
      </c>
      <c r="E149">
        <v>1</v>
      </c>
      <c r="F149">
        <v>12.066666666667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37</v>
      </c>
      <c r="M149">
        <v>0</v>
      </c>
      <c r="N149" t="s">
        <v>37</v>
      </c>
      <c r="O149">
        <v>0.01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2</v>
      </c>
      <c r="AD149">
        <v>2</v>
      </c>
      <c r="AE149">
        <v>2</v>
      </c>
      <c r="AF149">
        <v>1</v>
      </c>
      <c r="AG149">
        <v>4</v>
      </c>
      <c r="AH149">
        <v>1</v>
      </c>
      <c r="AI149">
        <v>80</v>
      </c>
    </row>
    <row r="150" spans="1:35" x14ac:dyDescent="0.2">
      <c r="A150">
        <v>214</v>
      </c>
      <c r="B150" t="s">
        <v>138</v>
      </c>
      <c r="C150" t="s">
        <v>56</v>
      </c>
      <c r="D150" t="s">
        <v>36</v>
      </c>
      <c r="E150">
        <v>1</v>
      </c>
      <c r="F150">
        <v>16.916666666666998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100</v>
      </c>
      <c r="M150">
        <v>3</v>
      </c>
      <c r="N150">
        <v>0</v>
      </c>
      <c r="O150">
        <v>0.41</v>
      </c>
      <c r="P150">
        <v>3</v>
      </c>
      <c r="Q150">
        <v>3</v>
      </c>
      <c r="R150">
        <v>2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2</v>
      </c>
      <c r="AG150">
        <v>5</v>
      </c>
      <c r="AH150">
        <v>15</v>
      </c>
      <c r="AI150">
        <v>25</v>
      </c>
    </row>
    <row r="151" spans="1:35" x14ac:dyDescent="0.2">
      <c r="A151">
        <v>193</v>
      </c>
      <c r="B151" t="s">
        <v>127</v>
      </c>
      <c r="C151" t="s">
        <v>74</v>
      </c>
      <c r="D151" t="s">
        <v>36</v>
      </c>
      <c r="E151">
        <v>1</v>
      </c>
      <c r="F151">
        <v>15.183333333333</v>
      </c>
      <c r="G151">
        <v>0</v>
      </c>
      <c r="H151">
        <v>1</v>
      </c>
      <c r="I151">
        <v>0</v>
      </c>
      <c r="J151">
        <v>1</v>
      </c>
      <c r="K151">
        <v>1</v>
      </c>
      <c r="L151">
        <v>100</v>
      </c>
      <c r="M151">
        <v>2</v>
      </c>
      <c r="N151">
        <v>0</v>
      </c>
      <c r="O151">
        <v>0.21</v>
      </c>
      <c r="P151">
        <v>3</v>
      </c>
      <c r="Q151">
        <v>2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1</v>
      </c>
      <c r="AI151">
        <v>0</v>
      </c>
    </row>
    <row r="152" spans="1:35" x14ac:dyDescent="0.2">
      <c r="A152">
        <v>188</v>
      </c>
      <c r="B152" t="s">
        <v>284</v>
      </c>
      <c r="C152" t="s">
        <v>39</v>
      </c>
      <c r="D152" t="s">
        <v>57</v>
      </c>
      <c r="E152">
        <v>1</v>
      </c>
      <c r="F152">
        <v>15.183333333333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37</v>
      </c>
      <c r="O152">
        <v>0</v>
      </c>
      <c r="P152">
        <v>2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1</v>
      </c>
      <c r="AG152">
        <v>0</v>
      </c>
      <c r="AH152">
        <v>0</v>
      </c>
      <c r="AI152" t="s">
        <v>37</v>
      </c>
    </row>
    <row r="153" spans="1:35" x14ac:dyDescent="0.2">
      <c r="A153">
        <v>108</v>
      </c>
      <c r="B153" t="s">
        <v>104</v>
      </c>
      <c r="C153" t="s">
        <v>39</v>
      </c>
      <c r="D153" t="s">
        <v>36</v>
      </c>
      <c r="E153">
        <v>1</v>
      </c>
      <c r="F153">
        <v>14.85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100</v>
      </c>
      <c r="M153">
        <v>5</v>
      </c>
      <c r="N153">
        <v>20</v>
      </c>
      <c r="O153">
        <v>0.61</v>
      </c>
      <c r="P153">
        <v>5</v>
      </c>
      <c r="Q153">
        <v>5</v>
      </c>
      <c r="R153">
        <v>3</v>
      </c>
      <c r="S153">
        <v>3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3</v>
      </c>
      <c r="AF153">
        <v>0</v>
      </c>
      <c r="AG153">
        <v>0</v>
      </c>
      <c r="AH153">
        <v>0</v>
      </c>
      <c r="AI153" t="s">
        <v>37</v>
      </c>
    </row>
    <row r="154" spans="1:35" x14ac:dyDescent="0.2">
      <c r="A154">
        <v>174</v>
      </c>
      <c r="B154" t="s">
        <v>271</v>
      </c>
      <c r="C154" t="s">
        <v>117</v>
      </c>
      <c r="D154" t="s">
        <v>57</v>
      </c>
      <c r="E154">
        <v>1</v>
      </c>
      <c r="F154">
        <v>25.766666666667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0</v>
      </c>
      <c r="O154">
        <v>0.05</v>
      </c>
      <c r="P154">
        <v>4</v>
      </c>
      <c r="Q154">
        <v>2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2</v>
      </c>
      <c r="AD154">
        <v>1</v>
      </c>
      <c r="AE154">
        <v>0</v>
      </c>
      <c r="AF154">
        <v>0</v>
      </c>
      <c r="AG154">
        <v>0</v>
      </c>
      <c r="AH154">
        <v>0</v>
      </c>
      <c r="AI154" t="s">
        <v>37</v>
      </c>
    </row>
    <row r="155" spans="1:35" x14ac:dyDescent="0.2">
      <c r="A155">
        <v>13</v>
      </c>
      <c r="B155" t="s">
        <v>352</v>
      </c>
      <c r="C155" t="s">
        <v>59</v>
      </c>
      <c r="D155" t="s">
        <v>346</v>
      </c>
      <c r="E155">
        <v>1</v>
      </c>
      <c r="F155">
        <v>56.266666666667</v>
      </c>
    </row>
    <row r="156" spans="1:35" x14ac:dyDescent="0.2">
      <c r="A156">
        <v>119</v>
      </c>
      <c r="B156" t="s">
        <v>237</v>
      </c>
      <c r="C156" t="s">
        <v>52</v>
      </c>
      <c r="D156" t="s">
        <v>57</v>
      </c>
      <c r="E156">
        <v>1</v>
      </c>
      <c r="F156">
        <v>10.833333333333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37</v>
      </c>
      <c r="M156">
        <v>0</v>
      </c>
      <c r="N156" t="s">
        <v>37</v>
      </c>
      <c r="O156">
        <v>0</v>
      </c>
      <c r="P156">
        <v>2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0</v>
      </c>
      <c r="AD156">
        <v>0</v>
      </c>
      <c r="AE156">
        <v>2</v>
      </c>
      <c r="AF156">
        <v>1</v>
      </c>
      <c r="AG156">
        <v>0</v>
      </c>
      <c r="AH156">
        <v>0</v>
      </c>
      <c r="AI156" t="s">
        <v>37</v>
      </c>
    </row>
    <row r="157" spans="1:35" x14ac:dyDescent="0.2">
      <c r="A157">
        <v>226</v>
      </c>
      <c r="B157" t="s">
        <v>303</v>
      </c>
      <c r="C157" t="s">
        <v>148</v>
      </c>
      <c r="D157" t="s">
        <v>46</v>
      </c>
      <c r="E157">
        <v>1</v>
      </c>
      <c r="F157">
        <v>11.333333333333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37</v>
      </c>
      <c r="M157">
        <v>0</v>
      </c>
      <c r="N157" t="s">
        <v>37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1</v>
      </c>
      <c r="AG157">
        <v>0</v>
      </c>
      <c r="AH157">
        <v>0</v>
      </c>
      <c r="AI157" t="s">
        <v>37</v>
      </c>
    </row>
    <row r="158" spans="1:35" x14ac:dyDescent="0.2">
      <c r="A158">
        <v>130</v>
      </c>
      <c r="B158" t="s">
        <v>247</v>
      </c>
      <c r="C158" t="s">
        <v>35</v>
      </c>
      <c r="D158" t="s">
        <v>42</v>
      </c>
      <c r="E158">
        <v>1</v>
      </c>
      <c r="F158">
        <v>8.7166666666667005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37</v>
      </c>
      <c r="O158">
        <v>0.09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4</v>
      </c>
      <c r="AE158">
        <v>0</v>
      </c>
      <c r="AF158">
        <v>1</v>
      </c>
      <c r="AG158">
        <v>1</v>
      </c>
      <c r="AH158">
        <v>2</v>
      </c>
      <c r="AI158">
        <v>33.33</v>
      </c>
    </row>
    <row r="159" spans="1:35" x14ac:dyDescent="0.2">
      <c r="A159">
        <v>268</v>
      </c>
      <c r="B159" t="s">
        <v>67</v>
      </c>
      <c r="C159" t="s">
        <v>41</v>
      </c>
      <c r="D159" t="s">
        <v>36</v>
      </c>
      <c r="E159">
        <v>1</v>
      </c>
      <c r="F159">
        <v>10.050000000000001</v>
      </c>
      <c r="G159">
        <v>1</v>
      </c>
      <c r="H159">
        <v>1</v>
      </c>
      <c r="I159">
        <v>1</v>
      </c>
      <c r="J159">
        <v>0</v>
      </c>
      <c r="K159">
        <v>2</v>
      </c>
      <c r="L159">
        <v>66.67</v>
      </c>
      <c r="M159">
        <v>3</v>
      </c>
      <c r="N159">
        <v>33.33</v>
      </c>
      <c r="O159">
        <v>0.36</v>
      </c>
      <c r="P159">
        <v>4</v>
      </c>
      <c r="Q159">
        <v>4</v>
      </c>
      <c r="R159">
        <v>2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1</v>
      </c>
      <c r="AF159">
        <v>1</v>
      </c>
      <c r="AG159">
        <v>0</v>
      </c>
      <c r="AH159">
        <v>1</v>
      </c>
      <c r="AI159">
        <v>0</v>
      </c>
    </row>
    <row r="160" spans="1:35" x14ac:dyDescent="0.2">
      <c r="A160">
        <v>253</v>
      </c>
      <c r="B160" t="s">
        <v>320</v>
      </c>
      <c r="C160" t="s">
        <v>59</v>
      </c>
      <c r="D160" t="s">
        <v>46</v>
      </c>
      <c r="E160">
        <v>1</v>
      </c>
      <c r="F160">
        <v>12.55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37</v>
      </c>
      <c r="M160">
        <v>1</v>
      </c>
      <c r="N160">
        <v>0</v>
      </c>
      <c r="O160">
        <v>0.02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 t="s">
        <v>37</v>
      </c>
    </row>
    <row r="161" spans="1:35" x14ac:dyDescent="0.2">
      <c r="A161">
        <v>181</v>
      </c>
      <c r="B161" t="s">
        <v>58</v>
      </c>
      <c r="C161" t="s">
        <v>59</v>
      </c>
      <c r="D161" t="s">
        <v>42</v>
      </c>
      <c r="E161">
        <v>1</v>
      </c>
      <c r="F161">
        <v>14.633333333333001</v>
      </c>
      <c r="G161">
        <v>1</v>
      </c>
      <c r="H161">
        <v>1</v>
      </c>
      <c r="I161">
        <v>1</v>
      </c>
      <c r="J161">
        <v>0</v>
      </c>
      <c r="K161">
        <v>2</v>
      </c>
      <c r="L161">
        <v>100</v>
      </c>
      <c r="M161">
        <v>4</v>
      </c>
      <c r="N161">
        <v>25</v>
      </c>
      <c r="O161">
        <v>0.49</v>
      </c>
      <c r="P161">
        <v>5</v>
      </c>
      <c r="Q161">
        <v>4</v>
      </c>
      <c r="R161">
        <v>4</v>
      </c>
      <c r="S161">
        <v>2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1</v>
      </c>
      <c r="AG161">
        <v>0</v>
      </c>
      <c r="AH161">
        <v>0</v>
      </c>
      <c r="AI161" t="s">
        <v>37</v>
      </c>
    </row>
    <row r="162" spans="1:35" x14ac:dyDescent="0.2">
      <c r="A162">
        <v>237</v>
      </c>
      <c r="B162" t="s">
        <v>310</v>
      </c>
      <c r="C162" t="s">
        <v>45</v>
      </c>
      <c r="D162" t="s">
        <v>57</v>
      </c>
      <c r="E162">
        <v>1</v>
      </c>
      <c r="F162">
        <v>14.8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37</v>
      </c>
      <c r="M162">
        <v>0</v>
      </c>
      <c r="N162" t="s">
        <v>37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3</v>
      </c>
      <c r="AF162">
        <v>1</v>
      </c>
      <c r="AG162">
        <v>0</v>
      </c>
      <c r="AH162">
        <v>0</v>
      </c>
      <c r="AI162" t="s">
        <v>37</v>
      </c>
    </row>
    <row r="163" spans="1:35" x14ac:dyDescent="0.2">
      <c r="A163">
        <v>11</v>
      </c>
      <c r="B163" t="s">
        <v>347</v>
      </c>
      <c r="C163" t="s">
        <v>56</v>
      </c>
      <c r="D163" t="s">
        <v>346</v>
      </c>
      <c r="E163">
        <v>1</v>
      </c>
      <c r="F163">
        <v>59.866666666667001</v>
      </c>
    </row>
    <row r="164" spans="1:35" x14ac:dyDescent="0.2">
      <c r="A164">
        <v>209</v>
      </c>
      <c r="B164" t="s">
        <v>294</v>
      </c>
      <c r="C164" t="s">
        <v>148</v>
      </c>
      <c r="D164" t="s">
        <v>57</v>
      </c>
      <c r="E164">
        <v>1</v>
      </c>
      <c r="F164">
        <v>20.75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37</v>
      </c>
      <c r="M164">
        <v>1</v>
      </c>
      <c r="N164">
        <v>0</v>
      </c>
      <c r="O164">
        <v>0.1</v>
      </c>
      <c r="P164">
        <v>3</v>
      </c>
      <c r="Q164">
        <v>2</v>
      </c>
      <c r="R164">
        <v>2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1</v>
      </c>
      <c r="AD164">
        <v>2</v>
      </c>
      <c r="AE164">
        <v>1</v>
      </c>
      <c r="AF164">
        <v>0</v>
      </c>
      <c r="AG164">
        <v>0</v>
      </c>
      <c r="AH164">
        <v>0</v>
      </c>
      <c r="AI164" t="s">
        <v>37</v>
      </c>
    </row>
    <row r="165" spans="1:35" x14ac:dyDescent="0.2">
      <c r="A165">
        <v>12</v>
      </c>
      <c r="B165" t="s">
        <v>354</v>
      </c>
      <c r="C165" t="s">
        <v>64</v>
      </c>
      <c r="D165" t="s">
        <v>346</v>
      </c>
      <c r="E165">
        <v>1</v>
      </c>
      <c r="F165">
        <v>60</v>
      </c>
    </row>
    <row r="166" spans="1:35" x14ac:dyDescent="0.2">
      <c r="A166">
        <v>8</v>
      </c>
      <c r="B166" t="s">
        <v>413</v>
      </c>
      <c r="C166" t="s">
        <v>48</v>
      </c>
      <c r="D166" t="s">
        <v>346</v>
      </c>
      <c r="E166">
        <v>1</v>
      </c>
      <c r="F166">
        <v>57.633333333332999</v>
      </c>
    </row>
    <row r="167" spans="1:35" x14ac:dyDescent="0.2">
      <c r="A167">
        <v>68</v>
      </c>
      <c r="B167" t="s">
        <v>204</v>
      </c>
      <c r="C167" t="s">
        <v>117</v>
      </c>
      <c r="D167" t="s">
        <v>57</v>
      </c>
      <c r="E167">
        <v>1</v>
      </c>
      <c r="F167">
        <v>22.766666666667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37</v>
      </c>
      <c r="M167">
        <v>2</v>
      </c>
      <c r="N167">
        <v>0</v>
      </c>
      <c r="O167">
        <v>7.0000000000000007E-2</v>
      </c>
      <c r="P167">
        <v>6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2</v>
      </c>
      <c r="AF167">
        <v>5</v>
      </c>
      <c r="AG167">
        <v>0</v>
      </c>
      <c r="AH167">
        <v>0</v>
      </c>
      <c r="AI167" t="s">
        <v>37</v>
      </c>
    </row>
    <row r="168" spans="1:35" x14ac:dyDescent="0.2">
      <c r="A168">
        <v>282</v>
      </c>
      <c r="B168" t="s">
        <v>70</v>
      </c>
      <c r="C168" t="s">
        <v>69</v>
      </c>
      <c r="D168" t="s">
        <v>42</v>
      </c>
      <c r="E168">
        <v>1</v>
      </c>
      <c r="F168">
        <v>24.6</v>
      </c>
      <c r="G168">
        <v>2</v>
      </c>
      <c r="H168">
        <v>0</v>
      </c>
      <c r="I168">
        <v>0</v>
      </c>
      <c r="J168">
        <v>0</v>
      </c>
      <c r="K168">
        <v>2</v>
      </c>
      <c r="L168">
        <v>100</v>
      </c>
      <c r="M168">
        <v>4</v>
      </c>
      <c r="N168">
        <v>50</v>
      </c>
      <c r="O168">
        <v>0.51</v>
      </c>
      <c r="P168">
        <v>8</v>
      </c>
      <c r="Q168">
        <v>6</v>
      </c>
      <c r="R168">
        <v>6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2</v>
      </c>
      <c r="AC168">
        <v>1</v>
      </c>
      <c r="AD168">
        <v>0</v>
      </c>
      <c r="AE168">
        <v>0</v>
      </c>
      <c r="AF168">
        <v>0</v>
      </c>
      <c r="AG168">
        <v>4</v>
      </c>
      <c r="AH168">
        <v>8</v>
      </c>
      <c r="AI168">
        <v>33.33</v>
      </c>
    </row>
    <row r="169" spans="1:35" x14ac:dyDescent="0.2">
      <c r="A169">
        <v>93</v>
      </c>
      <c r="B169" t="s">
        <v>99</v>
      </c>
      <c r="C169" t="s">
        <v>59</v>
      </c>
      <c r="D169" t="s">
        <v>57</v>
      </c>
      <c r="E169">
        <v>1</v>
      </c>
      <c r="F169">
        <v>17.566666666667</v>
      </c>
      <c r="G169">
        <v>0</v>
      </c>
      <c r="H169">
        <v>1</v>
      </c>
      <c r="I169">
        <v>0</v>
      </c>
      <c r="J169">
        <v>1</v>
      </c>
      <c r="K169">
        <v>1</v>
      </c>
      <c r="L169">
        <v>50</v>
      </c>
      <c r="M169">
        <v>3</v>
      </c>
      <c r="N169">
        <v>0</v>
      </c>
      <c r="O169">
        <v>0.05</v>
      </c>
      <c r="P169">
        <v>5</v>
      </c>
      <c r="Q169">
        <v>3</v>
      </c>
      <c r="R169">
        <v>2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2</v>
      </c>
      <c r="AE169">
        <v>1</v>
      </c>
      <c r="AF169">
        <v>2</v>
      </c>
      <c r="AG169">
        <v>0</v>
      </c>
      <c r="AH169">
        <v>0</v>
      </c>
      <c r="AI169" t="s">
        <v>37</v>
      </c>
    </row>
    <row r="170" spans="1:35" x14ac:dyDescent="0.2">
      <c r="A170">
        <v>148</v>
      </c>
      <c r="B170" t="s">
        <v>260</v>
      </c>
      <c r="C170" t="s">
        <v>69</v>
      </c>
      <c r="D170" t="s">
        <v>57</v>
      </c>
      <c r="E170">
        <v>1</v>
      </c>
      <c r="F170">
        <v>19.850000000000001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0.03</v>
      </c>
      <c r="P170">
        <v>4</v>
      </c>
      <c r="Q170">
        <v>2</v>
      </c>
      <c r="R170">
        <v>0</v>
      </c>
      <c r="S170">
        <v>0</v>
      </c>
      <c r="T170">
        <v>0</v>
      </c>
      <c r="U170">
        <v>1</v>
      </c>
      <c r="V170">
        <v>2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  <c r="AE170">
        <v>3</v>
      </c>
      <c r="AF170">
        <v>2</v>
      </c>
      <c r="AG170">
        <v>0</v>
      </c>
      <c r="AH170">
        <v>0</v>
      </c>
      <c r="AI170" t="s">
        <v>37</v>
      </c>
    </row>
    <row r="171" spans="1:35" x14ac:dyDescent="0.2">
      <c r="A171">
        <v>34</v>
      </c>
      <c r="B171" t="s">
        <v>38</v>
      </c>
      <c r="C171" t="s">
        <v>39</v>
      </c>
      <c r="D171" t="s">
        <v>36</v>
      </c>
      <c r="E171">
        <v>1</v>
      </c>
      <c r="F171">
        <v>18.316666666667</v>
      </c>
      <c r="G171">
        <v>2</v>
      </c>
      <c r="H171">
        <v>1</v>
      </c>
      <c r="I171">
        <v>1</v>
      </c>
      <c r="J171">
        <v>0</v>
      </c>
      <c r="K171">
        <v>3</v>
      </c>
      <c r="L171">
        <v>100</v>
      </c>
      <c r="M171">
        <v>3</v>
      </c>
      <c r="N171">
        <v>66.67</v>
      </c>
      <c r="O171">
        <v>0.46</v>
      </c>
      <c r="P171">
        <v>4</v>
      </c>
      <c r="Q171">
        <v>4</v>
      </c>
      <c r="R171">
        <v>2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2</v>
      </c>
      <c r="AG171">
        <v>0</v>
      </c>
      <c r="AH171">
        <v>0</v>
      </c>
      <c r="AI171" t="s">
        <v>37</v>
      </c>
    </row>
    <row r="172" spans="1:35" x14ac:dyDescent="0.2">
      <c r="A172">
        <v>170</v>
      </c>
      <c r="B172" t="s">
        <v>364</v>
      </c>
      <c r="C172" t="s">
        <v>56</v>
      </c>
      <c r="D172" t="s">
        <v>57</v>
      </c>
      <c r="E172">
        <v>1</v>
      </c>
      <c r="F172">
        <v>18.983333333333</v>
      </c>
      <c r="G172">
        <v>0</v>
      </c>
      <c r="H172">
        <v>2</v>
      </c>
      <c r="I172">
        <v>0</v>
      </c>
      <c r="J172">
        <v>2</v>
      </c>
      <c r="K172">
        <v>2</v>
      </c>
      <c r="L172">
        <v>100</v>
      </c>
      <c r="M172">
        <v>2</v>
      </c>
      <c r="N172">
        <v>0</v>
      </c>
      <c r="O172">
        <v>0.06</v>
      </c>
      <c r="P172">
        <v>5</v>
      </c>
      <c r="Q172">
        <v>2</v>
      </c>
      <c r="R172">
        <v>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0</v>
      </c>
      <c r="AI172" t="s">
        <v>37</v>
      </c>
    </row>
    <row r="173" spans="1:35" x14ac:dyDescent="0.2">
      <c r="A173">
        <v>158</v>
      </c>
      <c r="B173" t="s">
        <v>55</v>
      </c>
      <c r="C173" t="s">
        <v>48</v>
      </c>
      <c r="D173" t="s">
        <v>42</v>
      </c>
      <c r="E173">
        <v>1</v>
      </c>
      <c r="F173">
        <v>25.266666666667</v>
      </c>
      <c r="G173">
        <v>0</v>
      </c>
      <c r="H173">
        <v>2</v>
      </c>
      <c r="I173">
        <v>0</v>
      </c>
      <c r="J173">
        <v>2</v>
      </c>
      <c r="K173">
        <v>2</v>
      </c>
      <c r="L173">
        <v>100</v>
      </c>
      <c r="M173">
        <v>9</v>
      </c>
      <c r="N173">
        <v>0</v>
      </c>
      <c r="O173">
        <v>0.61</v>
      </c>
      <c r="P173">
        <v>11</v>
      </c>
      <c r="Q173">
        <v>10</v>
      </c>
      <c r="R173">
        <v>4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3</v>
      </c>
      <c r="AE173">
        <v>0</v>
      </c>
      <c r="AF173">
        <v>0</v>
      </c>
      <c r="AG173">
        <v>0</v>
      </c>
      <c r="AH173">
        <v>0</v>
      </c>
      <c r="AI173" t="s">
        <v>37</v>
      </c>
    </row>
    <row r="174" spans="1:35" x14ac:dyDescent="0.2">
      <c r="A174">
        <v>182</v>
      </c>
      <c r="B174" t="s">
        <v>278</v>
      </c>
      <c r="C174" t="s">
        <v>117</v>
      </c>
      <c r="D174" t="s">
        <v>42</v>
      </c>
      <c r="E174">
        <v>1</v>
      </c>
      <c r="F174">
        <v>13.116666666666999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37</v>
      </c>
      <c r="M174">
        <v>4</v>
      </c>
      <c r="N174">
        <v>0</v>
      </c>
      <c r="O174">
        <v>0.26</v>
      </c>
      <c r="P174">
        <v>6</v>
      </c>
      <c r="Q174">
        <v>6</v>
      </c>
      <c r="R174">
        <v>2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3</v>
      </c>
      <c r="AE174">
        <v>0</v>
      </c>
      <c r="AF174">
        <v>0</v>
      </c>
      <c r="AG174">
        <v>0</v>
      </c>
      <c r="AH174">
        <v>0</v>
      </c>
      <c r="AI174" t="s">
        <v>37</v>
      </c>
    </row>
    <row r="175" spans="1:35" x14ac:dyDescent="0.2">
      <c r="A175">
        <v>118</v>
      </c>
      <c r="B175" t="s">
        <v>236</v>
      </c>
      <c r="C175" t="s">
        <v>45</v>
      </c>
      <c r="D175" t="s">
        <v>36</v>
      </c>
      <c r="E175">
        <v>1</v>
      </c>
      <c r="F175">
        <v>11.483333333333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37</v>
      </c>
      <c r="M175">
        <v>0</v>
      </c>
      <c r="N175" t="s">
        <v>37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2</v>
      </c>
      <c r="AE175">
        <v>0</v>
      </c>
      <c r="AF175">
        <v>0</v>
      </c>
      <c r="AG175">
        <v>0</v>
      </c>
      <c r="AH175">
        <v>0</v>
      </c>
      <c r="AI175" t="s">
        <v>37</v>
      </c>
    </row>
    <row r="176" spans="1:35" x14ac:dyDescent="0.2">
      <c r="A176">
        <v>206</v>
      </c>
      <c r="B176" t="s">
        <v>133</v>
      </c>
      <c r="C176" t="s">
        <v>61</v>
      </c>
      <c r="D176" t="s">
        <v>46</v>
      </c>
      <c r="E176">
        <v>1</v>
      </c>
      <c r="F176">
        <v>19.966666666666999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50</v>
      </c>
      <c r="M176">
        <v>0</v>
      </c>
      <c r="N176" t="s">
        <v>37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  <c r="AE176">
        <v>3</v>
      </c>
      <c r="AF176">
        <v>0</v>
      </c>
      <c r="AG176">
        <v>0</v>
      </c>
      <c r="AH176">
        <v>0</v>
      </c>
      <c r="AI176" t="s">
        <v>37</v>
      </c>
    </row>
    <row r="177" spans="1:35" x14ac:dyDescent="0.2">
      <c r="A177">
        <v>235</v>
      </c>
      <c r="B177" t="s">
        <v>309</v>
      </c>
      <c r="C177" t="s">
        <v>117</v>
      </c>
      <c r="D177" t="s">
        <v>36</v>
      </c>
      <c r="E177">
        <v>1</v>
      </c>
      <c r="F177">
        <v>15.083333333333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37</v>
      </c>
      <c r="M177">
        <v>0</v>
      </c>
      <c r="N177" t="s">
        <v>37</v>
      </c>
      <c r="O177">
        <v>0.19</v>
      </c>
      <c r="P177">
        <v>6</v>
      </c>
      <c r="Q177">
        <v>3</v>
      </c>
      <c r="R177">
        <v>3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3</v>
      </c>
      <c r="AF177">
        <v>1</v>
      </c>
      <c r="AG177">
        <v>1</v>
      </c>
      <c r="AH177">
        <v>0</v>
      </c>
      <c r="AI177">
        <v>100</v>
      </c>
    </row>
    <row r="178" spans="1:35" x14ac:dyDescent="0.2">
      <c r="A178">
        <v>13</v>
      </c>
      <c r="B178" t="s">
        <v>77</v>
      </c>
      <c r="C178" t="s">
        <v>52</v>
      </c>
      <c r="D178" t="s">
        <v>42</v>
      </c>
      <c r="E178">
        <v>1</v>
      </c>
      <c r="F178">
        <v>12.983333333333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100</v>
      </c>
      <c r="M178">
        <v>1</v>
      </c>
      <c r="N178">
        <v>100</v>
      </c>
      <c r="O178">
        <v>0.1</v>
      </c>
      <c r="P178">
        <v>3</v>
      </c>
      <c r="Q178">
        <v>1</v>
      </c>
      <c r="R178">
        <v>2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4</v>
      </c>
      <c r="AH178">
        <v>2</v>
      </c>
      <c r="AI178">
        <v>66.67</v>
      </c>
    </row>
    <row r="179" spans="1:35" x14ac:dyDescent="0.2">
      <c r="A179">
        <v>59</v>
      </c>
      <c r="B179" t="s">
        <v>198</v>
      </c>
      <c r="C179" t="s">
        <v>148</v>
      </c>
      <c r="D179" t="s">
        <v>57</v>
      </c>
      <c r="E179">
        <v>1</v>
      </c>
      <c r="F179">
        <v>13.866666666666999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37</v>
      </c>
      <c r="O179">
        <v>0.02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37</v>
      </c>
    </row>
    <row r="180" spans="1:35" x14ac:dyDescent="0.2">
      <c r="A180">
        <v>129</v>
      </c>
      <c r="B180" t="s">
        <v>246</v>
      </c>
      <c r="C180" t="s">
        <v>56</v>
      </c>
      <c r="D180" t="s">
        <v>57</v>
      </c>
      <c r="E180">
        <v>1</v>
      </c>
      <c r="F180">
        <v>19.7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0.45</v>
      </c>
      <c r="P180">
        <v>5</v>
      </c>
      <c r="Q180">
        <v>4</v>
      </c>
      <c r="R180">
        <v>4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3</v>
      </c>
      <c r="AE180">
        <v>1</v>
      </c>
      <c r="AF180">
        <v>1</v>
      </c>
      <c r="AG180">
        <v>0</v>
      </c>
      <c r="AH180">
        <v>0</v>
      </c>
      <c r="AI180" t="s">
        <v>37</v>
      </c>
    </row>
    <row r="181" spans="1:35" x14ac:dyDescent="0.2">
      <c r="A181">
        <v>236</v>
      </c>
      <c r="B181" t="s">
        <v>60</v>
      </c>
      <c r="C181" t="s">
        <v>61</v>
      </c>
      <c r="D181" t="s">
        <v>46</v>
      </c>
      <c r="E181">
        <v>1</v>
      </c>
      <c r="F181">
        <v>20.149999999999999</v>
      </c>
      <c r="G181">
        <v>0</v>
      </c>
      <c r="H181">
        <v>2</v>
      </c>
      <c r="I181">
        <v>2</v>
      </c>
      <c r="J181">
        <v>0</v>
      </c>
      <c r="K181">
        <v>2</v>
      </c>
      <c r="L181">
        <v>100</v>
      </c>
      <c r="M181">
        <v>3</v>
      </c>
      <c r="N181">
        <v>0</v>
      </c>
      <c r="O181">
        <v>0.42</v>
      </c>
      <c r="P181">
        <v>7</v>
      </c>
      <c r="Q181">
        <v>6</v>
      </c>
      <c r="R181">
        <v>6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3</v>
      </c>
      <c r="AE181">
        <v>1</v>
      </c>
      <c r="AF181">
        <v>0</v>
      </c>
      <c r="AG181">
        <v>0</v>
      </c>
      <c r="AH181">
        <v>0</v>
      </c>
      <c r="AI181" t="s">
        <v>37</v>
      </c>
    </row>
    <row r="182" spans="1:35" x14ac:dyDescent="0.2">
      <c r="A182">
        <v>187</v>
      </c>
      <c r="B182" t="s">
        <v>283</v>
      </c>
      <c r="C182" t="s">
        <v>85</v>
      </c>
      <c r="D182" t="s">
        <v>57</v>
      </c>
      <c r="E182">
        <v>1</v>
      </c>
      <c r="F182">
        <v>17.75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37</v>
      </c>
      <c r="M182">
        <v>1</v>
      </c>
      <c r="N182">
        <v>0</v>
      </c>
      <c r="O182">
        <v>0.01</v>
      </c>
      <c r="P182">
        <v>3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1</v>
      </c>
      <c r="AF182">
        <v>1</v>
      </c>
      <c r="AG182">
        <v>0</v>
      </c>
      <c r="AH182">
        <v>0</v>
      </c>
      <c r="AI182" t="s">
        <v>37</v>
      </c>
    </row>
    <row r="183" spans="1:35" x14ac:dyDescent="0.2">
      <c r="A183">
        <v>232</v>
      </c>
      <c r="B183" t="s">
        <v>145</v>
      </c>
      <c r="C183" t="s">
        <v>74</v>
      </c>
      <c r="D183" t="s">
        <v>42</v>
      </c>
      <c r="E183">
        <v>1</v>
      </c>
      <c r="F183">
        <v>17.850000000000001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100</v>
      </c>
      <c r="M183">
        <v>1</v>
      </c>
      <c r="N183">
        <v>0</v>
      </c>
      <c r="O183">
        <v>0.33</v>
      </c>
      <c r="P183">
        <v>5</v>
      </c>
      <c r="Q183">
        <v>4</v>
      </c>
      <c r="R183">
        <v>5</v>
      </c>
      <c r="S183">
        <v>2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5</v>
      </c>
      <c r="AF183">
        <v>1</v>
      </c>
      <c r="AG183">
        <v>8</v>
      </c>
      <c r="AH183">
        <v>7</v>
      </c>
      <c r="AI183">
        <v>53.33</v>
      </c>
    </row>
    <row r="184" spans="1:35" x14ac:dyDescent="0.2">
      <c r="A184">
        <v>285</v>
      </c>
      <c r="B184" t="s">
        <v>338</v>
      </c>
      <c r="C184" t="s">
        <v>117</v>
      </c>
      <c r="D184" t="s">
        <v>36</v>
      </c>
      <c r="E184">
        <v>1</v>
      </c>
      <c r="F184">
        <v>9.15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37</v>
      </c>
      <c r="M184">
        <v>0</v>
      </c>
      <c r="N184" t="s">
        <v>37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 t="s">
        <v>37</v>
      </c>
    </row>
    <row r="185" spans="1:35" x14ac:dyDescent="0.2">
      <c r="A185">
        <v>277</v>
      </c>
      <c r="B185" t="s">
        <v>43</v>
      </c>
      <c r="C185" t="s">
        <v>35</v>
      </c>
      <c r="D185" t="s">
        <v>36</v>
      </c>
      <c r="E185">
        <v>1</v>
      </c>
      <c r="F185">
        <v>14.516666666667</v>
      </c>
      <c r="G185">
        <v>2</v>
      </c>
      <c r="H185">
        <v>1</v>
      </c>
      <c r="I185">
        <v>1</v>
      </c>
      <c r="J185">
        <v>0</v>
      </c>
      <c r="K185">
        <v>3</v>
      </c>
      <c r="L185">
        <v>75</v>
      </c>
      <c r="M185">
        <v>5</v>
      </c>
      <c r="N185">
        <v>40</v>
      </c>
      <c r="O185">
        <v>1.25</v>
      </c>
      <c r="P185">
        <v>5</v>
      </c>
      <c r="Q185">
        <v>5</v>
      </c>
      <c r="R185">
        <v>3</v>
      </c>
      <c r="S185">
        <v>3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 t="s">
        <v>37</v>
      </c>
    </row>
    <row r="186" spans="1:35" x14ac:dyDescent="0.2">
      <c r="A186">
        <v>222</v>
      </c>
      <c r="B186" t="s">
        <v>300</v>
      </c>
      <c r="C186" t="s">
        <v>52</v>
      </c>
      <c r="D186" t="s">
        <v>42</v>
      </c>
      <c r="E186">
        <v>1</v>
      </c>
      <c r="F186">
        <v>13.9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37</v>
      </c>
      <c r="M186">
        <v>1</v>
      </c>
      <c r="N186">
        <v>0</v>
      </c>
      <c r="O186">
        <v>0.02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4</v>
      </c>
      <c r="AI186">
        <v>20</v>
      </c>
    </row>
    <row r="187" spans="1:35" x14ac:dyDescent="0.2">
      <c r="A187">
        <v>207</v>
      </c>
      <c r="B187" t="s">
        <v>293</v>
      </c>
      <c r="C187" t="s">
        <v>87</v>
      </c>
      <c r="D187" t="s">
        <v>57</v>
      </c>
      <c r="E187">
        <v>1</v>
      </c>
      <c r="F187">
        <v>15.266666666667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37</v>
      </c>
      <c r="M187">
        <v>3</v>
      </c>
      <c r="N187">
        <v>0</v>
      </c>
      <c r="O187">
        <v>0.05</v>
      </c>
      <c r="P187">
        <v>5</v>
      </c>
      <c r="Q187">
        <v>4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2</v>
      </c>
      <c r="AE187">
        <v>3</v>
      </c>
      <c r="AF187">
        <v>0</v>
      </c>
      <c r="AG187">
        <v>0</v>
      </c>
      <c r="AH187">
        <v>0</v>
      </c>
      <c r="AI187" t="s">
        <v>37</v>
      </c>
    </row>
    <row r="188" spans="1:35" x14ac:dyDescent="0.2">
      <c r="A188">
        <v>82</v>
      </c>
      <c r="B188" t="s">
        <v>96</v>
      </c>
      <c r="C188" t="s">
        <v>61</v>
      </c>
      <c r="D188" t="s">
        <v>42</v>
      </c>
      <c r="E188">
        <v>1</v>
      </c>
      <c r="F188">
        <v>18.8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100</v>
      </c>
      <c r="M188">
        <v>1</v>
      </c>
      <c r="N188">
        <v>0</v>
      </c>
      <c r="O188">
        <v>0.03</v>
      </c>
      <c r="P188">
        <v>3</v>
      </c>
      <c r="Q188">
        <v>2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</row>
    <row r="189" spans="1:35" x14ac:dyDescent="0.2">
      <c r="A189">
        <v>287</v>
      </c>
      <c r="B189" t="s">
        <v>158</v>
      </c>
      <c r="C189" t="s">
        <v>69</v>
      </c>
      <c r="D189" t="s">
        <v>42</v>
      </c>
      <c r="E189">
        <v>1</v>
      </c>
      <c r="F189">
        <v>12.466666666667001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100</v>
      </c>
      <c r="M189">
        <v>1</v>
      </c>
      <c r="N189">
        <v>0</v>
      </c>
      <c r="O189">
        <v>0.45</v>
      </c>
      <c r="P189">
        <v>2</v>
      </c>
      <c r="Q189">
        <v>2</v>
      </c>
      <c r="R189">
        <v>2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7</v>
      </c>
      <c r="AH189">
        <v>1</v>
      </c>
      <c r="AI189">
        <v>87.5</v>
      </c>
    </row>
    <row r="190" spans="1:35" x14ac:dyDescent="0.2">
      <c r="A190">
        <v>44</v>
      </c>
      <c r="B190" t="s">
        <v>188</v>
      </c>
      <c r="C190" t="s">
        <v>85</v>
      </c>
      <c r="D190" t="s">
        <v>42</v>
      </c>
      <c r="E190">
        <v>1</v>
      </c>
      <c r="F190">
        <v>23.2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37</v>
      </c>
      <c r="M190">
        <v>6</v>
      </c>
      <c r="N190">
        <v>0</v>
      </c>
      <c r="O190">
        <v>0.22</v>
      </c>
      <c r="P190">
        <v>8</v>
      </c>
      <c r="Q190">
        <v>6</v>
      </c>
      <c r="R190">
        <v>3</v>
      </c>
      <c r="S190">
        <v>1</v>
      </c>
      <c r="T190">
        <v>0</v>
      </c>
      <c r="U190">
        <v>1</v>
      </c>
      <c r="V190">
        <v>2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7</v>
      </c>
      <c r="AH190">
        <v>7</v>
      </c>
      <c r="AI190">
        <v>50</v>
      </c>
    </row>
    <row r="191" spans="1:35" x14ac:dyDescent="0.2">
      <c r="A191">
        <v>8</v>
      </c>
      <c r="B191" t="s">
        <v>165</v>
      </c>
      <c r="C191" t="s">
        <v>117</v>
      </c>
      <c r="D191" t="s">
        <v>42</v>
      </c>
      <c r="E191">
        <v>1</v>
      </c>
      <c r="F191">
        <v>20.233333333333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7.0000000000000007E-2</v>
      </c>
      <c r="P191">
        <v>5</v>
      </c>
      <c r="Q191">
        <v>2</v>
      </c>
      <c r="R191">
        <v>1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2</v>
      </c>
      <c r="AF191">
        <v>0</v>
      </c>
      <c r="AG191">
        <v>8</v>
      </c>
      <c r="AH191">
        <v>10</v>
      </c>
      <c r="AI191">
        <v>44.44</v>
      </c>
    </row>
    <row r="192" spans="1:35" x14ac:dyDescent="0.2">
      <c r="A192">
        <v>31</v>
      </c>
      <c r="B192" t="s">
        <v>83</v>
      </c>
      <c r="C192" t="s">
        <v>64</v>
      </c>
      <c r="D192" t="s">
        <v>42</v>
      </c>
      <c r="E192">
        <v>1</v>
      </c>
      <c r="F192">
        <v>18.850000000000001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50</v>
      </c>
      <c r="M192">
        <v>2</v>
      </c>
      <c r="N192">
        <v>0</v>
      </c>
      <c r="O192">
        <v>0.19</v>
      </c>
      <c r="P192">
        <v>2</v>
      </c>
      <c r="Q192">
        <v>2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2</v>
      </c>
      <c r="AE192">
        <v>0</v>
      </c>
      <c r="AF192">
        <v>1</v>
      </c>
      <c r="AG192">
        <v>5</v>
      </c>
      <c r="AH192">
        <v>9</v>
      </c>
      <c r="AI192">
        <v>35.71</v>
      </c>
    </row>
    <row r="193" spans="1:35" x14ac:dyDescent="0.2">
      <c r="A193">
        <v>106</v>
      </c>
      <c r="B193" t="s">
        <v>229</v>
      </c>
      <c r="C193" t="s">
        <v>52</v>
      </c>
      <c r="D193" t="s">
        <v>36</v>
      </c>
      <c r="E193">
        <v>1</v>
      </c>
      <c r="F193">
        <v>22.466666666666999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0.8</v>
      </c>
      <c r="P193">
        <v>3</v>
      </c>
      <c r="Q193">
        <v>2</v>
      </c>
      <c r="R193">
        <v>2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0</v>
      </c>
      <c r="AD193">
        <v>0</v>
      </c>
      <c r="AE193">
        <v>2</v>
      </c>
      <c r="AF193">
        <v>0</v>
      </c>
      <c r="AG193">
        <v>0</v>
      </c>
      <c r="AH193">
        <v>1</v>
      </c>
      <c r="AI193">
        <v>0</v>
      </c>
    </row>
    <row r="194" spans="1:35" x14ac:dyDescent="0.2">
      <c r="A194">
        <v>157</v>
      </c>
      <c r="B194" t="s">
        <v>118</v>
      </c>
      <c r="C194" t="s">
        <v>52</v>
      </c>
      <c r="D194" t="s">
        <v>57</v>
      </c>
      <c r="E194">
        <v>1</v>
      </c>
      <c r="F194">
        <v>27</v>
      </c>
      <c r="G194">
        <v>0</v>
      </c>
      <c r="H194">
        <v>1</v>
      </c>
      <c r="I194">
        <v>1</v>
      </c>
      <c r="J194">
        <v>0</v>
      </c>
      <c r="K194">
        <v>1</v>
      </c>
      <c r="L194">
        <v>50</v>
      </c>
      <c r="M194">
        <v>2</v>
      </c>
      <c r="N194">
        <v>0</v>
      </c>
      <c r="O194">
        <v>0.09</v>
      </c>
      <c r="P194">
        <v>5</v>
      </c>
      <c r="Q194">
        <v>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2</v>
      </c>
      <c r="AF194">
        <v>1</v>
      </c>
      <c r="AG194">
        <v>0</v>
      </c>
      <c r="AH194">
        <v>0</v>
      </c>
      <c r="AI194" t="s">
        <v>37</v>
      </c>
    </row>
    <row r="195" spans="1:35" x14ac:dyDescent="0.2">
      <c r="A195">
        <v>120</v>
      </c>
      <c r="B195" t="s">
        <v>238</v>
      </c>
      <c r="C195" t="s">
        <v>39</v>
      </c>
      <c r="D195" t="s">
        <v>36</v>
      </c>
      <c r="E195">
        <v>1</v>
      </c>
      <c r="F195">
        <v>17.416666666666998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0.02</v>
      </c>
      <c r="P195">
        <v>2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</v>
      </c>
    </row>
    <row r="196" spans="1:35" x14ac:dyDescent="0.2">
      <c r="A196">
        <v>156</v>
      </c>
      <c r="B196" t="s">
        <v>116</v>
      </c>
      <c r="C196" t="s">
        <v>117</v>
      </c>
      <c r="D196" t="s">
        <v>42</v>
      </c>
      <c r="E196">
        <v>1</v>
      </c>
      <c r="F196">
        <v>10.216666666667001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100</v>
      </c>
      <c r="M196">
        <v>1</v>
      </c>
      <c r="N196">
        <v>100</v>
      </c>
      <c r="O196">
        <v>7.0000000000000007E-2</v>
      </c>
      <c r="P196">
        <v>2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0</v>
      </c>
      <c r="AF196">
        <v>0</v>
      </c>
      <c r="AG196">
        <v>4</v>
      </c>
      <c r="AH196">
        <v>3</v>
      </c>
      <c r="AI196">
        <v>57.14</v>
      </c>
    </row>
    <row r="197" spans="1:35" x14ac:dyDescent="0.2">
      <c r="A197">
        <v>52</v>
      </c>
      <c r="B197" t="s">
        <v>90</v>
      </c>
      <c r="C197" t="s">
        <v>61</v>
      </c>
      <c r="D197" t="s">
        <v>57</v>
      </c>
      <c r="E197">
        <v>1</v>
      </c>
      <c r="F197">
        <v>21.05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50</v>
      </c>
      <c r="M197">
        <v>1</v>
      </c>
      <c r="N197">
        <v>0</v>
      </c>
      <c r="O197">
        <v>0.05</v>
      </c>
      <c r="P197">
        <v>6</v>
      </c>
      <c r="Q197">
        <v>2</v>
      </c>
      <c r="R197">
        <v>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2</v>
      </c>
      <c r="AG197">
        <v>0</v>
      </c>
      <c r="AH197">
        <v>0</v>
      </c>
      <c r="AI197" t="s">
        <v>37</v>
      </c>
    </row>
    <row r="198" spans="1:35" x14ac:dyDescent="0.2">
      <c r="A198">
        <v>80</v>
      </c>
      <c r="B198" t="s">
        <v>47</v>
      </c>
      <c r="C198" t="s">
        <v>48</v>
      </c>
      <c r="D198" t="s">
        <v>42</v>
      </c>
      <c r="E198">
        <v>1</v>
      </c>
      <c r="F198">
        <v>26.25</v>
      </c>
      <c r="G198">
        <v>0</v>
      </c>
      <c r="H198">
        <v>2</v>
      </c>
      <c r="I198">
        <v>2</v>
      </c>
      <c r="J198">
        <v>0</v>
      </c>
      <c r="K198">
        <v>2</v>
      </c>
      <c r="L198">
        <v>100</v>
      </c>
      <c r="M198">
        <v>1</v>
      </c>
      <c r="N198">
        <v>0</v>
      </c>
      <c r="O198">
        <v>0.1</v>
      </c>
      <c r="P198">
        <v>2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2</v>
      </c>
      <c r="W198">
        <v>1</v>
      </c>
      <c r="X198">
        <v>1</v>
      </c>
      <c r="Y198">
        <v>0</v>
      </c>
      <c r="Z198">
        <v>0</v>
      </c>
      <c r="AA198">
        <v>1</v>
      </c>
      <c r="AB198">
        <v>1</v>
      </c>
      <c r="AC198">
        <v>0</v>
      </c>
      <c r="AD198">
        <v>1</v>
      </c>
      <c r="AE198">
        <v>2</v>
      </c>
      <c r="AF198">
        <v>0</v>
      </c>
      <c r="AG198">
        <v>6</v>
      </c>
      <c r="AH198">
        <v>8</v>
      </c>
      <c r="AI198">
        <v>42.86</v>
      </c>
    </row>
    <row r="199" spans="1:35" x14ac:dyDescent="0.2">
      <c r="A199">
        <v>17</v>
      </c>
      <c r="B199" t="s">
        <v>170</v>
      </c>
      <c r="C199" t="s">
        <v>117</v>
      </c>
      <c r="D199" t="s">
        <v>42</v>
      </c>
      <c r="E199">
        <v>1</v>
      </c>
      <c r="F199">
        <v>18.433333333333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37</v>
      </c>
      <c r="M199">
        <v>1</v>
      </c>
      <c r="N199">
        <v>0</v>
      </c>
      <c r="O199">
        <v>0.35</v>
      </c>
      <c r="P199">
        <v>3</v>
      </c>
      <c r="Q199">
        <v>2</v>
      </c>
      <c r="R199">
        <v>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</v>
      </c>
      <c r="AC199">
        <v>1</v>
      </c>
      <c r="AD199">
        <v>1</v>
      </c>
      <c r="AE199">
        <v>2</v>
      </c>
      <c r="AF199">
        <v>0</v>
      </c>
      <c r="AG199">
        <v>13</v>
      </c>
      <c r="AH199">
        <v>11</v>
      </c>
      <c r="AI199">
        <v>54.17</v>
      </c>
    </row>
    <row r="200" spans="1:35" x14ac:dyDescent="0.2">
      <c r="A200">
        <v>21</v>
      </c>
      <c r="B200" t="s">
        <v>172</v>
      </c>
      <c r="C200" t="s">
        <v>56</v>
      </c>
      <c r="D200" t="s">
        <v>42</v>
      </c>
      <c r="E200">
        <v>1</v>
      </c>
      <c r="F200">
        <v>16.516666666667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37</v>
      </c>
      <c r="M200">
        <v>0</v>
      </c>
      <c r="N200" t="s">
        <v>37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1</v>
      </c>
      <c r="AD200">
        <v>0</v>
      </c>
      <c r="AE200">
        <v>2</v>
      </c>
      <c r="AF200">
        <v>0</v>
      </c>
      <c r="AG200">
        <v>9</v>
      </c>
      <c r="AH200">
        <v>6</v>
      </c>
      <c r="AI200">
        <v>60</v>
      </c>
    </row>
    <row r="201" spans="1:35" x14ac:dyDescent="0.2">
      <c r="A201">
        <v>199</v>
      </c>
      <c r="B201" t="s">
        <v>289</v>
      </c>
      <c r="C201" t="s">
        <v>61</v>
      </c>
      <c r="D201" t="s">
        <v>46</v>
      </c>
      <c r="E201">
        <v>1</v>
      </c>
      <c r="F201">
        <v>12.65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37</v>
      </c>
      <c r="M201">
        <v>0</v>
      </c>
      <c r="N201" t="s">
        <v>37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0</v>
      </c>
      <c r="AD201">
        <v>0</v>
      </c>
      <c r="AE201">
        <v>1</v>
      </c>
      <c r="AF201">
        <v>1</v>
      </c>
      <c r="AG201">
        <v>1</v>
      </c>
      <c r="AH201">
        <v>0</v>
      </c>
      <c r="AI201">
        <v>100</v>
      </c>
    </row>
    <row r="202" spans="1:35" x14ac:dyDescent="0.2">
      <c r="A202">
        <v>28</v>
      </c>
      <c r="B202" t="s">
        <v>178</v>
      </c>
      <c r="C202" t="s">
        <v>45</v>
      </c>
      <c r="D202" t="s">
        <v>42</v>
      </c>
      <c r="E202">
        <v>1</v>
      </c>
      <c r="F202">
        <v>13.35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37</v>
      </c>
      <c r="M202">
        <v>1</v>
      </c>
      <c r="N202">
        <v>0</v>
      </c>
      <c r="O202">
        <v>0.09</v>
      </c>
      <c r="P202">
        <v>2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0</v>
      </c>
      <c r="AD202">
        <v>3</v>
      </c>
      <c r="AE202">
        <v>1</v>
      </c>
      <c r="AF202">
        <v>0</v>
      </c>
      <c r="AG202">
        <v>2</v>
      </c>
      <c r="AH202">
        <v>11</v>
      </c>
      <c r="AI202">
        <v>15.38</v>
      </c>
    </row>
    <row r="203" spans="1:35" x14ac:dyDescent="0.2">
      <c r="A203">
        <v>4</v>
      </c>
      <c r="B203" t="s">
        <v>161</v>
      </c>
      <c r="C203" t="s">
        <v>148</v>
      </c>
      <c r="D203" t="s">
        <v>46</v>
      </c>
      <c r="E203">
        <v>1</v>
      </c>
      <c r="F203">
        <v>5.6833333333332998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37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</v>
      </c>
      <c r="W203">
        <v>1</v>
      </c>
      <c r="X203">
        <v>0</v>
      </c>
      <c r="Y203">
        <v>1</v>
      </c>
      <c r="Z203">
        <v>0</v>
      </c>
      <c r="AA203">
        <v>2</v>
      </c>
      <c r="AB203">
        <v>0</v>
      </c>
      <c r="AC203">
        <v>0</v>
      </c>
      <c r="AD203">
        <v>2</v>
      </c>
      <c r="AE203">
        <v>0</v>
      </c>
      <c r="AF203">
        <v>1</v>
      </c>
      <c r="AG203">
        <v>0</v>
      </c>
      <c r="AH203">
        <v>0</v>
      </c>
      <c r="AI203" t="s">
        <v>37</v>
      </c>
    </row>
    <row r="204" spans="1:35" x14ac:dyDescent="0.2">
      <c r="A204">
        <v>269</v>
      </c>
      <c r="B204" t="s">
        <v>154</v>
      </c>
      <c r="C204" t="s">
        <v>148</v>
      </c>
      <c r="D204" t="s">
        <v>46</v>
      </c>
      <c r="E204">
        <v>1</v>
      </c>
      <c r="F204">
        <v>12.166666666667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100</v>
      </c>
      <c r="M204">
        <v>1</v>
      </c>
      <c r="N204">
        <v>0</v>
      </c>
      <c r="O204">
        <v>0.06</v>
      </c>
      <c r="P204">
        <v>3</v>
      </c>
      <c r="Q204">
        <v>2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2</v>
      </c>
      <c r="AF204">
        <v>1</v>
      </c>
      <c r="AG204">
        <v>0</v>
      </c>
      <c r="AH204">
        <v>0</v>
      </c>
      <c r="AI204" t="s">
        <v>37</v>
      </c>
    </row>
    <row r="205" spans="1:35" x14ac:dyDescent="0.2">
      <c r="A205">
        <v>73</v>
      </c>
      <c r="B205" t="s">
        <v>208</v>
      </c>
      <c r="C205" t="s">
        <v>87</v>
      </c>
      <c r="D205" t="s">
        <v>46</v>
      </c>
      <c r="E205">
        <v>1</v>
      </c>
      <c r="F205">
        <v>9.5833333333333002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37</v>
      </c>
      <c r="M205">
        <v>0</v>
      </c>
      <c r="N205" t="s">
        <v>37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3</v>
      </c>
      <c r="AI205">
        <v>25</v>
      </c>
    </row>
    <row r="206" spans="1:35" x14ac:dyDescent="0.2">
      <c r="A206">
        <v>38</v>
      </c>
      <c r="B206" t="s">
        <v>183</v>
      </c>
      <c r="C206" t="s">
        <v>35</v>
      </c>
      <c r="D206" t="s">
        <v>57</v>
      </c>
      <c r="E206">
        <v>1</v>
      </c>
      <c r="F206">
        <v>22.266666666667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37</v>
      </c>
      <c r="O206">
        <v>0</v>
      </c>
      <c r="P206">
        <v>2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2</v>
      </c>
      <c r="AE206">
        <v>2</v>
      </c>
      <c r="AF206">
        <v>3</v>
      </c>
      <c r="AG206">
        <v>0</v>
      </c>
      <c r="AH206">
        <v>0</v>
      </c>
      <c r="AI206" t="s">
        <v>37</v>
      </c>
    </row>
    <row r="207" spans="1:35" x14ac:dyDescent="0.2">
      <c r="A207">
        <v>150</v>
      </c>
      <c r="B207" t="s">
        <v>53</v>
      </c>
      <c r="C207" t="s">
        <v>41</v>
      </c>
      <c r="D207" t="s">
        <v>42</v>
      </c>
      <c r="E207">
        <v>1</v>
      </c>
      <c r="F207">
        <v>19.95</v>
      </c>
      <c r="G207">
        <v>1</v>
      </c>
      <c r="H207">
        <v>1</v>
      </c>
      <c r="I207">
        <v>0</v>
      </c>
      <c r="J207">
        <v>1</v>
      </c>
      <c r="K207">
        <v>2</v>
      </c>
      <c r="L207">
        <v>100</v>
      </c>
      <c r="M207">
        <v>3</v>
      </c>
      <c r="N207">
        <v>33.33</v>
      </c>
      <c r="O207">
        <v>0.47</v>
      </c>
      <c r="P207">
        <v>8</v>
      </c>
      <c r="Q207">
        <v>6</v>
      </c>
      <c r="R207">
        <v>5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1</v>
      </c>
      <c r="AG207">
        <v>11</v>
      </c>
      <c r="AH207">
        <v>8</v>
      </c>
      <c r="AI207">
        <v>57.89</v>
      </c>
    </row>
    <row r="208" spans="1:35" x14ac:dyDescent="0.2">
      <c r="A208">
        <v>115</v>
      </c>
      <c r="B208" t="s">
        <v>233</v>
      </c>
      <c r="C208" t="s">
        <v>61</v>
      </c>
      <c r="D208" t="s">
        <v>42</v>
      </c>
      <c r="E208">
        <v>1</v>
      </c>
      <c r="F208">
        <v>13.833333333333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37</v>
      </c>
      <c r="M208">
        <v>0</v>
      </c>
      <c r="N208" t="s">
        <v>37</v>
      </c>
      <c r="O208">
        <v>0.09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5</v>
      </c>
      <c r="AH208">
        <v>3</v>
      </c>
      <c r="AI208">
        <v>62.5</v>
      </c>
    </row>
    <row r="209" spans="1:35" x14ac:dyDescent="0.2">
      <c r="A209">
        <v>40</v>
      </c>
      <c r="B209" t="s">
        <v>86</v>
      </c>
      <c r="C209" t="s">
        <v>87</v>
      </c>
      <c r="D209" t="s">
        <v>36</v>
      </c>
      <c r="E209">
        <v>1</v>
      </c>
      <c r="F209">
        <v>23.8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100</v>
      </c>
      <c r="M209">
        <v>1</v>
      </c>
      <c r="N209">
        <v>100</v>
      </c>
      <c r="O209">
        <v>0.43</v>
      </c>
      <c r="P209">
        <v>7</v>
      </c>
      <c r="Q209">
        <v>5</v>
      </c>
      <c r="R209">
        <v>5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 t="s">
        <v>37</v>
      </c>
    </row>
    <row r="210" spans="1:35" x14ac:dyDescent="0.2">
      <c r="A210">
        <v>190</v>
      </c>
      <c r="B210" t="s">
        <v>124</v>
      </c>
      <c r="C210" t="s">
        <v>59</v>
      </c>
      <c r="D210" t="s">
        <v>46</v>
      </c>
      <c r="E210">
        <v>1</v>
      </c>
      <c r="F210">
        <v>12.416666666667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50</v>
      </c>
      <c r="M210">
        <v>1</v>
      </c>
      <c r="N210">
        <v>0</v>
      </c>
      <c r="O210">
        <v>0.13</v>
      </c>
      <c r="P210">
        <v>2</v>
      </c>
      <c r="Q210">
        <v>2</v>
      </c>
      <c r="R210">
        <v>2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3</v>
      </c>
      <c r="AF210">
        <v>0</v>
      </c>
      <c r="AG210">
        <v>0</v>
      </c>
      <c r="AH210">
        <v>0</v>
      </c>
      <c r="AI210" t="s">
        <v>37</v>
      </c>
    </row>
    <row r="211" spans="1:35" x14ac:dyDescent="0.2">
      <c r="A211">
        <v>176</v>
      </c>
      <c r="B211" t="s">
        <v>273</v>
      </c>
      <c r="C211" t="s">
        <v>52</v>
      </c>
      <c r="D211" t="s">
        <v>57</v>
      </c>
      <c r="E211">
        <v>1</v>
      </c>
      <c r="F211">
        <v>19.266666666667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37</v>
      </c>
      <c r="M211">
        <v>2</v>
      </c>
      <c r="N211">
        <v>0</v>
      </c>
      <c r="O211">
        <v>0.03</v>
      </c>
      <c r="P211">
        <v>4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1</v>
      </c>
      <c r="AG211">
        <v>0</v>
      </c>
      <c r="AH211">
        <v>0</v>
      </c>
      <c r="AI211" t="s">
        <v>37</v>
      </c>
    </row>
    <row r="212" spans="1:35" x14ac:dyDescent="0.2">
      <c r="A212">
        <v>165</v>
      </c>
      <c r="B212" t="s">
        <v>122</v>
      </c>
      <c r="C212" t="s">
        <v>35</v>
      </c>
      <c r="D212" t="s">
        <v>46</v>
      </c>
      <c r="E212">
        <v>1</v>
      </c>
      <c r="F212">
        <v>15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33.33</v>
      </c>
      <c r="M212">
        <v>0</v>
      </c>
      <c r="N212" t="s">
        <v>37</v>
      </c>
      <c r="O212">
        <v>0.28000000000000003</v>
      </c>
      <c r="P212">
        <v>4</v>
      </c>
      <c r="Q212">
        <v>3</v>
      </c>
      <c r="R212">
        <v>3</v>
      </c>
      <c r="S212">
        <v>2</v>
      </c>
      <c r="T212">
        <v>0</v>
      </c>
      <c r="U212">
        <v>0</v>
      </c>
      <c r="V212">
        <v>2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1</v>
      </c>
      <c r="AE212">
        <v>0</v>
      </c>
      <c r="AF212">
        <v>1</v>
      </c>
      <c r="AG212">
        <v>5</v>
      </c>
      <c r="AH212">
        <v>5</v>
      </c>
      <c r="AI212">
        <v>50</v>
      </c>
    </row>
    <row r="213" spans="1:35" x14ac:dyDescent="0.2">
      <c r="A213">
        <v>99</v>
      </c>
      <c r="B213" t="s">
        <v>226</v>
      </c>
      <c r="C213" t="s">
        <v>39</v>
      </c>
      <c r="D213" t="s">
        <v>57</v>
      </c>
      <c r="E213">
        <v>1</v>
      </c>
      <c r="F213">
        <v>22.45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37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2</v>
      </c>
      <c r="AD213">
        <v>0</v>
      </c>
      <c r="AE213">
        <v>4</v>
      </c>
      <c r="AF213">
        <v>3</v>
      </c>
      <c r="AG213">
        <v>0</v>
      </c>
      <c r="AH213">
        <v>0</v>
      </c>
      <c r="AI213" t="s">
        <v>37</v>
      </c>
    </row>
    <row r="214" spans="1:35" x14ac:dyDescent="0.2">
      <c r="A214">
        <v>114</v>
      </c>
      <c r="B214" t="s">
        <v>232</v>
      </c>
      <c r="C214" t="s">
        <v>35</v>
      </c>
      <c r="D214" t="s">
        <v>57</v>
      </c>
      <c r="E214">
        <v>1</v>
      </c>
      <c r="F214">
        <v>15.833333333333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37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</v>
      </c>
      <c r="AE214">
        <v>2</v>
      </c>
      <c r="AF214">
        <v>1</v>
      </c>
      <c r="AG214">
        <v>0</v>
      </c>
      <c r="AH214">
        <v>0</v>
      </c>
      <c r="AI214" t="s">
        <v>37</v>
      </c>
    </row>
    <row r="215" spans="1:35" x14ac:dyDescent="0.2">
      <c r="A215">
        <v>260</v>
      </c>
      <c r="B215" t="s">
        <v>324</v>
      </c>
      <c r="C215" t="s">
        <v>85</v>
      </c>
      <c r="D215" t="s">
        <v>42</v>
      </c>
      <c r="E215">
        <v>1</v>
      </c>
      <c r="F215">
        <v>15.1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37</v>
      </c>
      <c r="M215">
        <v>0</v>
      </c>
      <c r="N215" t="s">
        <v>37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0</v>
      </c>
      <c r="AF215">
        <v>0</v>
      </c>
      <c r="AG215">
        <v>3</v>
      </c>
      <c r="AH215">
        <v>5</v>
      </c>
      <c r="AI215">
        <v>37.5</v>
      </c>
    </row>
    <row r="216" spans="1:35" x14ac:dyDescent="0.2">
      <c r="A216">
        <v>241</v>
      </c>
      <c r="B216" t="s">
        <v>313</v>
      </c>
      <c r="C216" t="s">
        <v>64</v>
      </c>
      <c r="D216" t="s">
        <v>57</v>
      </c>
      <c r="E216">
        <v>1</v>
      </c>
      <c r="F216">
        <v>16.716666666666999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0.18</v>
      </c>
      <c r="P216">
        <v>5</v>
      </c>
      <c r="Q216">
        <v>4</v>
      </c>
      <c r="R216">
        <v>2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37</v>
      </c>
    </row>
    <row r="217" spans="1:35" x14ac:dyDescent="0.2">
      <c r="A217">
        <v>72</v>
      </c>
      <c r="B217" t="s">
        <v>207</v>
      </c>
      <c r="C217" t="s">
        <v>87</v>
      </c>
      <c r="D217" t="s">
        <v>36</v>
      </c>
      <c r="E217">
        <v>1</v>
      </c>
      <c r="F217">
        <v>13.95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37</v>
      </c>
      <c r="M217">
        <v>2</v>
      </c>
      <c r="N217">
        <v>0</v>
      </c>
      <c r="O217">
        <v>0.36</v>
      </c>
      <c r="P217">
        <v>5</v>
      </c>
      <c r="Q217">
        <v>4</v>
      </c>
      <c r="R217">
        <v>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37</v>
      </c>
    </row>
    <row r="218" spans="1:35" x14ac:dyDescent="0.2">
      <c r="A218">
        <v>16</v>
      </c>
      <c r="B218" t="s">
        <v>169</v>
      </c>
      <c r="C218" t="s">
        <v>61</v>
      </c>
      <c r="D218" t="s">
        <v>57</v>
      </c>
      <c r="E218">
        <v>1</v>
      </c>
      <c r="F218">
        <v>24.183333333333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0.03</v>
      </c>
      <c r="P218">
        <v>3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0</v>
      </c>
      <c r="AI218" t="s">
        <v>37</v>
      </c>
    </row>
    <row r="219" spans="1:35" x14ac:dyDescent="0.2">
      <c r="A219">
        <v>271</v>
      </c>
      <c r="B219" t="s">
        <v>155</v>
      </c>
      <c r="C219" t="s">
        <v>148</v>
      </c>
      <c r="D219" t="s">
        <v>42</v>
      </c>
      <c r="E219">
        <v>1</v>
      </c>
      <c r="F219">
        <v>13.533333333332999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100</v>
      </c>
      <c r="M219">
        <v>0</v>
      </c>
      <c r="N219" t="s">
        <v>37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1</v>
      </c>
      <c r="AF219">
        <v>0</v>
      </c>
      <c r="AG219">
        <v>3</v>
      </c>
      <c r="AH219">
        <v>3</v>
      </c>
      <c r="AI219">
        <v>50</v>
      </c>
    </row>
    <row r="220" spans="1:35" x14ac:dyDescent="0.2">
      <c r="A220">
        <v>36</v>
      </c>
      <c r="B220" t="s">
        <v>181</v>
      </c>
      <c r="C220" t="s">
        <v>41</v>
      </c>
      <c r="D220" t="s">
        <v>46</v>
      </c>
      <c r="E220">
        <v>1</v>
      </c>
      <c r="F220">
        <v>13.45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37</v>
      </c>
      <c r="M220">
        <v>1</v>
      </c>
      <c r="N220">
        <v>0</v>
      </c>
      <c r="O220">
        <v>0.02</v>
      </c>
      <c r="P220">
        <v>3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2</v>
      </c>
      <c r="AF220">
        <v>0</v>
      </c>
      <c r="AG220">
        <v>0</v>
      </c>
      <c r="AH220">
        <v>0</v>
      </c>
      <c r="AI220" t="s">
        <v>37</v>
      </c>
    </row>
    <row r="221" spans="1:35" x14ac:dyDescent="0.2">
      <c r="A221">
        <v>173</v>
      </c>
      <c r="B221" t="s">
        <v>270</v>
      </c>
      <c r="C221" t="s">
        <v>52</v>
      </c>
      <c r="D221" t="s">
        <v>42</v>
      </c>
      <c r="E221">
        <v>1</v>
      </c>
      <c r="F221">
        <v>11.183333333333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37</v>
      </c>
      <c r="M221">
        <v>0</v>
      </c>
      <c r="N221" t="s">
        <v>37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 t="s">
        <v>37</v>
      </c>
    </row>
    <row r="222" spans="1:35" x14ac:dyDescent="0.2">
      <c r="A222">
        <v>274</v>
      </c>
      <c r="B222" t="s">
        <v>331</v>
      </c>
      <c r="C222" t="s">
        <v>45</v>
      </c>
      <c r="D222" t="s">
        <v>42</v>
      </c>
      <c r="E222">
        <v>1</v>
      </c>
      <c r="F222">
        <v>15.75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37</v>
      </c>
      <c r="M222">
        <v>2</v>
      </c>
      <c r="N222">
        <v>0</v>
      </c>
      <c r="O222">
        <v>0.14000000000000001</v>
      </c>
      <c r="P222">
        <v>2</v>
      </c>
      <c r="Q222">
        <v>2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3</v>
      </c>
      <c r="AE222">
        <v>0</v>
      </c>
      <c r="AF222">
        <v>1</v>
      </c>
      <c r="AG222">
        <v>0</v>
      </c>
      <c r="AH222">
        <v>0</v>
      </c>
      <c r="AI222" t="s">
        <v>37</v>
      </c>
    </row>
    <row r="223" spans="1:35" x14ac:dyDescent="0.2">
      <c r="A223">
        <v>154</v>
      </c>
      <c r="B223" t="s">
        <v>34</v>
      </c>
      <c r="C223" t="s">
        <v>35</v>
      </c>
      <c r="D223" t="s">
        <v>36</v>
      </c>
      <c r="E223">
        <v>1</v>
      </c>
      <c r="F223">
        <v>16.066666666667</v>
      </c>
      <c r="G223">
        <v>3</v>
      </c>
      <c r="H223">
        <v>1</v>
      </c>
      <c r="I223">
        <v>0</v>
      </c>
      <c r="J223">
        <v>1</v>
      </c>
      <c r="K223">
        <v>4</v>
      </c>
      <c r="L223">
        <v>100</v>
      </c>
      <c r="M223">
        <v>4</v>
      </c>
      <c r="N223">
        <v>75</v>
      </c>
      <c r="O223">
        <v>0.61</v>
      </c>
      <c r="P223">
        <v>7</v>
      </c>
      <c r="Q223">
        <v>6</v>
      </c>
      <c r="R223">
        <v>5</v>
      </c>
      <c r="S223">
        <v>2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2</v>
      </c>
      <c r="AG223">
        <v>0</v>
      </c>
      <c r="AH223">
        <v>0</v>
      </c>
      <c r="AI223" t="s">
        <v>37</v>
      </c>
    </row>
    <row r="224" spans="1:35" x14ac:dyDescent="0.2">
      <c r="A224">
        <v>168</v>
      </c>
      <c r="B224" t="s">
        <v>123</v>
      </c>
      <c r="C224" t="s">
        <v>48</v>
      </c>
      <c r="D224" t="s">
        <v>42</v>
      </c>
      <c r="E224">
        <v>1</v>
      </c>
      <c r="F224">
        <v>14.1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100</v>
      </c>
      <c r="M224">
        <v>2</v>
      </c>
      <c r="N224">
        <v>50</v>
      </c>
      <c r="O224">
        <v>0.23</v>
      </c>
      <c r="P224">
        <v>3</v>
      </c>
      <c r="Q224">
        <v>3</v>
      </c>
      <c r="R224">
        <v>2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2</v>
      </c>
      <c r="AI224">
        <v>0</v>
      </c>
    </row>
    <row r="225" spans="1:35" x14ac:dyDescent="0.2">
      <c r="A225">
        <v>183</v>
      </c>
      <c r="B225" t="s">
        <v>279</v>
      </c>
      <c r="C225" t="s">
        <v>41</v>
      </c>
      <c r="D225" t="s">
        <v>46</v>
      </c>
      <c r="E225">
        <v>1</v>
      </c>
      <c r="F225">
        <v>10.199999999999999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37</v>
      </c>
      <c r="M225">
        <v>1</v>
      </c>
      <c r="N225">
        <v>0</v>
      </c>
      <c r="O225">
        <v>0.09</v>
      </c>
      <c r="P225">
        <v>2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1</v>
      </c>
      <c r="AF225">
        <v>1</v>
      </c>
      <c r="AG225">
        <v>4</v>
      </c>
      <c r="AH225">
        <v>1</v>
      </c>
      <c r="AI225">
        <v>80</v>
      </c>
    </row>
    <row r="226" spans="1:35" x14ac:dyDescent="0.2">
      <c r="A226">
        <v>70</v>
      </c>
      <c r="B226" t="s">
        <v>44</v>
      </c>
      <c r="C226" t="s">
        <v>45</v>
      </c>
      <c r="D226" t="s">
        <v>46</v>
      </c>
      <c r="E226">
        <v>1</v>
      </c>
      <c r="F226">
        <v>19.7</v>
      </c>
      <c r="G226">
        <v>1</v>
      </c>
      <c r="H226">
        <v>1</v>
      </c>
      <c r="I226">
        <v>1</v>
      </c>
      <c r="J226">
        <v>0</v>
      </c>
      <c r="K226">
        <v>2</v>
      </c>
      <c r="L226">
        <v>100</v>
      </c>
      <c r="M226">
        <v>2</v>
      </c>
      <c r="N226">
        <v>50</v>
      </c>
      <c r="O226">
        <v>0.17</v>
      </c>
      <c r="P226">
        <v>4</v>
      </c>
      <c r="Q226">
        <v>3</v>
      </c>
      <c r="R226">
        <v>2</v>
      </c>
      <c r="S226">
        <v>0</v>
      </c>
      <c r="T226">
        <v>0</v>
      </c>
      <c r="U226">
        <v>0</v>
      </c>
      <c r="V226">
        <v>2</v>
      </c>
      <c r="W226">
        <v>1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2</v>
      </c>
      <c r="AF226">
        <v>0</v>
      </c>
      <c r="AG226">
        <v>5</v>
      </c>
      <c r="AH226">
        <v>6</v>
      </c>
      <c r="AI226">
        <v>45.45</v>
      </c>
    </row>
    <row r="227" spans="1:35" x14ac:dyDescent="0.2">
      <c r="A227">
        <v>201</v>
      </c>
      <c r="B227" t="s">
        <v>130</v>
      </c>
      <c r="C227" t="s">
        <v>39</v>
      </c>
      <c r="D227" t="s">
        <v>36</v>
      </c>
      <c r="E227">
        <v>1</v>
      </c>
      <c r="F227">
        <v>17.083333333333002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100</v>
      </c>
      <c r="M227">
        <v>3</v>
      </c>
      <c r="N227">
        <v>33.33</v>
      </c>
      <c r="O227">
        <v>0.17</v>
      </c>
      <c r="P227">
        <v>5</v>
      </c>
      <c r="Q227">
        <v>4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 t="s">
        <v>37</v>
      </c>
    </row>
    <row r="228" spans="1:35" x14ac:dyDescent="0.2">
      <c r="A228">
        <v>250</v>
      </c>
      <c r="B228" t="s">
        <v>65</v>
      </c>
      <c r="C228" t="s">
        <v>64</v>
      </c>
      <c r="D228" t="s">
        <v>57</v>
      </c>
      <c r="E228">
        <v>1</v>
      </c>
      <c r="F228">
        <v>20.45</v>
      </c>
      <c r="G228">
        <v>1</v>
      </c>
      <c r="H228">
        <v>1</v>
      </c>
      <c r="I228">
        <v>0</v>
      </c>
      <c r="J228">
        <v>1</v>
      </c>
      <c r="K228">
        <v>2</v>
      </c>
      <c r="L228">
        <v>100</v>
      </c>
      <c r="M228">
        <v>3</v>
      </c>
      <c r="N228">
        <v>33.33</v>
      </c>
      <c r="O228">
        <v>0.8</v>
      </c>
      <c r="P228">
        <v>4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2</v>
      </c>
      <c r="AG228">
        <v>0</v>
      </c>
      <c r="AH228">
        <v>0</v>
      </c>
      <c r="AI228" t="s">
        <v>37</v>
      </c>
    </row>
    <row r="229" spans="1:35" x14ac:dyDescent="0.2">
      <c r="A229">
        <v>258</v>
      </c>
      <c r="B229" t="s">
        <v>151</v>
      </c>
      <c r="C229" t="s">
        <v>69</v>
      </c>
      <c r="D229" t="s">
        <v>46</v>
      </c>
      <c r="E229">
        <v>1</v>
      </c>
      <c r="F229">
        <v>18.916666666666998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100</v>
      </c>
      <c r="M229">
        <v>3</v>
      </c>
      <c r="N229">
        <v>33.33</v>
      </c>
      <c r="O229">
        <v>0.65</v>
      </c>
      <c r="P229">
        <v>6</v>
      </c>
      <c r="Q229">
        <v>5</v>
      </c>
      <c r="R229">
        <v>5</v>
      </c>
      <c r="S229">
        <v>4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</v>
      </c>
      <c r="AB229">
        <v>0</v>
      </c>
      <c r="AC229">
        <v>0</v>
      </c>
      <c r="AD229">
        <v>2</v>
      </c>
      <c r="AE229">
        <v>2</v>
      </c>
      <c r="AF229">
        <v>0</v>
      </c>
      <c r="AG229">
        <v>1</v>
      </c>
      <c r="AH229">
        <v>1</v>
      </c>
      <c r="AI229">
        <v>50</v>
      </c>
    </row>
    <row r="230" spans="1:35" x14ac:dyDescent="0.2">
      <c r="A230">
        <v>200</v>
      </c>
      <c r="B230" t="s">
        <v>290</v>
      </c>
      <c r="C230" t="s">
        <v>45</v>
      </c>
      <c r="D230" t="s">
        <v>57</v>
      </c>
      <c r="E230">
        <v>1</v>
      </c>
      <c r="F230">
        <v>23.833333333333002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37</v>
      </c>
      <c r="M230">
        <v>3</v>
      </c>
      <c r="N230">
        <v>0</v>
      </c>
      <c r="O230">
        <v>0.08</v>
      </c>
      <c r="P230">
        <v>3</v>
      </c>
      <c r="Q230">
        <v>3</v>
      </c>
      <c r="R230">
        <v>0</v>
      </c>
      <c r="S230">
        <v>0</v>
      </c>
      <c r="T230">
        <v>0</v>
      </c>
      <c r="U230">
        <v>2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3</v>
      </c>
      <c r="AE230">
        <v>2</v>
      </c>
      <c r="AF230">
        <v>0</v>
      </c>
      <c r="AG230">
        <v>0</v>
      </c>
      <c r="AH230">
        <v>0</v>
      </c>
      <c r="AI230" t="s">
        <v>37</v>
      </c>
    </row>
    <row r="231" spans="1:35" x14ac:dyDescent="0.2">
      <c r="A231">
        <v>2</v>
      </c>
      <c r="B231" t="s">
        <v>345</v>
      </c>
      <c r="C231" t="s">
        <v>74</v>
      </c>
      <c r="D231" t="s">
        <v>346</v>
      </c>
      <c r="E231">
        <v>1</v>
      </c>
      <c r="F231">
        <v>58.683333333333003</v>
      </c>
    </row>
    <row r="232" spans="1:35" x14ac:dyDescent="0.2">
      <c r="A232">
        <v>178</v>
      </c>
      <c r="B232" t="s">
        <v>275</v>
      </c>
      <c r="C232" t="s">
        <v>87</v>
      </c>
      <c r="D232" t="s">
        <v>36</v>
      </c>
      <c r="E232">
        <v>1</v>
      </c>
      <c r="F232">
        <v>14.766666666667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37</v>
      </c>
      <c r="M232">
        <v>2</v>
      </c>
      <c r="N232">
        <v>0</v>
      </c>
      <c r="O232">
        <v>0.52</v>
      </c>
      <c r="P232">
        <v>5</v>
      </c>
      <c r="Q232">
        <v>4</v>
      </c>
      <c r="R232">
        <v>5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</v>
      </c>
      <c r="AF232">
        <v>1</v>
      </c>
      <c r="AG232">
        <v>0</v>
      </c>
      <c r="AH232">
        <v>0</v>
      </c>
      <c r="AI232" t="s">
        <v>37</v>
      </c>
    </row>
    <row r="233" spans="1:35" x14ac:dyDescent="0.2">
      <c r="A233">
        <v>58</v>
      </c>
      <c r="B233" t="s">
        <v>197</v>
      </c>
      <c r="C233" t="s">
        <v>52</v>
      </c>
      <c r="D233" t="s">
        <v>42</v>
      </c>
      <c r="E233">
        <v>1</v>
      </c>
      <c r="F233">
        <v>12.2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37</v>
      </c>
      <c r="M233">
        <v>0</v>
      </c>
      <c r="N233" t="s">
        <v>37</v>
      </c>
      <c r="O233">
        <v>0.02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1</v>
      </c>
      <c r="AG233">
        <v>4</v>
      </c>
      <c r="AH233">
        <v>3</v>
      </c>
      <c r="AI233">
        <v>57.14</v>
      </c>
    </row>
    <row r="234" spans="1:35" x14ac:dyDescent="0.2">
      <c r="A234">
        <v>23</v>
      </c>
      <c r="B234" t="s">
        <v>174</v>
      </c>
      <c r="C234" t="s">
        <v>64</v>
      </c>
      <c r="D234" t="s">
        <v>57</v>
      </c>
      <c r="E234">
        <v>1</v>
      </c>
      <c r="F234">
        <v>16.166666666666998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0.23</v>
      </c>
      <c r="P234">
        <v>5</v>
      </c>
      <c r="Q234">
        <v>3</v>
      </c>
      <c r="R234">
        <v>2</v>
      </c>
      <c r="S234">
        <v>0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5</v>
      </c>
      <c r="AE234">
        <v>0</v>
      </c>
      <c r="AF234">
        <v>0</v>
      </c>
      <c r="AG234">
        <v>0</v>
      </c>
      <c r="AH234">
        <v>0</v>
      </c>
      <c r="AI234" t="s">
        <v>37</v>
      </c>
    </row>
    <row r="235" spans="1:35" x14ac:dyDescent="0.2">
      <c r="A235">
        <v>100</v>
      </c>
      <c r="B235" t="s">
        <v>101</v>
      </c>
      <c r="C235" t="s">
        <v>39</v>
      </c>
      <c r="D235" t="s">
        <v>57</v>
      </c>
      <c r="E235">
        <v>1</v>
      </c>
      <c r="F235">
        <v>21.55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50</v>
      </c>
      <c r="M235">
        <v>2</v>
      </c>
      <c r="N235">
        <v>0</v>
      </c>
      <c r="O235">
        <v>7.0000000000000007E-2</v>
      </c>
      <c r="P235">
        <v>3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>
        <v>1</v>
      </c>
      <c r="AF235">
        <v>3</v>
      </c>
      <c r="AG235">
        <v>0</v>
      </c>
      <c r="AH235">
        <v>0</v>
      </c>
      <c r="AI235" t="s">
        <v>37</v>
      </c>
    </row>
    <row r="236" spans="1:35" x14ac:dyDescent="0.2">
      <c r="A236">
        <v>175</v>
      </c>
      <c r="B236" t="s">
        <v>272</v>
      </c>
      <c r="C236" t="s">
        <v>56</v>
      </c>
      <c r="D236" t="s">
        <v>57</v>
      </c>
      <c r="E236">
        <v>1</v>
      </c>
      <c r="F236">
        <v>19.633333333332999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0.06</v>
      </c>
      <c r="P236">
        <v>4</v>
      </c>
      <c r="Q236">
        <v>2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2</v>
      </c>
      <c r="AC236">
        <v>0</v>
      </c>
      <c r="AD236">
        <v>0</v>
      </c>
      <c r="AE236">
        <v>2</v>
      </c>
      <c r="AF236">
        <v>4</v>
      </c>
      <c r="AG236">
        <v>0</v>
      </c>
      <c r="AH236">
        <v>0</v>
      </c>
      <c r="AI236" t="s">
        <v>37</v>
      </c>
    </row>
    <row r="237" spans="1:35" x14ac:dyDescent="0.2">
      <c r="A237">
        <v>19</v>
      </c>
      <c r="B237" t="s">
        <v>79</v>
      </c>
      <c r="C237" t="s">
        <v>39</v>
      </c>
      <c r="D237" t="s">
        <v>36</v>
      </c>
      <c r="E237">
        <v>1</v>
      </c>
      <c r="F237">
        <v>14.4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100</v>
      </c>
      <c r="M237">
        <v>1</v>
      </c>
      <c r="N237">
        <v>0</v>
      </c>
      <c r="O237">
        <v>0.08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8</v>
      </c>
      <c r="AI237">
        <v>20</v>
      </c>
    </row>
    <row r="238" spans="1:35" x14ac:dyDescent="0.2">
      <c r="A238">
        <v>90</v>
      </c>
      <c r="B238" t="s">
        <v>221</v>
      </c>
      <c r="C238" t="s">
        <v>45</v>
      </c>
      <c r="D238" t="s">
        <v>42</v>
      </c>
      <c r="E238">
        <v>1</v>
      </c>
      <c r="F238">
        <v>12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37</v>
      </c>
      <c r="M238">
        <v>0</v>
      </c>
      <c r="N238" t="s">
        <v>37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1</v>
      </c>
      <c r="AG238">
        <v>0</v>
      </c>
      <c r="AH238">
        <v>0</v>
      </c>
      <c r="AI238" t="s">
        <v>37</v>
      </c>
    </row>
    <row r="239" spans="1:35" x14ac:dyDescent="0.2">
      <c r="A239">
        <v>113</v>
      </c>
      <c r="B239" t="s">
        <v>51</v>
      </c>
      <c r="C239" t="s">
        <v>52</v>
      </c>
      <c r="D239" t="s">
        <v>42</v>
      </c>
      <c r="E239">
        <v>1</v>
      </c>
      <c r="F239">
        <v>20.2</v>
      </c>
      <c r="G239">
        <v>0</v>
      </c>
      <c r="H239">
        <v>2</v>
      </c>
      <c r="I239">
        <v>1</v>
      </c>
      <c r="J239">
        <v>1</v>
      </c>
      <c r="K239">
        <v>2</v>
      </c>
      <c r="L239">
        <v>100</v>
      </c>
      <c r="M239">
        <v>1</v>
      </c>
      <c r="N239">
        <v>0</v>
      </c>
      <c r="O239">
        <v>0.15</v>
      </c>
      <c r="P239">
        <v>3</v>
      </c>
      <c r="Q239">
        <v>2</v>
      </c>
      <c r="R239">
        <v>3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</v>
      </c>
      <c r="AC239">
        <v>0</v>
      </c>
      <c r="AD239">
        <v>4</v>
      </c>
      <c r="AE239">
        <v>0</v>
      </c>
      <c r="AF239">
        <v>1</v>
      </c>
      <c r="AG239">
        <v>13</v>
      </c>
      <c r="AH239">
        <v>7</v>
      </c>
      <c r="AI239">
        <v>65</v>
      </c>
    </row>
    <row r="240" spans="1:35" x14ac:dyDescent="0.2">
      <c r="A240">
        <v>84</v>
      </c>
      <c r="B240" t="s">
        <v>217</v>
      </c>
      <c r="C240" t="s">
        <v>64</v>
      </c>
      <c r="D240" t="s">
        <v>46</v>
      </c>
      <c r="E240">
        <v>1</v>
      </c>
      <c r="F240">
        <v>12.783333333332999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37</v>
      </c>
      <c r="M240">
        <v>0</v>
      </c>
      <c r="N240" t="s">
        <v>37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</row>
    <row r="241" spans="1:35" x14ac:dyDescent="0.2">
      <c r="A241">
        <v>95</v>
      </c>
      <c r="B241" t="s">
        <v>223</v>
      </c>
      <c r="C241" t="s">
        <v>148</v>
      </c>
      <c r="D241" t="s">
        <v>42</v>
      </c>
      <c r="E241">
        <v>1</v>
      </c>
      <c r="F241">
        <v>12.15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37</v>
      </c>
      <c r="M241">
        <v>0</v>
      </c>
      <c r="N241" t="s">
        <v>37</v>
      </c>
      <c r="O241">
        <v>7.0000000000000007E-2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0</v>
      </c>
      <c r="AE241">
        <v>3</v>
      </c>
      <c r="AF241">
        <v>0</v>
      </c>
      <c r="AG241">
        <v>0</v>
      </c>
      <c r="AH241">
        <v>0</v>
      </c>
      <c r="AI241" t="s">
        <v>37</v>
      </c>
    </row>
    <row r="242" spans="1:35" x14ac:dyDescent="0.2">
      <c r="A242">
        <v>249</v>
      </c>
      <c r="B242" t="s">
        <v>147</v>
      </c>
      <c r="C242" t="s">
        <v>148</v>
      </c>
      <c r="D242" t="s">
        <v>42</v>
      </c>
      <c r="E242">
        <v>1</v>
      </c>
      <c r="F242">
        <v>17.066666666667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100</v>
      </c>
      <c r="M242">
        <v>1</v>
      </c>
      <c r="N242">
        <v>100</v>
      </c>
      <c r="O242">
        <v>0.13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2</v>
      </c>
      <c r="AH242">
        <v>5</v>
      </c>
      <c r="AI242">
        <v>28.57</v>
      </c>
    </row>
    <row r="243" spans="1:35" x14ac:dyDescent="0.2">
      <c r="A243">
        <v>270</v>
      </c>
      <c r="B243" t="s">
        <v>329</v>
      </c>
      <c r="C243" t="s">
        <v>56</v>
      </c>
      <c r="D243" t="s">
        <v>36</v>
      </c>
      <c r="E243">
        <v>1</v>
      </c>
      <c r="F243">
        <v>18.2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37</v>
      </c>
      <c r="M243">
        <v>5</v>
      </c>
      <c r="N243">
        <v>0</v>
      </c>
      <c r="O243">
        <v>0.38</v>
      </c>
      <c r="P243">
        <v>9</v>
      </c>
      <c r="Q243">
        <v>7</v>
      </c>
      <c r="R243">
        <v>5</v>
      </c>
      <c r="S243">
        <v>2</v>
      </c>
      <c r="T243">
        <v>0</v>
      </c>
      <c r="U243">
        <v>3</v>
      </c>
      <c r="V243">
        <v>2</v>
      </c>
      <c r="W243">
        <v>1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2</v>
      </c>
      <c r="AE243">
        <v>1</v>
      </c>
      <c r="AF243">
        <v>0</v>
      </c>
      <c r="AG243">
        <v>0</v>
      </c>
      <c r="AH243">
        <v>0</v>
      </c>
      <c r="AI243" t="s">
        <v>37</v>
      </c>
    </row>
    <row r="244" spans="1:35" x14ac:dyDescent="0.2">
      <c r="A244">
        <v>133</v>
      </c>
      <c r="B244" t="s">
        <v>250</v>
      </c>
      <c r="C244" t="s">
        <v>74</v>
      </c>
      <c r="D244" t="s">
        <v>57</v>
      </c>
      <c r="E244">
        <v>1</v>
      </c>
      <c r="F244">
        <v>14.616666666666999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37</v>
      </c>
      <c r="O244">
        <v>0</v>
      </c>
      <c r="P244">
        <v>2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3</v>
      </c>
      <c r="AG244">
        <v>0</v>
      </c>
      <c r="AH244">
        <v>0</v>
      </c>
      <c r="AI244" t="s">
        <v>37</v>
      </c>
    </row>
    <row r="245" spans="1:35" x14ac:dyDescent="0.2">
      <c r="A245">
        <v>131</v>
      </c>
      <c r="B245" t="s">
        <v>248</v>
      </c>
      <c r="C245" t="s">
        <v>117</v>
      </c>
      <c r="D245" t="s">
        <v>46</v>
      </c>
      <c r="E245">
        <v>1</v>
      </c>
      <c r="F245">
        <v>8.9833333333333005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37</v>
      </c>
      <c r="M245">
        <v>3</v>
      </c>
      <c r="N245">
        <v>0</v>
      </c>
      <c r="O245">
        <v>0.23</v>
      </c>
      <c r="P245">
        <v>3</v>
      </c>
      <c r="Q245">
        <v>3</v>
      </c>
      <c r="R245">
        <v>2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 t="s">
        <v>37</v>
      </c>
    </row>
    <row r="246" spans="1:35" x14ac:dyDescent="0.2">
      <c r="A246">
        <v>160</v>
      </c>
      <c r="B246" t="s">
        <v>119</v>
      </c>
      <c r="C246" t="s">
        <v>64</v>
      </c>
      <c r="D246" t="s">
        <v>42</v>
      </c>
      <c r="E246">
        <v>1</v>
      </c>
      <c r="F246">
        <v>18.216666666666999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50</v>
      </c>
      <c r="M246">
        <v>1</v>
      </c>
      <c r="N246">
        <v>100</v>
      </c>
      <c r="O246">
        <v>0.22</v>
      </c>
      <c r="P246">
        <v>3</v>
      </c>
      <c r="Q246">
        <v>3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7</v>
      </c>
      <c r="AH246">
        <v>7</v>
      </c>
      <c r="AI246">
        <v>50</v>
      </c>
    </row>
    <row r="247" spans="1:35" x14ac:dyDescent="0.2">
      <c r="A247">
        <v>3</v>
      </c>
      <c r="B247" t="s">
        <v>160</v>
      </c>
      <c r="C247" t="s">
        <v>69</v>
      </c>
      <c r="D247" t="s">
        <v>36</v>
      </c>
      <c r="E247">
        <v>1</v>
      </c>
      <c r="F247">
        <v>3.9333333333332998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37</v>
      </c>
      <c r="M247">
        <v>1</v>
      </c>
      <c r="N247">
        <v>0</v>
      </c>
      <c r="O247">
        <v>0.15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 t="s">
        <v>37</v>
      </c>
    </row>
    <row r="248" spans="1:35" x14ac:dyDescent="0.2">
      <c r="A248">
        <v>43</v>
      </c>
      <c r="B248" t="s">
        <v>187</v>
      </c>
      <c r="C248" t="s">
        <v>64</v>
      </c>
      <c r="D248" t="s">
        <v>42</v>
      </c>
      <c r="E248">
        <v>1</v>
      </c>
      <c r="F248">
        <v>10.183333333333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37</v>
      </c>
      <c r="M248">
        <v>2</v>
      </c>
      <c r="N248">
        <v>0</v>
      </c>
      <c r="O248">
        <v>0.05</v>
      </c>
      <c r="P248">
        <v>2</v>
      </c>
      <c r="Q248">
        <v>2</v>
      </c>
      <c r="R248">
        <v>0</v>
      </c>
      <c r="S248">
        <v>0</v>
      </c>
      <c r="T248">
        <v>0</v>
      </c>
      <c r="U248">
        <v>1</v>
      </c>
      <c r="V248">
        <v>2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4</v>
      </c>
      <c r="AF248">
        <v>0</v>
      </c>
      <c r="AG248">
        <v>0</v>
      </c>
      <c r="AH248">
        <v>0</v>
      </c>
      <c r="AI248" t="s">
        <v>37</v>
      </c>
    </row>
    <row r="249" spans="1:35" x14ac:dyDescent="0.2">
      <c r="A249">
        <v>240</v>
      </c>
      <c r="B249" t="s">
        <v>312</v>
      </c>
      <c r="C249" t="s">
        <v>74</v>
      </c>
      <c r="D249" t="s">
        <v>42</v>
      </c>
      <c r="E249">
        <v>1</v>
      </c>
      <c r="F249">
        <v>12.333333333333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37</v>
      </c>
      <c r="M249">
        <v>0</v>
      </c>
      <c r="N249" t="s">
        <v>37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0</v>
      </c>
      <c r="AH249">
        <v>1</v>
      </c>
      <c r="AI249">
        <v>0</v>
      </c>
    </row>
    <row r="250" spans="1:35" x14ac:dyDescent="0.2">
      <c r="A250">
        <v>242</v>
      </c>
      <c r="B250" t="s">
        <v>314</v>
      </c>
      <c r="C250" t="s">
        <v>74</v>
      </c>
      <c r="D250" t="s">
        <v>57</v>
      </c>
      <c r="E250">
        <v>1</v>
      </c>
      <c r="F250">
        <v>16.533333333333001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0.04</v>
      </c>
      <c r="P250">
        <v>3</v>
      </c>
      <c r="Q250">
        <v>2</v>
      </c>
      <c r="R250">
        <v>0</v>
      </c>
      <c r="S250">
        <v>0</v>
      </c>
      <c r="T250">
        <v>0</v>
      </c>
      <c r="U250">
        <v>1</v>
      </c>
      <c r="V250">
        <v>2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0</v>
      </c>
      <c r="AH250">
        <v>0</v>
      </c>
      <c r="AI250" t="s">
        <v>37</v>
      </c>
    </row>
    <row r="251" spans="1:35" x14ac:dyDescent="0.2">
      <c r="A251">
        <v>32</v>
      </c>
      <c r="B251" t="s">
        <v>84</v>
      </c>
      <c r="C251" t="s">
        <v>85</v>
      </c>
      <c r="D251" t="s">
        <v>42</v>
      </c>
      <c r="E251">
        <v>1</v>
      </c>
      <c r="F251">
        <v>9.1166666666666991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100</v>
      </c>
      <c r="M251">
        <v>1</v>
      </c>
      <c r="N251">
        <v>100</v>
      </c>
      <c r="O251">
        <v>0.28000000000000003</v>
      </c>
      <c r="P251">
        <v>3</v>
      </c>
      <c r="Q251">
        <v>2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0</v>
      </c>
      <c r="AG251">
        <v>0</v>
      </c>
      <c r="AH251">
        <v>2</v>
      </c>
      <c r="AI251">
        <v>0</v>
      </c>
    </row>
    <row r="252" spans="1:35" x14ac:dyDescent="0.2">
      <c r="A252">
        <v>283</v>
      </c>
      <c r="B252" t="s">
        <v>336</v>
      </c>
      <c r="C252" t="s">
        <v>69</v>
      </c>
      <c r="D252" t="s">
        <v>57</v>
      </c>
      <c r="E252">
        <v>1</v>
      </c>
      <c r="F252">
        <v>13.116666666666999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37</v>
      </c>
      <c r="M252">
        <v>2</v>
      </c>
      <c r="N252">
        <v>0</v>
      </c>
      <c r="O252">
        <v>0.03</v>
      </c>
      <c r="P252">
        <v>3</v>
      </c>
      <c r="Q252">
        <v>3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2</v>
      </c>
      <c r="AF252">
        <v>1</v>
      </c>
      <c r="AG252">
        <v>0</v>
      </c>
      <c r="AH252">
        <v>0</v>
      </c>
      <c r="AI252" t="s">
        <v>37</v>
      </c>
    </row>
    <row r="253" spans="1:35" x14ac:dyDescent="0.2">
      <c r="A253">
        <v>276</v>
      </c>
      <c r="B253" t="s">
        <v>332</v>
      </c>
      <c r="C253" t="s">
        <v>48</v>
      </c>
      <c r="D253" t="s">
        <v>57</v>
      </c>
      <c r="E253">
        <v>1</v>
      </c>
      <c r="F253">
        <v>17.783333333333001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0.02</v>
      </c>
      <c r="P253">
        <v>3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2</v>
      </c>
      <c r="AF253">
        <v>1</v>
      </c>
      <c r="AG253">
        <v>0</v>
      </c>
      <c r="AH253">
        <v>0</v>
      </c>
      <c r="AI253" t="s">
        <v>37</v>
      </c>
    </row>
    <row r="254" spans="1:35" x14ac:dyDescent="0.2">
      <c r="A254">
        <v>136</v>
      </c>
      <c r="B254" t="s">
        <v>253</v>
      </c>
      <c r="C254" t="s">
        <v>52</v>
      </c>
      <c r="D254" t="s">
        <v>42</v>
      </c>
      <c r="E254">
        <v>1</v>
      </c>
      <c r="F254">
        <v>15.95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37</v>
      </c>
      <c r="M254">
        <v>2</v>
      </c>
      <c r="N254">
        <v>0</v>
      </c>
      <c r="O254">
        <v>0.21</v>
      </c>
      <c r="P254">
        <v>3</v>
      </c>
      <c r="Q254">
        <v>3</v>
      </c>
      <c r="R254">
        <v>2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</v>
      </c>
      <c r="AE254">
        <v>3</v>
      </c>
      <c r="AF254">
        <v>0</v>
      </c>
      <c r="AG254">
        <v>2</v>
      </c>
      <c r="AH254">
        <v>0</v>
      </c>
      <c r="AI254">
        <v>100</v>
      </c>
    </row>
    <row r="255" spans="1:35" x14ac:dyDescent="0.2">
      <c r="A255">
        <v>14</v>
      </c>
      <c r="B255" t="s">
        <v>361</v>
      </c>
      <c r="C255" t="s">
        <v>35</v>
      </c>
      <c r="D255" t="s">
        <v>346</v>
      </c>
      <c r="E255">
        <v>1</v>
      </c>
      <c r="F255">
        <v>59.9</v>
      </c>
    </row>
    <row r="256" spans="1:35" x14ac:dyDescent="0.2">
      <c r="A256">
        <v>139</v>
      </c>
      <c r="B256" t="s">
        <v>254</v>
      </c>
      <c r="C256" t="s">
        <v>48</v>
      </c>
      <c r="D256" t="s">
        <v>57</v>
      </c>
      <c r="E256">
        <v>1</v>
      </c>
      <c r="F256">
        <v>17.600000000000001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0</v>
      </c>
      <c r="O256">
        <v>7.0000000000000007E-2</v>
      </c>
      <c r="P256">
        <v>5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37</v>
      </c>
    </row>
    <row r="257" spans="1:35" x14ac:dyDescent="0.2">
      <c r="A257">
        <v>53</v>
      </c>
      <c r="B257" t="s">
        <v>91</v>
      </c>
      <c r="C257" t="s">
        <v>61</v>
      </c>
      <c r="D257" t="s">
        <v>42</v>
      </c>
      <c r="E257">
        <v>1</v>
      </c>
      <c r="F257">
        <v>9.4666666666667005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100</v>
      </c>
      <c r="M257">
        <v>1</v>
      </c>
      <c r="N257">
        <v>100</v>
      </c>
      <c r="O257">
        <v>7.0000000000000007E-2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2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</v>
      </c>
      <c r="AE257">
        <v>0</v>
      </c>
      <c r="AF257">
        <v>0</v>
      </c>
      <c r="AG257">
        <v>2</v>
      </c>
      <c r="AH257">
        <v>4</v>
      </c>
      <c r="AI257">
        <v>33.33</v>
      </c>
    </row>
    <row r="258" spans="1:35" x14ac:dyDescent="0.2">
      <c r="A258">
        <v>233</v>
      </c>
      <c r="B258" t="s">
        <v>307</v>
      </c>
      <c r="C258" t="s">
        <v>85</v>
      </c>
      <c r="D258" t="s">
        <v>57</v>
      </c>
      <c r="E258">
        <v>1</v>
      </c>
      <c r="F258">
        <v>16.183333333333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37</v>
      </c>
      <c r="O258">
        <v>0.04</v>
      </c>
      <c r="P258">
        <v>8</v>
      </c>
      <c r="Q258">
        <v>1</v>
      </c>
      <c r="R258">
        <v>3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0</v>
      </c>
      <c r="AH258">
        <v>0</v>
      </c>
      <c r="AI258" t="s">
        <v>37</v>
      </c>
    </row>
    <row r="259" spans="1:35" x14ac:dyDescent="0.2">
      <c r="A259">
        <v>45</v>
      </c>
      <c r="B259" t="s">
        <v>88</v>
      </c>
      <c r="C259" t="s">
        <v>35</v>
      </c>
      <c r="D259" t="s">
        <v>42</v>
      </c>
      <c r="E259">
        <v>1</v>
      </c>
      <c r="F259">
        <v>17.616666666667001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33.33</v>
      </c>
      <c r="M259">
        <v>1</v>
      </c>
      <c r="N259">
        <v>0</v>
      </c>
      <c r="O259">
        <v>0.18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2</v>
      </c>
      <c r="AD259">
        <v>1</v>
      </c>
      <c r="AE259">
        <v>1</v>
      </c>
      <c r="AF259">
        <v>1</v>
      </c>
      <c r="AG259">
        <v>13</v>
      </c>
      <c r="AH259">
        <v>8</v>
      </c>
      <c r="AI259">
        <v>61.9</v>
      </c>
    </row>
    <row r="260" spans="1:35" x14ac:dyDescent="0.2">
      <c r="A260">
        <v>255</v>
      </c>
      <c r="B260" t="s">
        <v>150</v>
      </c>
      <c r="C260" t="s">
        <v>74</v>
      </c>
      <c r="D260" t="s">
        <v>42</v>
      </c>
      <c r="E260">
        <v>1</v>
      </c>
      <c r="F260">
        <v>15.35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100</v>
      </c>
      <c r="M260">
        <v>2</v>
      </c>
      <c r="N260">
        <v>0</v>
      </c>
      <c r="O260">
        <v>0.1</v>
      </c>
      <c r="P260">
        <v>3</v>
      </c>
      <c r="Q260">
        <v>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0</v>
      </c>
      <c r="AD260">
        <v>0</v>
      </c>
      <c r="AE260">
        <v>3</v>
      </c>
      <c r="AF260">
        <v>1</v>
      </c>
      <c r="AG260">
        <v>6</v>
      </c>
      <c r="AH260">
        <v>8</v>
      </c>
      <c r="AI260">
        <v>42.86</v>
      </c>
    </row>
    <row r="261" spans="1:35" x14ac:dyDescent="0.2">
      <c r="A261">
        <v>75</v>
      </c>
      <c r="B261" t="s">
        <v>210</v>
      </c>
      <c r="C261" t="s">
        <v>39</v>
      </c>
      <c r="D261" t="s">
        <v>57</v>
      </c>
      <c r="E261">
        <v>1</v>
      </c>
      <c r="F261">
        <v>22.15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37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0</v>
      </c>
      <c r="AI261" t="s">
        <v>37</v>
      </c>
    </row>
    <row r="262" spans="1:35" x14ac:dyDescent="0.2">
      <c r="A262">
        <v>185</v>
      </c>
      <c r="B262" t="s">
        <v>281</v>
      </c>
      <c r="C262" t="s">
        <v>61</v>
      </c>
      <c r="D262" t="s">
        <v>57</v>
      </c>
      <c r="E262">
        <v>1</v>
      </c>
      <c r="F262">
        <v>15.433333333333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37</v>
      </c>
      <c r="M262">
        <v>1</v>
      </c>
      <c r="N262">
        <v>0</v>
      </c>
      <c r="O262">
        <v>0.03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0</v>
      </c>
      <c r="AD262">
        <v>3</v>
      </c>
      <c r="AE262">
        <v>1</v>
      </c>
      <c r="AF262">
        <v>0</v>
      </c>
      <c r="AG262">
        <v>0</v>
      </c>
      <c r="AH262">
        <v>0</v>
      </c>
      <c r="AI262" t="s">
        <v>37</v>
      </c>
    </row>
    <row r="263" spans="1:35" x14ac:dyDescent="0.2">
      <c r="A263">
        <v>252</v>
      </c>
      <c r="B263" t="s">
        <v>149</v>
      </c>
      <c r="C263" t="s">
        <v>41</v>
      </c>
      <c r="D263" t="s">
        <v>57</v>
      </c>
      <c r="E263">
        <v>1</v>
      </c>
      <c r="F263">
        <v>13.166666666667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100</v>
      </c>
      <c r="M263">
        <v>2</v>
      </c>
      <c r="N263">
        <v>0</v>
      </c>
      <c r="O263">
        <v>0.12</v>
      </c>
      <c r="P263">
        <v>3</v>
      </c>
      <c r="Q263">
        <v>2</v>
      </c>
      <c r="R263">
        <v>2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 t="s">
        <v>37</v>
      </c>
    </row>
    <row r="264" spans="1:35" x14ac:dyDescent="0.2">
      <c r="A264">
        <v>6</v>
      </c>
      <c r="B264" t="s">
        <v>358</v>
      </c>
      <c r="C264" t="s">
        <v>85</v>
      </c>
      <c r="D264" t="s">
        <v>346</v>
      </c>
      <c r="E264">
        <v>1</v>
      </c>
      <c r="F264">
        <v>56.133333333332999</v>
      </c>
    </row>
    <row r="265" spans="1:35" x14ac:dyDescent="0.2">
      <c r="A265">
        <v>128</v>
      </c>
      <c r="B265" t="s">
        <v>245</v>
      </c>
      <c r="C265" t="s">
        <v>61</v>
      </c>
      <c r="D265" t="s">
        <v>42</v>
      </c>
      <c r="E265">
        <v>1</v>
      </c>
      <c r="F265">
        <v>9.5500000000000007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37</v>
      </c>
      <c r="M265">
        <v>0</v>
      </c>
      <c r="N265" t="s">
        <v>37</v>
      </c>
      <c r="O265">
        <v>0.1</v>
      </c>
      <c r="P265">
        <v>3</v>
      </c>
      <c r="Q265">
        <v>2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3</v>
      </c>
      <c r="AE265">
        <v>1</v>
      </c>
      <c r="AF265">
        <v>1</v>
      </c>
      <c r="AG265">
        <v>2</v>
      </c>
      <c r="AH265">
        <v>0</v>
      </c>
      <c r="AI265">
        <v>100</v>
      </c>
    </row>
    <row r="266" spans="1:35" x14ac:dyDescent="0.2">
      <c r="A266">
        <v>145</v>
      </c>
      <c r="B266" t="s">
        <v>112</v>
      </c>
      <c r="C266" t="s">
        <v>39</v>
      </c>
      <c r="D266" t="s">
        <v>42</v>
      </c>
      <c r="E266">
        <v>1</v>
      </c>
      <c r="F266">
        <v>9.5166666666666995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100</v>
      </c>
      <c r="M266">
        <v>4</v>
      </c>
      <c r="N266">
        <v>0</v>
      </c>
      <c r="O266">
        <v>0.23</v>
      </c>
      <c r="P266">
        <v>5</v>
      </c>
      <c r="Q266">
        <v>5</v>
      </c>
      <c r="R266">
        <v>2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</v>
      </c>
      <c r="AH266">
        <v>3</v>
      </c>
      <c r="AI266">
        <v>57.14</v>
      </c>
    </row>
    <row r="267" spans="1:35" x14ac:dyDescent="0.2">
      <c r="A267">
        <v>246</v>
      </c>
      <c r="B267" t="s">
        <v>317</v>
      </c>
      <c r="C267" t="s">
        <v>48</v>
      </c>
      <c r="D267" t="s">
        <v>46</v>
      </c>
      <c r="E267">
        <v>1</v>
      </c>
      <c r="F267">
        <v>7.2666666666667004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37</v>
      </c>
      <c r="M267">
        <v>1</v>
      </c>
      <c r="N267">
        <v>0</v>
      </c>
      <c r="O267">
        <v>0.01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0</v>
      </c>
      <c r="AF267">
        <v>0</v>
      </c>
      <c r="AG267">
        <v>0</v>
      </c>
      <c r="AH267">
        <v>0</v>
      </c>
      <c r="AI267" t="s">
        <v>37</v>
      </c>
    </row>
    <row r="268" spans="1:35" x14ac:dyDescent="0.2">
      <c r="A268">
        <v>138</v>
      </c>
      <c r="B268" t="s">
        <v>110</v>
      </c>
      <c r="C268" t="s">
        <v>85</v>
      </c>
      <c r="D268" t="s">
        <v>36</v>
      </c>
      <c r="E268">
        <v>1</v>
      </c>
      <c r="F268">
        <v>8.4</v>
      </c>
      <c r="G268">
        <v>0</v>
      </c>
      <c r="H268">
        <v>1</v>
      </c>
      <c r="I268">
        <v>1</v>
      </c>
      <c r="J268">
        <v>0</v>
      </c>
      <c r="K268">
        <v>1</v>
      </c>
      <c r="L268">
        <v>100</v>
      </c>
      <c r="M268">
        <v>0</v>
      </c>
      <c r="N268" t="s">
        <v>37</v>
      </c>
      <c r="O268">
        <v>0.11</v>
      </c>
      <c r="P268">
        <v>2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 t="s">
        <v>37</v>
      </c>
    </row>
    <row r="269" spans="1:35" x14ac:dyDescent="0.2">
      <c r="A269">
        <v>63</v>
      </c>
      <c r="B269" t="s">
        <v>93</v>
      </c>
      <c r="C269" t="s">
        <v>59</v>
      </c>
      <c r="D269" t="s">
        <v>42</v>
      </c>
      <c r="E269">
        <v>1</v>
      </c>
      <c r="F269">
        <v>14.416666666667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100</v>
      </c>
      <c r="M269">
        <v>2</v>
      </c>
      <c r="N269">
        <v>50</v>
      </c>
      <c r="O269">
        <v>0.12</v>
      </c>
      <c r="P269">
        <v>3</v>
      </c>
      <c r="Q269">
        <v>2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0</v>
      </c>
      <c r="AF269">
        <v>0</v>
      </c>
      <c r="AG269">
        <v>5</v>
      </c>
      <c r="AH269">
        <v>4</v>
      </c>
      <c r="AI269">
        <v>55.56</v>
      </c>
    </row>
    <row r="270" spans="1:35" x14ac:dyDescent="0.2">
      <c r="A270">
        <v>198</v>
      </c>
      <c r="B270" t="s">
        <v>288</v>
      </c>
      <c r="C270" t="s">
        <v>52</v>
      </c>
      <c r="D270" t="s">
        <v>57</v>
      </c>
      <c r="E270">
        <v>1</v>
      </c>
      <c r="F270">
        <v>26.033333333333001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37</v>
      </c>
      <c r="O270">
        <v>0.04</v>
      </c>
      <c r="P270">
        <v>3</v>
      </c>
      <c r="Q270">
        <v>1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0</v>
      </c>
      <c r="AE270">
        <v>2</v>
      </c>
      <c r="AF270">
        <v>2</v>
      </c>
      <c r="AG270">
        <v>0</v>
      </c>
      <c r="AH270">
        <v>0</v>
      </c>
      <c r="AI270" t="s">
        <v>37</v>
      </c>
    </row>
    <row r="271" spans="1:35" x14ac:dyDescent="0.2">
      <c r="A271">
        <v>288</v>
      </c>
      <c r="B271" t="s">
        <v>339</v>
      </c>
      <c r="C271" t="s">
        <v>64</v>
      </c>
      <c r="D271" t="s">
        <v>42</v>
      </c>
      <c r="E271">
        <v>1</v>
      </c>
      <c r="F271">
        <v>14.216666666667001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37</v>
      </c>
      <c r="M271">
        <v>1</v>
      </c>
      <c r="N271">
        <v>0</v>
      </c>
      <c r="O271">
        <v>0.06</v>
      </c>
      <c r="P271">
        <v>2</v>
      </c>
      <c r="Q271">
        <v>1</v>
      </c>
      <c r="R271">
        <v>2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6</v>
      </c>
      <c r="AE271">
        <v>2</v>
      </c>
      <c r="AF271">
        <v>1</v>
      </c>
      <c r="AG271">
        <v>13</v>
      </c>
      <c r="AH271">
        <v>6</v>
      </c>
      <c r="AI271">
        <v>68.42</v>
      </c>
    </row>
    <row r="272" spans="1:35" x14ac:dyDescent="0.2">
      <c r="A272">
        <v>104</v>
      </c>
      <c r="B272" t="s">
        <v>103</v>
      </c>
      <c r="C272" t="s">
        <v>41</v>
      </c>
      <c r="D272" t="s">
        <v>36</v>
      </c>
      <c r="E272">
        <v>1</v>
      </c>
      <c r="F272">
        <v>17.033333333333001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50</v>
      </c>
      <c r="M272">
        <v>1</v>
      </c>
      <c r="N272">
        <v>0</v>
      </c>
      <c r="O272">
        <v>0.9</v>
      </c>
      <c r="P272">
        <v>5</v>
      </c>
      <c r="Q272">
        <v>4</v>
      </c>
      <c r="R272">
        <v>5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6</v>
      </c>
      <c r="AH272">
        <v>4</v>
      </c>
      <c r="AI272">
        <v>60</v>
      </c>
    </row>
    <row r="273" spans="1:35" x14ac:dyDescent="0.2">
      <c r="A273">
        <v>159</v>
      </c>
      <c r="B273" t="s">
        <v>262</v>
      </c>
      <c r="C273" t="s">
        <v>69</v>
      </c>
      <c r="D273" t="s">
        <v>57</v>
      </c>
      <c r="E273">
        <v>1</v>
      </c>
      <c r="F273">
        <v>19.683333333333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0</v>
      </c>
      <c r="O273">
        <v>0.06</v>
      </c>
      <c r="P273">
        <v>3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2</v>
      </c>
      <c r="AF273">
        <v>2</v>
      </c>
      <c r="AG273">
        <v>0</v>
      </c>
      <c r="AH273">
        <v>0</v>
      </c>
      <c r="AI273" t="s">
        <v>37</v>
      </c>
    </row>
    <row r="274" spans="1:35" x14ac:dyDescent="0.2">
      <c r="A274">
        <v>275</v>
      </c>
      <c r="B274" t="s">
        <v>156</v>
      </c>
      <c r="C274" t="s">
        <v>59</v>
      </c>
      <c r="D274" t="s">
        <v>57</v>
      </c>
      <c r="E274">
        <v>1</v>
      </c>
      <c r="F274">
        <v>13.25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50</v>
      </c>
      <c r="M274">
        <v>0</v>
      </c>
      <c r="N274" t="s">
        <v>37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2</v>
      </c>
      <c r="AC274">
        <v>0</v>
      </c>
      <c r="AD274">
        <v>0</v>
      </c>
      <c r="AE274">
        <v>4</v>
      </c>
      <c r="AF274">
        <v>2</v>
      </c>
      <c r="AG274">
        <v>0</v>
      </c>
      <c r="AH274">
        <v>0</v>
      </c>
      <c r="AI274" t="s">
        <v>37</v>
      </c>
    </row>
    <row r="275" spans="1:35" x14ac:dyDescent="0.2">
      <c r="A275">
        <v>55</v>
      </c>
      <c r="B275" t="s">
        <v>92</v>
      </c>
      <c r="C275" t="s">
        <v>56</v>
      </c>
      <c r="D275" t="s">
        <v>36</v>
      </c>
      <c r="E275">
        <v>1</v>
      </c>
      <c r="F275">
        <v>16.5</v>
      </c>
      <c r="G275">
        <v>0</v>
      </c>
      <c r="H275">
        <v>1</v>
      </c>
      <c r="I275">
        <v>1</v>
      </c>
      <c r="J275">
        <v>0</v>
      </c>
      <c r="K275">
        <v>1</v>
      </c>
      <c r="L275">
        <v>100</v>
      </c>
      <c r="M275">
        <v>3</v>
      </c>
      <c r="N275">
        <v>0</v>
      </c>
      <c r="O275">
        <v>0.95</v>
      </c>
      <c r="P275">
        <v>7</v>
      </c>
      <c r="Q275">
        <v>6</v>
      </c>
      <c r="R275">
        <v>6</v>
      </c>
      <c r="S275">
        <v>4</v>
      </c>
      <c r="T275">
        <v>0</v>
      </c>
      <c r="U275">
        <v>3</v>
      </c>
      <c r="V275">
        <v>10</v>
      </c>
      <c r="W275">
        <v>1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0</v>
      </c>
      <c r="AD275">
        <v>5</v>
      </c>
      <c r="AE275">
        <v>1</v>
      </c>
      <c r="AF275">
        <v>0</v>
      </c>
      <c r="AG275">
        <v>2</v>
      </c>
      <c r="AH275">
        <v>0</v>
      </c>
      <c r="AI275">
        <v>100</v>
      </c>
    </row>
    <row r="276" spans="1:35" x14ac:dyDescent="0.2">
      <c r="A276">
        <v>56</v>
      </c>
      <c r="B276" t="s">
        <v>195</v>
      </c>
      <c r="C276" t="s">
        <v>39</v>
      </c>
      <c r="D276" t="s">
        <v>42</v>
      </c>
      <c r="E276">
        <v>1</v>
      </c>
      <c r="F276">
        <v>17.416666666666998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0.25</v>
      </c>
      <c r="P276">
        <v>3</v>
      </c>
      <c r="Q276">
        <v>3</v>
      </c>
      <c r="R276">
        <v>2</v>
      </c>
      <c r="S276">
        <v>2</v>
      </c>
      <c r="T276">
        <v>1</v>
      </c>
      <c r="U276">
        <v>1</v>
      </c>
      <c r="V276">
        <v>2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7</v>
      </c>
      <c r="AH276">
        <v>6</v>
      </c>
      <c r="AI276">
        <v>53.85</v>
      </c>
    </row>
    <row r="277" spans="1:35" x14ac:dyDescent="0.2">
      <c r="A277">
        <v>109</v>
      </c>
      <c r="B277" t="s">
        <v>105</v>
      </c>
      <c r="C277" t="s">
        <v>35</v>
      </c>
      <c r="D277" t="s">
        <v>36</v>
      </c>
      <c r="E277">
        <v>1</v>
      </c>
      <c r="F277">
        <v>19.883333333332999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100</v>
      </c>
      <c r="M277">
        <v>1</v>
      </c>
      <c r="N277">
        <v>0</v>
      </c>
      <c r="O277">
        <v>0.32</v>
      </c>
      <c r="P277">
        <v>4</v>
      </c>
      <c r="Q277">
        <v>3</v>
      </c>
      <c r="R277">
        <v>2</v>
      </c>
      <c r="S277">
        <v>1</v>
      </c>
      <c r="T277">
        <v>0</v>
      </c>
      <c r="U277">
        <v>1</v>
      </c>
      <c r="V277">
        <v>2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2</v>
      </c>
      <c r="AC277">
        <v>2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37</v>
      </c>
    </row>
    <row r="278" spans="1:35" x14ac:dyDescent="0.2">
      <c r="A278">
        <v>89</v>
      </c>
      <c r="B278" t="s">
        <v>220</v>
      </c>
      <c r="C278" t="s">
        <v>35</v>
      </c>
      <c r="D278" t="s">
        <v>57</v>
      </c>
      <c r="E278">
        <v>1</v>
      </c>
      <c r="F278">
        <v>22.083333333333002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37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0</v>
      </c>
      <c r="AI278" t="s">
        <v>37</v>
      </c>
    </row>
    <row r="279" spans="1:35" x14ac:dyDescent="0.2">
      <c r="A279">
        <v>86</v>
      </c>
      <c r="B279" t="s">
        <v>219</v>
      </c>
      <c r="C279" t="s">
        <v>56</v>
      </c>
      <c r="D279" t="s">
        <v>57</v>
      </c>
      <c r="E279">
        <v>1</v>
      </c>
      <c r="F279">
        <v>16.399999999999999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37</v>
      </c>
      <c r="M279">
        <v>0</v>
      </c>
      <c r="N279" t="s">
        <v>37</v>
      </c>
      <c r="O279">
        <v>0.03</v>
      </c>
      <c r="P279">
        <v>2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2</v>
      </c>
      <c r="AF279">
        <v>4</v>
      </c>
      <c r="AG279">
        <v>0</v>
      </c>
      <c r="AH279">
        <v>0</v>
      </c>
      <c r="AI279" t="s">
        <v>37</v>
      </c>
    </row>
    <row r="280" spans="1:35" x14ac:dyDescent="0.2">
      <c r="A280">
        <v>189</v>
      </c>
      <c r="B280" t="s">
        <v>285</v>
      </c>
      <c r="C280" t="s">
        <v>35</v>
      </c>
      <c r="D280" t="s">
        <v>42</v>
      </c>
      <c r="E280">
        <v>1</v>
      </c>
      <c r="F280">
        <v>15.2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37</v>
      </c>
      <c r="M280">
        <v>1</v>
      </c>
      <c r="N280">
        <v>0</v>
      </c>
      <c r="O280">
        <v>0.44</v>
      </c>
      <c r="P280">
        <v>2</v>
      </c>
      <c r="Q280">
        <v>2</v>
      </c>
      <c r="R280">
        <v>2</v>
      </c>
      <c r="S280">
        <v>2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1</v>
      </c>
      <c r="AF280">
        <v>1</v>
      </c>
      <c r="AG280">
        <v>0</v>
      </c>
      <c r="AH280">
        <v>0</v>
      </c>
      <c r="AI280" t="s">
        <v>37</v>
      </c>
    </row>
    <row r="281" spans="1:35" x14ac:dyDescent="0.2">
      <c r="A281">
        <v>142</v>
      </c>
      <c r="B281" t="s">
        <v>257</v>
      </c>
      <c r="C281" t="s">
        <v>61</v>
      </c>
      <c r="D281" t="s">
        <v>57</v>
      </c>
      <c r="E281">
        <v>1</v>
      </c>
      <c r="F281">
        <v>16.850000000000001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37</v>
      </c>
      <c r="O281">
        <v>0</v>
      </c>
      <c r="P281">
        <v>3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 t="s">
        <v>37</v>
      </c>
    </row>
    <row r="282" spans="1:35" x14ac:dyDescent="0.2">
      <c r="A282">
        <v>78</v>
      </c>
      <c r="B282" t="s">
        <v>213</v>
      </c>
      <c r="C282" t="s">
        <v>148</v>
      </c>
      <c r="D282" t="s">
        <v>46</v>
      </c>
      <c r="E282">
        <v>1</v>
      </c>
      <c r="F282">
        <v>18.2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37</v>
      </c>
      <c r="M282">
        <v>2</v>
      </c>
      <c r="N282">
        <v>0</v>
      </c>
      <c r="O282">
        <v>0.12</v>
      </c>
      <c r="P282">
        <v>2</v>
      </c>
      <c r="Q282">
        <v>2</v>
      </c>
      <c r="R282">
        <v>2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3</v>
      </c>
      <c r="AC282">
        <v>1</v>
      </c>
      <c r="AD282">
        <v>0</v>
      </c>
      <c r="AE282">
        <v>2</v>
      </c>
      <c r="AF282">
        <v>1</v>
      </c>
      <c r="AG282">
        <v>0</v>
      </c>
      <c r="AH282">
        <v>0</v>
      </c>
      <c r="AI282" t="s">
        <v>37</v>
      </c>
    </row>
    <row r="283" spans="1:35" x14ac:dyDescent="0.2">
      <c r="A283">
        <v>9</v>
      </c>
      <c r="B283" t="s">
        <v>166</v>
      </c>
      <c r="C283" t="s">
        <v>59</v>
      </c>
      <c r="D283" t="s">
        <v>57</v>
      </c>
      <c r="E283">
        <v>1</v>
      </c>
      <c r="F283">
        <v>19.3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0</v>
      </c>
      <c r="O283">
        <v>7.0000000000000007E-2</v>
      </c>
      <c r="P283">
        <v>4</v>
      </c>
      <c r="Q283">
        <v>4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</v>
      </c>
      <c r="AD283">
        <v>2</v>
      </c>
      <c r="AE283">
        <v>0</v>
      </c>
      <c r="AF283">
        <v>3</v>
      </c>
      <c r="AG283">
        <v>0</v>
      </c>
      <c r="AH283">
        <v>0</v>
      </c>
      <c r="AI283" t="s">
        <v>37</v>
      </c>
    </row>
    <row r="284" spans="1:35" x14ac:dyDescent="0.2">
      <c r="A284">
        <v>25</v>
      </c>
      <c r="B284" t="s">
        <v>80</v>
      </c>
      <c r="C284" t="s">
        <v>69</v>
      </c>
      <c r="D284" t="s">
        <v>42</v>
      </c>
      <c r="E284">
        <v>1</v>
      </c>
      <c r="F284">
        <v>16.183333333333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100</v>
      </c>
      <c r="M284">
        <v>4</v>
      </c>
      <c r="N284">
        <v>0</v>
      </c>
      <c r="O284">
        <v>0.73</v>
      </c>
      <c r="P284">
        <v>8</v>
      </c>
      <c r="Q284">
        <v>6</v>
      </c>
      <c r="R284">
        <v>6</v>
      </c>
      <c r="S284">
        <v>5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</v>
      </c>
    </row>
    <row r="285" spans="1:35" x14ac:dyDescent="0.2">
      <c r="A285">
        <v>179</v>
      </c>
      <c r="B285" t="s">
        <v>276</v>
      </c>
      <c r="C285" t="s">
        <v>45</v>
      </c>
      <c r="D285" t="s">
        <v>57</v>
      </c>
      <c r="E285">
        <v>1</v>
      </c>
      <c r="F285">
        <v>14.6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</v>
      </c>
      <c r="N285">
        <v>0</v>
      </c>
      <c r="O285">
        <v>0.1</v>
      </c>
      <c r="P285">
        <v>5</v>
      </c>
      <c r="Q285">
        <v>3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2</v>
      </c>
      <c r="AF285">
        <v>0</v>
      </c>
      <c r="AG285">
        <v>0</v>
      </c>
      <c r="AH285">
        <v>0</v>
      </c>
      <c r="AI285" t="s">
        <v>37</v>
      </c>
    </row>
    <row r="286" spans="1:35" x14ac:dyDescent="0.2">
      <c r="A286">
        <v>81</v>
      </c>
      <c r="B286" t="s">
        <v>215</v>
      </c>
      <c r="C286" t="s">
        <v>48</v>
      </c>
      <c r="D286" t="s">
        <v>36</v>
      </c>
      <c r="E286">
        <v>1</v>
      </c>
      <c r="F286">
        <v>16.483333333333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37</v>
      </c>
      <c r="M286">
        <v>1</v>
      </c>
      <c r="N286">
        <v>0</v>
      </c>
      <c r="O286">
        <v>0.14000000000000001</v>
      </c>
      <c r="P286">
        <v>4</v>
      </c>
      <c r="Q286">
        <v>2</v>
      </c>
      <c r="R286">
        <v>2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3</v>
      </c>
      <c r="AE286">
        <v>2</v>
      </c>
      <c r="AF286">
        <v>1</v>
      </c>
      <c r="AG286">
        <v>0</v>
      </c>
      <c r="AH286">
        <v>0</v>
      </c>
      <c r="AI286" t="s">
        <v>37</v>
      </c>
    </row>
    <row r="287" spans="1:35" x14ac:dyDescent="0.2">
      <c r="A287">
        <v>97</v>
      </c>
      <c r="B287" t="s">
        <v>100</v>
      </c>
      <c r="C287" t="s">
        <v>48</v>
      </c>
      <c r="D287" t="s">
        <v>46</v>
      </c>
      <c r="E287">
        <v>1</v>
      </c>
      <c r="F287">
        <v>20.65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100</v>
      </c>
      <c r="M287">
        <v>3</v>
      </c>
      <c r="N287">
        <v>33.33</v>
      </c>
      <c r="O287">
        <v>0.3</v>
      </c>
      <c r="P287">
        <v>6</v>
      </c>
      <c r="Q287">
        <v>4</v>
      </c>
      <c r="R287">
        <v>3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 t="s">
        <v>37</v>
      </c>
    </row>
    <row r="288" spans="1:35" x14ac:dyDescent="0.2">
      <c r="A288">
        <v>103</v>
      </c>
      <c r="B288" t="s">
        <v>227</v>
      </c>
      <c r="C288" t="s">
        <v>74</v>
      </c>
      <c r="D288" t="s">
        <v>57</v>
      </c>
      <c r="E288">
        <v>1</v>
      </c>
      <c r="F288">
        <v>24.15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37</v>
      </c>
      <c r="M288">
        <v>3</v>
      </c>
      <c r="N288">
        <v>0</v>
      </c>
      <c r="O288">
        <v>0.06</v>
      </c>
      <c r="P288">
        <v>5</v>
      </c>
      <c r="Q288">
        <v>4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2</v>
      </c>
      <c r="AF288">
        <v>0</v>
      </c>
      <c r="AG288">
        <v>0</v>
      </c>
      <c r="AH288">
        <v>0</v>
      </c>
      <c r="AI288" t="s">
        <v>37</v>
      </c>
    </row>
    <row r="289" spans="1:35" x14ac:dyDescent="0.2">
      <c r="A289">
        <v>146</v>
      </c>
      <c r="B289" t="s">
        <v>259</v>
      </c>
      <c r="C289" t="s">
        <v>69</v>
      </c>
      <c r="D289" t="s">
        <v>57</v>
      </c>
      <c r="E289">
        <v>1</v>
      </c>
      <c r="F289">
        <v>16.583333333333002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37</v>
      </c>
      <c r="M289">
        <v>1</v>
      </c>
      <c r="N289">
        <v>0</v>
      </c>
      <c r="O289">
        <v>0.04</v>
      </c>
      <c r="P289">
        <v>2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0</v>
      </c>
      <c r="AD289">
        <v>0</v>
      </c>
      <c r="AE289">
        <v>1</v>
      </c>
      <c r="AF289">
        <v>2</v>
      </c>
      <c r="AG289">
        <v>0</v>
      </c>
      <c r="AH289">
        <v>0</v>
      </c>
      <c r="AI289" t="s">
        <v>37</v>
      </c>
    </row>
    <row r="290" spans="1:35" x14ac:dyDescent="0.2">
      <c r="A290">
        <v>39</v>
      </c>
      <c r="B290" t="s">
        <v>184</v>
      </c>
      <c r="C290" t="s">
        <v>85</v>
      </c>
      <c r="D290" t="s">
        <v>42</v>
      </c>
      <c r="E290">
        <v>1</v>
      </c>
      <c r="F290">
        <v>20.316666666667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37</v>
      </c>
      <c r="M290">
        <v>2</v>
      </c>
      <c r="N290">
        <v>0</v>
      </c>
      <c r="O290">
        <v>0.41</v>
      </c>
      <c r="P290">
        <v>4</v>
      </c>
      <c r="Q290">
        <v>3</v>
      </c>
      <c r="R290">
        <v>3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3</v>
      </c>
      <c r="AF290">
        <v>0</v>
      </c>
      <c r="AG290">
        <v>11</v>
      </c>
      <c r="AH290">
        <v>3</v>
      </c>
      <c r="AI290">
        <v>78.569999999999993</v>
      </c>
    </row>
    <row r="291" spans="1:35" x14ac:dyDescent="0.2">
      <c r="A291">
        <v>127</v>
      </c>
      <c r="B291" t="s">
        <v>244</v>
      </c>
      <c r="C291" t="s">
        <v>85</v>
      </c>
      <c r="D291" t="s">
        <v>57</v>
      </c>
      <c r="E291">
        <v>1</v>
      </c>
      <c r="F291">
        <v>28.033333333333001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37</v>
      </c>
      <c r="M291">
        <v>3</v>
      </c>
      <c r="N291">
        <v>0</v>
      </c>
      <c r="O291">
        <v>0.06</v>
      </c>
      <c r="P291">
        <v>6</v>
      </c>
      <c r="Q291">
        <v>4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 t="s">
        <v>37</v>
      </c>
    </row>
    <row r="292" spans="1:35" x14ac:dyDescent="0.2">
      <c r="A292">
        <v>124</v>
      </c>
      <c r="B292" t="s">
        <v>241</v>
      </c>
      <c r="C292" t="s">
        <v>85</v>
      </c>
      <c r="D292" t="s">
        <v>57</v>
      </c>
      <c r="E292">
        <v>1</v>
      </c>
      <c r="F292">
        <v>15.316666666667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37</v>
      </c>
      <c r="M292">
        <v>2</v>
      </c>
      <c r="N292">
        <v>0</v>
      </c>
      <c r="O292">
        <v>0.03</v>
      </c>
      <c r="P292">
        <v>2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4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2</v>
      </c>
      <c r="AC292">
        <v>0</v>
      </c>
      <c r="AD292">
        <v>1</v>
      </c>
      <c r="AE292">
        <v>3</v>
      </c>
      <c r="AF292">
        <v>5</v>
      </c>
      <c r="AG292">
        <v>0</v>
      </c>
      <c r="AH292">
        <v>0</v>
      </c>
      <c r="AI292" t="s">
        <v>37</v>
      </c>
    </row>
    <row r="293" spans="1:35" x14ac:dyDescent="0.2">
      <c r="A293">
        <v>224</v>
      </c>
      <c r="B293" t="s">
        <v>301</v>
      </c>
      <c r="C293" t="s">
        <v>85</v>
      </c>
      <c r="D293" t="s">
        <v>46</v>
      </c>
      <c r="E293">
        <v>1</v>
      </c>
      <c r="F293">
        <v>15.2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37</v>
      </c>
      <c r="M293">
        <v>2</v>
      </c>
      <c r="N293">
        <v>0</v>
      </c>
      <c r="O293">
        <v>0.3</v>
      </c>
      <c r="P293">
        <v>3</v>
      </c>
      <c r="Q293">
        <v>3</v>
      </c>
      <c r="R293">
        <v>2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2</v>
      </c>
      <c r="AF293">
        <v>0</v>
      </c>
      <c r="AG293">
        <v>0</v>
      </c>
      <c r="AH293">
        <v>1</v>
      </c>
      <c r="AI293">
        <v>0</v>
      </c>
    </row>
    <row r="294" spans="1:35" x14ac:dyDescent="0.2">
      <c r="A294">
        <v>273</v>
      </c>
      <c r="B294" t="s">
        <v>68</v>
      </c>
      <c r="C294" t="s">
        <v>69</v>
      </c>
      <c r="D294" t="s">
        <v>42</v>
      </c>
      <c r="E294">
        <v>1</v>
      </c>
      <c r="F294">
        <v>20.05</v>
      </c>
      <c r="G294">
        <v>0</v>
      </c>
      <c r="H294">
        <v>2</v>
      </c>
      <c r="I294">
        <v>1</v>
      </c>
      <c r="J294">
        <v>1</v>
      </c>
      <c r="K294">
        <v>2</v>
      </c>
      <c r="L294">
        <v>100</v>
      </c>
      <c r="M294">
        <v>2</v>
      </c>
      <c r="N294">
        <v>0</v>
      </c>
      <c r="O294">
        <v>0.19</v>
      </c>
      <c r="P294">
        <v>4</v>
      </c>
      <c r="Q294">
        <v>3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2</v>
      </c>
      <c r="AF294">
        <v>0</v>
      </c>
      <c r="AG294">
        <v>0</v>
      </c>
      <c r="AH294">
        <v>0</v>
      </c>
      <c r="AI294" t="s">
        <v>37</v>
      </c>
    </row>
    <row r="295" spans="1:35" x14ac:dyDescent="0.2">
      <c r="A295">
        <v>234</v>
      </c>
      <c r="B295" t="s">
        <v>308</v>
      </c>
      <c r="C295" t="s">
        <v>69</v>
      </c>
      <c r="D295" t="s">
        <v>46</v>
      </c>
      <c r="E295">
        <v>1</v>
      </c>
      <c r="F295">
        <v>18.166666666666998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0.09</v>
      </c>
      <c r="P295">
        <v>3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1</v>
      </c>
      <c r="AG295">
        <v>0</v>
      </c>
      <c r="AH295">
        <v>1</v>
      </c>
      <c r="AI295">
        <v>0</v>
      </c>
    </row>
    <row r="296" spans="1:35" x14ac:dyDescent="0.2">
      <c r="A296">
        <v>238</v>
      </c>
      <c r="B296" t="s">
        <v>62</v>
      </c>
      <c r="C296" t="s">
        <v>52</v>
      </c>
      <c r="D296" t="s">
        <v>42</v>
      </c>
      <c r="E296">
        <v>1</v>
      </c>
      <c r="F296">
        <v>16.350000000000001</v>
      </c>
      <c r="G296">
        <v>1</v>
      </c>
      <c r="H296">
        <v>1</v>
      </c>
      <c r="I296">
        <v>1</v>
      </c>
      <c r="J296">
        <v>0</v>
      </c>
      <c r="K296">
        <v>2</v>
      </c>
      <c r="L296">
        <v>100</v>
      </c>
      <c r="M296">
        <v>4</v>
      </c>
      <c r="N296">
        <v>25</v>
      </c>
      <c r="O296">
        <v>0.71</v>
      </c>
      <c r="P296">
        <v>4</v>
      </c>
      <c r="Q296">
        <v>4</v>
      </c>
      <c r="R296">
        <v>4</v>
      </c>
      <c r="S296">
        <v>3</v>
      </c>
      <c r="T296">
        <v>0</v>
      </c>
      <c r="U296">
        <v>1</v>
      </c>
      <c r="V296">
        <v>2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2</v>
      </c>
      <c r="AH296">
        <v>3</v>
      </c>
      <c r="AI296">
        <v>40</v>
      </c>
    </row>
    <row r="297" spans="1:35" x14ac:dyDescent="0.2">
      <c r="A297">
        <v>227</v>
      </c>
      <c r="B297" t="s">
        <v>304</v>
      </c>
      <c r="C297" t="s">
        <v>148</v>
      </c>
      <c r="D297" t="s">
        <v>57</v>
      </c>
      <c r="E297">
        <v>1</v>
      </c>
      <c r="F297">
        <v>21.75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37</v>
      </c>
      <c r="M297">
        <v>2</v>
      </c>
      <c r="N297">
        <v>0</v>
      </c>
      <c r="O297">
        <v>0.09</v>
      </c>
      <c r="P297">
        <v>3</v>
      </c>
      <c r="Q297">
        <v>3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>
        <v>0</v>
      </c>
      <c r="AG297">
        <v>0</v>
      </c>
      <c r="AH297">
        <v>0</v>
      </c>
      <c r="AI297" t="s">
        <v>37</v>
      </c>
    </row>
    <row r="298" spans="1:35" x14ac:dyDescent="0.2">
      <c r="A298">
        <v>225</v>
      </c>
      <c r="B298" t="s">
        <v>302</v>
      </c>
      <c r="C298" t="s">
        <v>117</v>
      </c>
      <c r="D298" t="s">
        <v>57</v>
      </c>
      <c r="E298">
        <v>1</v>
      </c>
      <c r="F298">
        <v>20.100000000000001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37</v>
      </c>
      <c r="M298">
        <v>1</v>
      </c>
      <c r="N298">
        <v>0</v>
      </c>
      <c r="O298">
        <v>0.01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4</v>
      </c>
      <c r="W298">
        <v>2</v>
      </c>
      <c r="X298">
        <v>2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1</v>
      </c>
      <c r="AF298">
        <v>3</v>
      </c>
      <c r="AG298">
        <v>0</v>
      </c>
      <c r="AH298">
        <v>0</v>
      </c>
      <c r="AI298" t="s">
        <v>37</v>
      </c>
    </row>
    <row r="299" spans="1:35" x14ac:dyDescent="0.2">
      <c r="A299">
        <v>51</v>
      </c>
      <c r="B299" t="s">
        <v>193</v>
      </c>
      <c r="C299" t="s">
        <v>87</v>
      </c>
      <c r="D299" t="s">
        <v>42</v>
      </c>
      <c r="E299">
        <v>1</v>
      </c>
      <c r="F299">
        <v>17.266666666667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37</v>
      </c>
      <c r="M299">
        <v>2</v>
      </c>
      <c r="N299">
        <v>0</v>
      </c>
      <c r="O299">
        <v>0.34</v>
      </c>
      <c r="P299">
        <v>6</v>
      </c>
      <c r="Q299">
        <v>4</v>
      </c>
      <c r="R299">
        <v>4</v>
      </c>
      <c r="S299">
        <v>3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0</v>
      </c>
      <c r="AD299">
        <v>1</v>
      </c>
      <c r="AE299">
        <v>2</v>
      </c>
      <c r="AF299">
        <v>0</v>
      </c>
      <c r="AG299">
        <v>3</v>
      </c>
      <c r="AH299">
        <v>0</v>
      </c>
      <c r="AI299">
        <v>100</v>
      </c>
    </row>
    <row r="300" spans="1:35" x14ac:dyDescent="0.2">
      <c r="A300">
        <v>184</v>
      </c>
      <c r="B300" t="s">
        <v>280</v>
      </c>
      <c r="C300" t="s">
        <v>117</v>
      </c>
      <c r="D300" t="s">
        <v>42</v>
      </c>
      <c r="E300">
        <v>1</v>
      </c>
      <c r="F300">
        <v>20.216666666666999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</v>
      </c>
      <c r="N300">
        <v>0</v>
      </c>
      <c r="O300">
        <v>0.41</v>
      </c>
      <c r="P300">
        <v>9</v>
      </c>
      <c r="Q300">
        <v>6</v>
      </c>
      <c r="R300">
        <v>2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3</v>
      </c>
      <c r="AG300">
        <v>0</v>
      </c>
      <c r="AH300">
        <v>2</v>
      </c>
      <c r="AI300">
        <v>0</v>
      </c>
    </row>
    <row r="301" spans="1:35" x14ac:dyDescent="0.2">
      <c r="A301">
        <v>169</v>
      </c>
      <c r="B301" t="s">
        <v>267</v>
      </c>
      <c r="C301" t="s">
        <v>117</v>
      </c>
      <c r="D301" t="s">
        <v>57</v>
      </c>
      <c r="E301">
        <v>1</v>
      </c>
      <c r="F301">
        <v>25.266666666667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37</v>
      </c>
      <c r="M301">
        <v>0</v>
      </c>
      <c r="N301" t="s">
        <v>37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2</v>
      </c>
      <c r="AF301">
        <v>3</v>
      </c>
      <c r="AG301">
        <v>0</v>
      </c>
      <c r="AH301">
        <v>0</v>
      </c>
      <c r="AI301" t="s">
        <v>37</v>
      </c>
    </row>
    <row r="302" spans="1:35" x14ac:dyDescent="0.2">
      <c r="A302">
        <v>243</v>
      </c>
      <c r="B302" t="s">
        <v>315</v>
      </c>
      <c r="C302" t="s">
        <v>69</v>
      </c>
      <c r="D302" t="s">
        <v>42</v>
      </c>
      <c r="E302">
        <v>1</v>
      </c>
      <c r="F302">
        <v>8.85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37</v>
      </c>
      <c r="M302">
        <v>1</v>
      </c>
      <c r="N302">
        <v>0</v>
      </c>
      <c r="O302">
        <v>0.17</v>
      </c>
      <c r="P302">
        <v>2</v>
      </c>
      <c r="Q302">
        <v>2</v>
      </c>
      <c r="R302">
        <v>2</v>
      </c>
      <c r="S302">
        <v>2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0</v>
      </c>
      <c r="AG302">
        <v>1</v>
      </c>
      <c r="AH302">
        <v>3</v>
      </c>
      <c r="AI302">
        <v>25</v>
      </c>
    </row>
    <row r="303" spans="1:35" x14ac:dyDescent="0.2">
      <c r="A303">
        <v>245</v>
      </c>
      <c r="B303" t="s">
        <v>146</v>
      </c>
      <c r="C303" t="s">
        <v>48</v>
      </c>
      <c r="D303" t="s">
        <v>42</v>
      </c>
      <c r="E303">
        <v>1</v>
      </c>
      <c r="F303">
        <v>5.9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100</v>
      </c>
      <c r="M303">
        <v>1</v>
      </c>
      <c r="N303">
        <v>0</v>
      </c>
      <c r="O303">
        <v>0.13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1</v>
      </c>
      <c r="AG303">
        <v>1</v>
      </c>
      <c r="AH303">
        <v>2</v>
      </c>
      <c r="AI303">
        <v>33.33</v>
      </c>
    </row>
    <row r="304" spans="1:35" x14ac:dyDescent="0.2">
      <c r="A304">
        <v>280</v>
      </c>
      <c r="B304" t="s">
        <v>157</v>
      </c>
      <c r="C304" t="s">
        <v>59</v>
      </c>
      <c r="D304" t="s">
        <v>57</v>
      </c>
      <c r="E304">
        <v>1</v>
      </c>
      <c r="F304">
        <v>23.983333333333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50</v>
      </c>
      <c r="M304">
        <v>3</v>
      </c>
      <c r="N304">
        <v>33.33</v>
      </c>
      <c r="O304">
        <v>0.34</v>
      </c>
      <c r="P304">
        <v>6</v>
      </c>
      <c r="Q304">
        <v>3</v>
      </c>
      <c r="R304">
        <v>3</v>
      </c>
      <c r="S304">
        <v>1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 t="s">
        <v>37</v>
      </c>
    </row>
    <row r="305" spans="1:35" x14ac:dyDescent="0.2">
      <c r="A305">
        <v>54</v>
      </c>
      <c r="B305" t="s">
        <v>194</v>
      </c>
      <c r="C305" t="s">
        <v>87</v>
      </c>
      <c r="D305" t="s">
        <v>42</v>
      </c>
      <c r="E305">
        <v>1</v>
      </c>
      <c r="F305">
        <v>15.533333333332999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37</v>
      </c>
      <c r="M305">
        <v>2</v>
      </c>
      <c r="N305">
        <v>0</v>
      </c>
      <c r="O305">
        <v>0.23</v>
      </c>
      <c r="P305">
        <v>4</v>
      </c>
      <c r="Q305">
        <v>4</v>
      </c>
      <c r="R305">
        <v>2</v>
      </c>
      <c r="S305">
        <v>1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2</v>
      </c>
      <c r="AE305">
        <v>1</v>
      </c>
      <c r="AF305">
        <v>0</v>
      </c>
      <c r="AG305">
        <v>0</v>
      </c>
      <c r="AH305">
        <v>0</v>
      </c>
      <c r="AI305" t="s">
        <v>37</v>
      </c>
    </row>
  </sheetData>
  <autoFilter ref="A1:AI305" xr:uid="{4716E46B-710E-DF47-A67B-D3CB643B2C19}">
    <sortState xmlns:xlrd2="http://schemas.microsoft.com/office/spreadsheetml/2017/richdata2" ref="A2:AI305">
      <sortCondition ref="B1:B305"/>
    </sortState>
  </autoFilter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4BFE-91BF-CC46-B60A-986244173CBC}">
  <dimension ref="A1:AD486"/>
  <sheetViews>
    <sheetView topLeftCell="A191" workbookViewId="0">
      <selection activeCell="A22" sqref="A22"/>
    </sheetView>
  </sheetViews>
  <sheetFormatPr baseColWidth="10" defaultRowHeight="16" x14ac:dyDescent="0.2"/>
  <cols>
    <col min="1" max="1" width="21.6640625" bestFit="1" customWidth="1"/>
    <col min="2" max="2" width="3.1640625" bestFit="1" customWidth="1"/>
    <col min="3" max="3" width="5.1640625" bestFit="1" customWidth="1"/>
    <col min="4" max="4" width="4" bestFit="1" customWidth="1"/>
    <col min="5" max="5" width="6.1640625" bestFit="1" customWidth="1"/>
    <col min="6" max="6" width="5.5" bestFit="1" customWidth="1"/>
    <col min="7" max="7" width="7.1640625" bestFit="1" customWidth="1"/>
    <col min="8" max="8" width="8.5" bestFit="1" customWidth="1"/>
    <col min="9" max="9" width="4.5" bestFit="1" customWidth="1"/>
    <col min="10" max="10" width="7.1640625" bestFit="1" customWidth="1"/>
    <col min="11" max="11" width="6.83203125" bestFit="1" customWidth="1"/>
    <col min="12" max="12" width="5.1640625" bestFit="1" customWidth="1"/>
    <col min="13" max="13" width="9.33203125" bestFit="1" customWidth="1"/>
    <col min="14" max="14" width="8.33203125" bestFit="1" customWidth="1"/>
    <col min="15" max="15" width="9.1640625" bestFit="1" customWidth="1"/>
    <col min="16" max="16" width="6.83203125" bestFit="1" customWidth="1"/>
    <col min="17" max="17" width="8.1640625" bestFit="1" customWidth="1"/>
    <col min="18" max="18" width="5.1640625" bestFit="1" customWidth="1"/>
    <col min="19" max="19" width="6.1640625" bestFit="1" customWidth="1"/>
    <col min="20" max="20" width="6.83203125" bestFit="1" customWidth="1"/>
    <col min="21" max="22" width="7" bestFit="1" customWidth="1"/>
    <col min="23" max="23" width="4.5" bestFit="1" customWidth="1"/>
    <col min="24" max="24" width="5.1640625" bestFit="1" customWidth="1"/>
    <col min="25" max="25" width="5" bestFit="1" customWidth="1"/>
    <col min="26" max="26" width="5.6640625" bestFit="1" customWidth="1"/>
    <col min="27" max="27" width="6.33203125" bestFit="1" customWidth="1"/>
    <col min="28" max="28" width="8.1640625" bestFit="1" customWidth="1"/>
    <col min="29" max="29" width="5.83203125" bestFit="1" customWidth="1"/>
    <col min="30" max="30" width="5.1640625" bestFit="1" customWidth="1"/>
  </cols>
  <sheetData>
    <row r="1" spans="1:30" x14ac:dyDescent="0.2">
      <c r="A1" t="s">
        <v>0</v>
      </c>
      <c r="B1" t="s">
        <v>471</v>
      </c>
      <c r="C1" t="s">
        <v>472</v>
      </c>
      <c r="D1" t="s">
        <v>473</v>
      </c>
      <c r="E1" t="s">
        <v>474</v>
      </c>
      <c r="F1" t="s">
        <v>1</v>
      </c>
      <c r="G1" t="s">
        <v>475</v>
      </c>
      <c r="H1" t="s">
        <v>476</v>
      </c>
      <c r="I1" t="s">
        <v>477</v>
      </c>
      <c r="J1" t="s">
        <v>478</v>
      </c>
      <c r="K1" t="s">
        <v>479</v>
      </c>
      <c r="L1" t="s">
        <v>480</v>
      </c>
      <c r="M1" t="s">
        <v>481</v>
      </c>
      <c r="N1" t="s">
        <v>482</v>
      </c>
      <c r="O1" t="s">
        <v>483</v>
      </c>
      <c r="P1" t="s">
        <v>484</v>
      </c>
      <c r="Q1" t="s">
        <v>485</v>
      </c>
      <c r="R1" t="s">
        <v>486</v>
      </c>
      <c r="S1" t="s">
        <v>487</v>
      </c>
      <c r="T1" t="s">
        <v>488</v>
      </c>
      <c r="U1" t="s">
        <v>489</v>
      </c>
      <c r="V1" t="s">
        <v>490</v>
      </c>
      <c r="W1" t="s">
        <v>491</v>
      </c>
      <c r="X1" t="s">
        <v>492</v>
      </c>
      <c r="Y1" t="s">
        <v>493</v>
      </c>
      <c r="Z1" t="s">
        <v>494</v>
      </c>
      <c r="AA1" t="s">
        <v>495</v>
      </c>
      <c r="AB1" t="s">
        <v>4</v>
      </c>
      <c r="AC1" t="s">
        <v>496</v>
      </c>
      <c r="AD1" t="s">
        <v>497</v>
      </c>
    </row>
    <row r="2" spans="1:30" x14ac:dyDescent="0.2">
      <c r="A2" t="s">
        <v>432</v>
      </c>
      <c r="C2">
        <v>0</v>
      </c>
      <c r="D2" t="s">
        <v>42</v>
      </c>
      <c r="E2">
        <v>2500</v>
      </c>
      <c r="F2" t="s">
        <v>59</v>
      </c>
      <c r="G2" t="s">
        <v>521</v>
      </c>
      <c r="H2" s="3" t="d">
        <v>21:59:59.9999999999968050</v>
      </c>
      <c r="I2" t="s">
        <v>503</v>
      </c>
      <c r="J2" s="1">
        <v>0.52800000000000002</v>
      </c>
      <c r="K2">
        <v>89.5</v>
      </c>
      <c r="L2">
        <v>6</v>
      </c>
      <c r="M2">
        <v>2.77</v>
      </c>
      <c r="N2">
        <v>3</v>
      </c>
      <c r="Q2" s="4" t="d">
        <v>12:07:59.99999999999829150</v>
      </c>
      <c r="R2">
        <v>3.8</v>
      </c>
      <c r="S2">
        <v>5.17</v>
      </c>
      <c r="T2">
        <v>0</v>
      </c>
      <c r="U2">
        <v>0</v>
      </c>
      <c r="V2">
        <v>0</v>
      </c>
      <c r="W2">
        <v>100</v>
      </c>
      <c r="Y2">
        <v>32</v>
      </c>
      <c r="Z2">
        <v>0</v>
      </c>
      <c r="AA2">
        <v>0</v>
      </c>
    </row>
    <row r="3" spans="1:30" x14ac:dyDescent="0.2">
      <c r="A3" t="s">
        <v>627</v>
      </c>
      <c r="C3">
        <v>0</v>
      </c>
      <c r="D3" t="s">
        <v>42</v>
      </c>
      <c r="E3">
        <v>2500</v>
      </c>
      <c r="F3" t="s">
        <v>85</v>
      </c>
      <c r="G3" t="s">
        <v>507</v>
      </c>
      <c r="H3" s="3" t="d">
        <v>21:59:59.9999999999968050</v>
      </c>
      <c r="I3" t="s">
        <v>503</v>
      </c>
      <c r="J3" s="1">
        <v>0.55400000000000005</v>
      </c>
      <c r="K3">
        <v>80.5</v>
      </c>
      <c r="L3">
        <v>6.5</v>
      </c>
      <c r="M3">
        <v>3.25</v>
      </c>
      <c r="N3">
        <v>3.38</v>
      </c>
      <c r="Q3" s="4" t="d">
        <v>09:41:00.00000000000085425</v>
      </c>
      <c r="R3">
        <v>3.6</v>
      </c>
      <c r="S3">
        <v>3.99</v>
      </c>
      <c r="T3">
        <v>0</v>
      </c>
      <c r="U3">
        <v>0</v>
      </c>
      <c r="V3">
        <v>0</v>
      </c>
      <c r="W3">
        <v>100</v>
      </c>
      <c r="Y3">
        <v>45</v>
      </c>
      <c r="Z3">
        <v>0</v>
      </c>
      <c r="AA3">
        <v>0</v>
      </c>
    </row>
    <row r="4" spans="1:30" x14ac:dyDescent="0.2">
      <c r="A4" t="s">
        <v>440</v>
      </c>
      <c r="C4">
        <v>0</v>
      </c>
      <c r="D4" t="s">
        <v>343</v>
      </c>
      <c r="E4">
        <v>2500</v>
      </c>
      <c r="F4" t="s">
        <v>52</v>
      </c>
      <c r="G4" t="s">
        <v>508</v>
      </c>
      <c r="H4" s="3" t="d">
        <v>20:00:00.0000000000031950</v>
      </c>
      <c r="I4" t="s">
        <v>499</v>
      </c>
      <c r="J4" s="1">
        <v>0.48599999999999999</v>
      </c>
      <c r="K4">
        <v>-94.5</v>
      </c>
      <c r="L4">
        <v>5.5</v>
      </c>
      <c r="M4">
        <v>3.07</v>
      </c>
      <c r="N4">
        <v>2.75</v>
      </c>
      <c r="Q4" s="4" t="d">
        <v>09:25:59.99999999999925675</v>
      </c>
      <c r="R4">
        <v>3.8</v>
      </c>
      <c r="S4">
        <v>4.24</v>
      </c>
      <c r="T4">
        <v>0</v>
      </c>
      <c r="U4">
        <v>0</v>
      </c>
      <c r="V4">
        <v>0</v>
      </c>
      <c r="W4">
        <v>100</v>
      </c>
      <c r="Y4">
        <v>44</v>
      </c>
      <c r="Z4">
        <v>0</v>
      </c>
      <c r="AA4">
        <v>0</v>
      </c>
    </row>
    <row r="5" spans="1:30" x14ac:dyDescent="0.2">
      <c r="A5" t="s">
        <v>538</v>
      </c>
      <c r="C5">
        <v>0</v>
      </c>
      <c r="D5" t="s">
        <v>57</v>
      </c>
      <c r="E5">
        <v>6500</v>
      </c>
      <c r="F5" t="s">
        <v>85</v>
      </c>
      <c r="G5" t="s">
        <v>507</v>
      </c>
      <c r="H5" s="3" t="d">
        <v>21:59:59.9999999999968050</v>
      </c>
      <c r="I5" t="s">
        <v>503</v>
      </c>
      <c r="J5" s="1">
        <v>0.55400000000000005</v>
      </c>
      <c r="K5">
        <v>80.5</v>
      </c>
      <c r="L5">
        <v>6.5</v>
      </c>
      <c r="M5">
        <v>3.25</v>
      </c>
      <c r="N5">
        <v>3.38</v>
      </c>
      <c r="Q5" s="4" t="d">
        <v>23:26:59.999999999997441975</v>
      </c>
      <c r="R5">
        <v>11</v>
      </c>
      <c r="S5">
        <v>6.33</v>
      </c>
      <c r="T5">
        <v>0</v>
      </c>
      <c r="U5">
        <v>0</v>
      </c>
      <c r="V5">
        <v>0</v>
      </c>
      <c r="W5">
        <v>100</v>
      </c>
      <c r="Y5">
        <v>71</v>
      </c>
      <c r="Z5">
        <v>0</v>
      </c>
      <c r="AA5">
        <v>0</v>
      </c>
    </row>
    <row r="6" spans="1:30" x14ac:dyDescent="0.2">
      <c r="A6" t="s">
        <v>243</v>
      </c>
      <c r="C6">
        <v>0</v>
      </c>
      <c r="D6" t="s">
        <v>343</v>
      </c>
      <c r="E6">
        <v>2800</v>
      </c>
      <c r="F6" t="s">
        <v>500</v>
      </c>
      <c r="G6" t="s">
        <v>501</v>
      </c>
      <c r="H6" s="3" t="d">
        <v>21:59:59.9999999999968050</v>
      </c>
      <c r="I6" t="s">
        <v>499</v>
      </c>
      <c r="J6" s="1">
        <v>0.44600000000000001</v>
      </c>
      <c r="K6">
        <v>-80.5</v>
      </c>
      <c r="L6">
        <v>6.5</v>
      </c>
      <c r="M6">
        <v>3.38</v>
      </c>
      <c r="N6">
        <v>3.25</v>
      </c>
      <c r="O6">
        <v>3</v>
      </c>
      <c r="Q6" s="4" t="d">
        <v>12:00:00.000</v>
      </c>
      <c r="R6">
        <v>6.1</v>
      </c>
      <c r="S6">
        <v>5.98</v>
      </c>
      <c r="T6">
        <v>19.78</v>
      </c>
      <c r="U6">
        <v>7.82</v>
      </c>
      <c r="V6">
        <v>7.82</v>
      </c>
      <c r="W6">
        <v>100</v>
      </c>
      <c r="Y6">
        <v>51</v>
      </c>
      <c r="Z6">
        <v>2.8</v>
      </c>
      <c r="AA6">
        <v>0</v>
      </c>
      <c r="AB6" s="4" t="d">
        <v>12:17:59.99999999999616600</v>
      </c>
      <c r="AC6">
        <v>4.3</v>
      </c>
      <c r="AD6">
        <v>1.5</v>
      </c>
    </row>
    <row r="7" spans="1:30" x14ac:dyDescent="0.2">
      <c r="A7" t="s">
        <v>449</v>
      </c>
      <c r="C7">
        <v>0</v>
      </c>
      <c r="D7" t="s">
        <v>57</v>
      </c>
      <c r="E7">
        <v>2500</v>
      </c>
      <c r="F7" t="s">
        <v>35</v>
      </c>
      <c r="G7" t="s">
        <v>516</v>
      </c>
      <c r="H7" s="3" t="d">
        <v>21:00:00.000</v>
      </c>
      <c r="I7" t="s">
        <v>503</v>
      </c>
      <c r="J7" s="1">
        <v>0.377</v>
      </c>
      <c r="K7">
        <v>165</v>
      </c>
      <c r="L7">
        <v>6.5</v>
      </c>
      <c r="M7">
        <v>3.25</v>
      </c>
      <c r="N7">
        <v>4.18</v>
      </c>
      <c r="Q7" s="4" t="d">
        <v>15:23:00.000000000004689600</v>
      </c>
      <c r="R7">
        <v>2.6</v>
      </c>
      <c r="S7">
        <v>1.67</v>
      </c>
      <c r="T7">
        <v>0</v>
      </c>
      <c r="U7">
        <v>0</v>
      </c>
      <c r="V7">
        <v>0</v>
      </c>
      <c r="W7">
        <v>100</v>
      </c>
      <c r="Y7">
        <v>68</v>
      </c>
      <c r="Z7">
        <v>0</v>
      </c>
      <c r="AA7">
        <v>0</v>
      </c>
    </row>
    <row r="8" spans="1:30" x14ac:dyDescent="0.2">
      <c r="A8" t="s">
        <v>323</v>
      </c>
      <c r="C8">
        <v>0</v>
      </c>
      <c r="D8" t="s">
        <v>343</v>
      </c>
      <c r="E8">
        <v>2500</v>
      </c>
      <c r="F8" t="s">
        <v>117</v>
      </c>
      <c r="G8" t="s">
        <v>518</v>
      </c>
      <c r="H8" s="3" t="d">
        <v>21:00:00.000</v>
      </c>
      <c r="I8" t="s">
        <v>503</v>
      </c>
      <c r="J8" s="1">
        <v>0.54100000000000004</v>
      </c>
      <c r="K8">
        <v>85</v>
      </c>
      <c r="L8">
        <v>6</v>
      </c>
      <c r="M8">
        <v>2.8</v>
      </c>
      <c r="N8">
        <v>3</v>
      </c>
      <c r="O8">
        <v>4</v>
      </c>
      <c r="Q8" s="4" t="d">
        <v>10:35:59.99999999999872200</v>
      </c>
      <c r="R8">
        <v>3.9</v>
      </c>
      <c r="S8">
        <v>4.22</v>
      </c>
      <c r="T8">
        <v>12.36</v>
      </c>
      <c r="U8">
        <v>3.92</v>
      </c>
      <c r="V8">
        <v>3.92</v>
      </c>
      <c r="W8">
        <v>100</v>
      </c>
      <c r="Y8">
        <v>46</v>
      </c>
      <c r="Z8">
        <v>1.6</v>
      </c>
      <c r="AA8">
        <v>0</v>
      </c>
      <c r="AB8" s="4" t="d">
        <v>09:25:59.99999999999925675</v>
      </c>
      <c r="AC8">
        <v>4.3</v>
      </c>
      <c r="AD8">
        <v>1.7</v>
      </c>
    </row>
    <row r="9" spans="1:30" x14ac:dyDescent="0.2">
      <c r="A9" t="s">
        <v>186</v>
      </c>
      <c r="C9">
        <v>0</v>
      </c>
      <c r="D9" t="s">
        <v>57</v>
      </c>
      <c r="E9">
        <v>3500</v>
      </c>
      <c r="F9" t="s">
        <v>74</v>
      </c>
      <c r="G9" t="s">
        <v>514</v>
      </c>
      <c r="H9" s="3" t="d">
        <v>21:59:59.9999999999968050</v>
      </c>
      <c r="I9" t="s">
        <v>499</v>
      </c>
      <c r="J9" s="1">
        <v>0.47099999999999997</v>
      </c>
      <c r="K9">
        <v>-89</v>
      </c>
      <c r="L9">
        <v>6</v>
      </c>
      <c r="M9">
        <v>3.14</v>
      </c>
      <c r="N9">
        <v>3</v>
      </c>
      <c r="O9">
        <v>1</v>
      </c>
      <c r="Q9" s="4" t="d">
        <v>21:50:59.99999999999872200</v>
      </c>
      <c r="R9">
        <v>7.1</v>
      </c>
      <c r="S9">
        <v>4.97</v>
      </c>
      <c r="T9">
        <v>18.559999999999999</v>
      </c>
      <c r="U9">
        <v>8.6199999999999992</v>
      </c>
      <c r="V9">
        <v>8.6199999999999992</v>
      </c>
      <c r="W9">
        <v>100</v>
      </c>
      <c r="Y9">
        <v>65</v>
      </c>
      <c r="Z9">
        <v>2.5</v>
      </c>
      <c r="AA9">
        <v>0</v>
      </c>
      <c r="AB9" s="4" t="d">
        <v>17:33:59.99999999999595075</v>
      </c>
      <c r="AC9">
        <v>1.3</v>
      </c>
      <c r="AD9">
        <v>0.4</v>
      </c>
    </row>
    <row r="10" spans="1:30" x14ac:dyDescent="0.2">
      <c r="A10" t="s">
        <v>362</v>
      </c>
      <c r="C10">
        <v>0</v>
      </c>
      <c r="D10" t="s">
        <v>346</v>
      </c>
      <c r="E10">
        <v>7900</v>
      </c>
      <c r="F10" t="s">
        <v>39</v>
      </c>
      <c r="G10" t="s">
        <v>504</v>
      </c>
      <c r="H10" s="3" t="d">
        <v>18:59:59.9999999999968050</v>
      </c>
      <c r="I10" t="s">
        <v>499</v>
      </c>
      <c r="J10" s="1">
        <v>0.41699999999999998</v>
      </c>
      <c r="K10">
        <v>-71.5</v>
      </c>
      <c r="L10">
        <v>6.5</v>
      </c>
      <c r="M10">
        <v>3.25</v>
      </c>
      <c r="N10">
        <v>3.2</v>
      </c>
      <c r="O10" t="s">
        <v>511</v>
      </c>
      <c r="Q10" s="5" t="d">
        <v>PT49H47M0.000S</v>
      </c>
      <c r="R10">
        <v>5.4</v>
      </c>
      <c r="S10">
        <v>6.71</v>
      </c>
      <c r="T10">
        <v>21.59</v>
      </c>
      <c r="U10">
        <v>8.17</v>
      </c>
      <c r="V10">
        <v>8.17</v>
      </c>
      <c r="W10">
        <v>100</v>
      </c>
      <c r="Y10">
        <v>38</v>
      </c>
      <c r="Z10">
        <v>1</v>
      </c>
      <c r="AA10">
        <v>0</v>
      </c>
      <c r="AB10" s="5" t="d">
        <v>PT60H0M0.000S</v>
      </c>
      <c r="AC10">
        <v>8.1</v>
      </c>
      <c r="AD10">
        <v>1</v>
      </c>
    </row>
    <row r="11" spans="1:30" x14ac:dyDescent="0.2">
      <c r="A11" t="s">
        <v>415</v>
      </c>
      <c r="C11">
        <v>0</v>
      </c>
      <c r="D11" t="s">
        <v>346</v>
      </c>
      <c r="E11">
        <v>7900</v>
      </c>
      <c r="F11" t="s">
        <v>39</v>
      </c>
      <c r="G11" t="s">
        <v>504</v>
      </c>
      <c r="H11" s="3" t="d">
        <v>18:59:59.9999999999968050</v>
      </c>
      <c r="I11" t="s">
        <v>499</v>
      </c>
      <c r="J11" s="1">
        <v>0.41699999999999998</v>
      </c>
      <c r="K11">
        <v>-71.5</v>
      </c>
      <c r="L11">
        <v>6.5</v>
      </c>
      <c r="M11">
        <v>3.25</v>
      </c>
      <c r="N11">
        <v>3.2</v>
      </c>
      <c r="O11" t="s">
        <v>528</v>
      </c>
      <c r="Q11" s="5" t="d">
        <v>PT57H53M0.000S</v>
      </c>
      <c r="R11">
        <v>10.8</v>
      </c>
      <c r="S11">
        <v>8.34</v>
      </c>
      <c r="T11">
        <v>0</v>
      </c>
      <c r="U11">
        <v>0</v>
      </c>
      <c r="V11">
        <v>0</v>
      </c>
      <c r="W11">
        <v>100</v>
      </c>
      <c r="Y11">
        <v>61</v>
      </c>
      <c r="Z11">
        <v>0</v>
      </c>
      <c r="AA11">
        <v>0</v>
      </c>
      <c r="AB11" s="4" t="d">
        <v>1899-12-30</v>
      </c>
      <c r="AC11">
        <v>0</v>
      </c>
    </row>
    <row r="12" spans="1:30" x14ac:dyDescent="0.2">
      <c r="A12" t="s">
        <v>453</v>
      </c>
      <c r="C12">
        <v>0</v>
      </c>
      <c r="D12" t="s">
        <v>42</v>
      </c>
      <c r="E12">
        <v>2500</v>
      </c>
      <c r="F12" t="s">
        <v>45</v>
      </c>
      <c r="G12" t="s">
        <v>523</v>
      </c>
      <c r="H12" s="3" t="d">
        <v>20:00:00.0000000000031950</v>
      </c>
      <c r="I12" t="s">
        <v>503</v>
      </c>
      <c r="J12" s="1">
        <v>0.51400000000000001</v>
      </c>
      <c r="K12">
        <v>94.5</v>
      </c>
      <c r="L12">
        <v>5.5</v>
      </c>
      <c r="M12">
        <v>2.75</v>
      </c>
      <c r="N12">
        <v>3.07</v>
      </c>
      <c r="Q12" s="4" t="d">
        <v>11:17:59.99999999999936100</v>
      </c>
      <c r="R12">
        <v>3.8</v>
      </c>
      <c r="S12">
        <v>3.48</v>
      </c>
      <c r="T12">
        <v>0</v>
      </c>
      <c r="U12">
        <v>0</v>
      </c>
      <c r="V12">
        <v>0</v>
      </c>
      <c r="W12">
        <v>100</v>
      </c>
      <c r="Y12">
        <v>54</v>
      </c>
      <c r="Z12">
        <v>0</v>
      </c>
      <c r="AA12">
        <v>0</v>
      </c>
    </row>
    <row r="13" spans="1:30" x14ac:dyDescent="0.2">
      <c r="A13" t="s">
        <v>162</v>
      </c>
      <c r="C13">
        <v>0</v>
      </c>
      <c r="D13" t="s">
        <v>343</v>
      </c>
      <c r="E13">
        <v>3300</v>
      </c>
      <c r="F13" t="s">
        <v>64</v>
      </c>
      <c r="G13" t="s">
        <v>517</v>
      </c>
      <c r="H13" s="3" t="d">
        <v>21:59:59.9999999999968050</v>
      </c>
      <c r="I13" t="s">
        <v>503</v>
      </c>
      <c r="J13" s="1">
        <v>0.52900000000000003</v>
      </c>
      <c r="K13">
        <v>89</v>
      </c>
      <c r="L13">
        <v>6</v>
      </c>
      <c r="M13">
        <v>3</v>
      </c>
      <c r="N13">
        <v>3.14</v>
      </c>
      <c r="O13">
        <v>1</v>
      </c>
      <c r="P13">
        <v>2</v>
      </c>
      <c r="Q13" s="4" t="d">
        <v>15:51:59.99999999999850675</v>
      </c>
      <c r="R13">
        <v>5.2</v>
      </c>
      <c r="S13">
        <v>4.7</v>
      </c>
      <c r="T13">
        <v>15.25</v>
      </c>
      <c r="U13">
        <v>5.85</v>
      </c>
      <c r="V13">
        <v>5.85</v>
      </c>
      <c r="W13">
        <v>100</v>
      </c>
      <c r="Y13">
        <v>55</v>
      </c>
      <c r="Z13">
        <v>1.8</v>
      </c>
      <c r="AA13">
        <v>0</v>
      </c>
      <c r="AB13" s="4" t="d">
        <v>15:16:59.99999999999637450</v>
      </c>
      <c r="AC13">
        <v>2.8</v>
      </c>
      <c r="AD13">
        <v>0.8</v>
      </c>
    </row>
    <row r="14" spans="1:30" x14ac:dyDescent="0.2">
      <c r="A14" t="s">
        <v>356</v>
      </c>
      <c r="C14">
        <v>0</v>
      </c>
      <c r="D14" t="s">
        <v>346</v>
      </c>
      <c r="E14">
        <v>8000</v>
      </c>
      <c r="F14" t="s">
        <v>500</v>
      </c>
      <c r="G14" t="s">
        <v>501</v>
      </c>
      <c r="H14" s="3" t="d">
        <v>21:59:59.9999999999968050</v>
      </c>
      <c r="I14" t="s">
        <v>499</v>
      </c>
      <c r="J14" s="1">
        <v>0.44600000000000001</v>
      </c>
      <c r="K14">
        <v>-80.5</v>
      </c>
      <c r="L14">
        <v>6.5</v>
      </c>
      <c r="M14">
        <v>3.38</v>
      </c>
      <c r="N14">
        <v>3.25</v>
      </c>
      <c r="O14" t="s">
        <v>511</v>
      </c>
      <c r="Q14" s="5" t="d">
        <v>PT57H13M0.000S</v>
      </c>
      <c r="R14">
        <v>10.5</v>
      </c>
      <c r="S14">
        <v>9.77</v>
      </c>
      <c r="T14">
        <v>31.01</v>
      </c>
      <c r="U14">
        <v>11.47</v>
      </c>
      <c r="V14">
        <v>11.47</v>
      </c>
      <c r="W14">
        <v>100</v>
      </c>
      <c r="Y14">
        <v>53</v>
      </c>
      <c r="Z14">
        <v>1.4</v>
      </c>
      <c r="AA14">
        <v>0</v>
      </c>
      <c r="AB14" s="5" t="d">
        <v>PT60H0M0.000S</v>
      </c>
      <c r="AC14">
        <v>22.1</v>
      </c>
      <c r="AD14">
        <v>2.8</v>
      </c>
    </row>
    <row r="15" spans="1:30" x14ac:dyDescent="0.2">
      <c r="A15" t="s">
        <v>72</v>
      </c>
      <c r="C15">
        <v>0</v>
      </c>
      <c r="D15" t="s">
        <v>343</v>
      </c>
      <c r="E15">
        <v>7500</v>
      </c>
      <c r="F15" t="s">
        <v>56</v>
      </c>
      <c r="G15" t="s">
        <v>513</v>
      </c>
      <c r="H15" s="3" t="d">
        <v>21:00:00.000</v>
      </c>
      <c r="I15" t="s">
        <v>499</v>
      </c>
      <c r="J15" s="1">
        <v>0.45900000000000002</v>
      </c>
      <c r="K15">
        <v>-85</v>
      </c>
      <c r="L15">
        <v>6</v>
      </c>
      <c r="M15">
        <v>3</v>
      </c>
      <c r="N15">
        <v>2.8</v>
      </c>
      <c r="O15">
        <v>3</v>
      </c>
      <c r="P15">
        <v>2</v>
      </c>
      <c r="Q15" s="4" t="d">
        <v>18:00:00.000</v>
      </c>
      <c r="R15">
        <v>10</v>
      </c>
      <c r="S15">
        <v>7.42</v>
      </c>
      <c r="T15">
        <v>26.25</v>
      </c>
      <c r="U15">
        <v>11.41</v>
      </c>
      <c r="V15">
        <v>11.41</v>
      </c>
      <c r="W15">
        <v>100</v>
      </c>
      <c r="Y15">
        <v>63</v>
      </c>
      <c r="Z15">
        <v>1.5</v>
      </c>
      <c r="AA15">
        <v>0</v>
      </c>
      <c r="AB15" s="4" t="d">
        <v>17:49:00.000000000002344800</v>
      </c>
      <c r="AC15">
        <v>20.5</v>
      </c>
      <c r="AD15">
        <v>2.7</v>
      </c>
    </row>
    <row r="16" spans="1:30" x14ac:dyDescent="0.2">
      <c r="A16" t="s">
        <v>583</v>
      </c>
      <c r="C16">
        <v>0</v>
      </c>
      <c r="D16" t="s">
        <v>57</v>
      </c>
      <c r="E16">
        <v>2500</v>
      </c>
      <c r="F16" t="s">
        <v>52</v>
      </c>
      <c r="G16" t="s">
        <v>508</v>
      </c>
      <c r="H16" s="3" t="d">
        <v>20:00:00.0000000000031950</v>
      </c>
      <c r="I16" t="s">
        <v>499</v>
      </c>
      <c r="J16" s="1">
        <v>0.48599999999999999</v>
      </c>
      <c r="K16">
        <v>-94.5</v>
      </c>
      <c r="L16">
        <v>5.5</v>
      </c>
      <c r="M16">
        <v>3.07</v>
      </c>
      <c r="N16">
        <v>2.75</v>
      </c>
      <c r="Q16" s="4" t="d">
        <v>15:48:59.99999999999914575</v>
      </c>
      <c r="R16">
        <v>5.2</v>
      </c>
      <c r="S16">
        <v>4.5999999999999996</v>
      </c>
      <c r="T16">
        <v>0</v>
      </c>
      <c r="U16">
        <v>0</v>
      </c>
      <c r="V16">
        <v>0</v>
      </c>
      <c r="W16">
        <v>100</v>
      </c>
      <c r="Y16">
        <v>56</v>
      </c>
      <c r="Z16">
        <v>0</v>
      </c>
      <c r="AA16">
        <v>0</v>
      </c>
    </row>
    <row r="17" spans="1:30" x14ac:dyDescent="0.2">
      <c r="A17" t="s">
        <v>562</v>
      </c>
      <c r="B17" t="s">
        <v>541</v>
      </c>
      <c r="C17">
        <v>0</v>
      </c>
      <c r="D17" t="s">
        <v>57</v>
      </c>
      <c r="E17">
        <v>2700</v>
      </c>
      <c r="F17" t="s">
        <v>39</v>
      </c>
      <c r="G17" t="s">
        <v>504</v>
      </c>
      <c r="H17" s="3" t="d">
        <v>18:59:59.9999999999968050</v>
      </c>
      <c r="I17" t="s">
        <v>499</v>
      </c>
      <c r="J17" s="1">
        <v>0.41699999999999998</v>
      </c>
      <c r="K17">
        <v>-71.5</v>
      </c>
      <c r="L17">
        <v>6.5</v>
      </c>
      <c r="M17">
        <v>3.25</v>
      </c>
      <c r="N17">
        <v>3.2</v>
      </c>
      <c r="T17">
        <v>0</v>
      </c>
      <c r="U17">
        <v>0</v>
      </c>
      <c r="V17">
        <v>0</v>
      </c>
      <c r="W17">
        <v>100</v>
      </c>
      <c r="Y17">
        <v>0</v>
      </c>
      <c r="Z17">
        <v>0</v>
      </c>
      <c r="AA17">
        <v>0</v>
      </c>
    </row>
    <row r="18" spans="1:30" x14ac:dyDescent="0.2">
      <c r="A18" t="s">
        <v>286</v>
      </c>
      <c r="C18">
        <v>0</v>
      </c>
      <c r="D18" t="s">
        <v>57</v>
      </c>
      <c r="E18">
        <v>2900</v>
      </c>
      <c r="F18" t="s">
        <v>148</v>
      </c>
      <c r="G18" t="s">
        <v>512</v>
      </c>
      <c r="H18" s="3" t="d">
        <v>18:59:59.9999999999968050</v>
      </c>
      <c r="I18" t="s">
        <v>503</v>
      </c>
      <c r="J18" s="1">
        <v>0.38600000000000001</v>
      </c>
      <c r="K18">
        <v>159</v>
      </c>
      <c r="L18">
        <v>6</v>
      </c>
      <c r="M18">
        <v>2.2400000000000002</v>
      </c>
      <c r="N18">
        <v>3</v>
      </c>
      <c r="O18">
        <v>1</v>
      </c>
      <c r="Q18" s="4" t="d">
        <v>20:55:00.00000000000106275</v>
      </c>
      <c r="R18">
        <v>5.3</v>
      </c>
      <c r="S18">
        <v>4.25</v>
      </c>
      <c r="T18">
        <v>12.93</v>
      </c>
      <c r="U18">
        <v>4.43</v>
      </c>
      <c r="V18">
        <v>4.43</v>
      </c>
      <c r="W18">
        <v>100</v>
      </c>
      <c r="Y18">
        <v>60</v>
      </c>
      <c r="Z18">
        <v>1.5</v>
      </c>
      <c r="AA18">
        <v>0</v>
      </c>
      <c r="AB18" s="4" t="d">
        <v>23:42:00.00000000000383400</v>
      </c>
      <c r="AC18">
        <v>9.9</v>
      </c>
      <c r="AD18">
        <v>3.4</v>
      </c>
    </row>
    <row r="19" spans="1:30" x14ac:dyDescent="0.2">
      <c r="A19" t="s">
        <v>520</v>
      </c>
      <c r="C19">
        <v>0</v>
      </c>
      <c r="D19" t="s">
        <v>42</v>
      </c>
      <c r="E19">
        <v>4000</v>
      </c>
      <c r="F19" t="s">
        <v>500</v>
      </c>
      <c r="G19" t="s">
        <v>501</v>
      </c>
      <c r="H19" s="3" t="d">
        <v>21:59:59.9999999999968050</v>
      </c>
      <c r="I19" t="s">
        <v>499</v>
      </c>
      <c r="J19" s="1">
        <v>0.44600000000000001</v>
      </c>
      <c r="K19">
        <v>-80.5</v>
      </c>
      <c r="L19">
        <v>6.5</v>
      </c>
      <c r="M19">
        <v>3.38</v>
      </c>
      <c r="N19">
        <v>3.25</v>
      </c>
      <c r="O19">
        <v>2</v>
      </c>
      <c r="P19">
        <v>1</v>
      </c>
      <c r="Q19" s="4" t="d">
        <v>20:36:59.99999999999531175</v>
      </c>
      <c r="R19">
        <v>8.1</v>
      </c>
      <c r="S19">
        <v>7.1</v>
      </c>
      <c r="T19">
        <v>25.18</v>
      </c>
      <c r="U19">
        <v>10.98</v>
      </c>
      <c r="V19">
        <v>10.98</v>
      </c>
      <c r="W19">
        <v>100</v>
      </c>
      <c r="Y19">
        <v>56</v>
      </c>
      <c r="Z19">
        <v>2.7</v>
      </c>
      <c r="AA19">
        <v>0</v>
      </c>
      <c r="AB19" s="5" t="d">
        <v>PT24H28M0.000S</v>
      </c>
      <c r="AC19">
        <v>8.1999999999999993</v>
      </c>
      <c r="AD19">
        <v>2.1</v>
      </c>
    </row>
    <row r="20" spans="1:30" x14ac:dyDescent="0.2">
      <c r="A20" t="s">
        <v>140</v>
      </c>
      <c r="C20">
        <v>0</v>
      </c>
      <c r="D20" t="s">
        <v>343</v>
      </c>
      <c r="E20">
        <v>2500</v>
      </c>
      <c r="F20" t="s">
        <v>39</v>
      </c>
      <c r="G20" t="s">
        <v>504</v>
      </c>
      <c r="H20" s="3" t="d">
        <v>18:59:59.9999999999968050</v>
      </c>
      <c r="I20" t="s">
        <v>499</v>
      </c>
      <c r="J20" s="1">
        <v>0.41699999999999998</v>
      </c>
      <c r="K20">
        <v>-71.5</v>
      </c>
      <c r="L20">
        <v>6.5</v>
      </c>
      <c r="M20">
        <v>3.25</v>
      </c>
      <c r="N20">
        <v>3.2</v>
      </c>
      <c r="O20">
        <v>4</v>
      </c>
      <c r="Q20" s="4" t="d">
        <v>11:55:00.00000000000106275</v>
      </c>
      <c r="R20">
        <v>4.4000000000000004</v>
      </c>
      <c r="S20">
        <v>5.27</v>
      </c>
      <c r="T20">
        <v>15.72</v>
      </c>
      <c r="U20">
        <v>5.18</v>
      </c>
      <c r="V20">
        <v>5.18</v>
      </c>
      <c r="W20">
        <v>100</v>
      </c>
      <c r="Y20">
        <v>40</v>
      </c>
      <c r="Z20">
        <v>2.1</v>
      </c>
      <c r="AA20">
        <v>0</v>
      </c>
      <c r="AB20" s="4" t="d">
        <v>09:45:00.000</v>
      </c>
      <c r="AC20">
        <v>6.5</v>
      </c>
      <c r="AD20">
        <v>2.6</v>
      </c>
    </row>
    <row r="21" spans="1:30" x14ac:dyDescent="0.2">
      <c r="A21" t="s">
        <v>536</v>
      </c>
      <c r="C21">
        <v>0</v>
      </c>
      <c r="D21" t="s">
        <v>346</v>
      </c>
      <c r="E21">
        <v>7100</v>
      </c>
      <c r="F21" t="s">
        <v>35</v>
      </c>
      <c r="G21" t="s">
        <v>516</v>
      </c>
      <c r="H21" s="3" t="d">
        <v>21:00:00.000</v>
      </c>
      <c r="I21" t="s">
        <v>503</v>
      </c>
      <c r="J21" s="1">
        <v>0.377</v>
      </c>
      <c r="K21">
        <v>165</v>
      </c>
      <c r="L21">
        <v>6.5</v>
      </c>
      <c r="M21">
        <v>3.25</v>
      </c>
      <c r="N21">
        <v>4.18</v>
      </c>
      <c r="O21" t="s">
        <v>528</v>
      </c>
      <c r="Q21" s="5" t="d">
        <v>PT30H0M0.000S</v>
      </c>
      <c r="R21">
        <v>0.8</v>
      </c>
      <c r="S21">
        <v>7.56</v>
      </c>
      <c r="T21">
        <v>0</v>
      </c>
      <c r="U21">
        <v>0</v>
      </c>
      <c r="V21">
        <v>0</v>
      </c>
      <c r="W21">
        <v>100</v>
      </c>
      <c r="Y21">
        <v>0</v>
      </c>
      <c r="Z21">
        <v>0</v>
      </c>
      <c r="AA21">
        <v>0</v>
      </c>
      <c r="AB21" s="4" t="d">
        <v>1899-12-30</v>
      </c>
      <c r="AC21">
        <v>0</v>
      </c>
    </row>
    <row r="22" spans="1:30" x14ac:dyDescent="0.2">
      <c r="A22" t="s">
        <v>265</v>
      </c>
      <c r="C22">
        <v>0</v>
      </c>
      <c r="D22" t="s">
        <v>343</v>
      </c>
      <c r="E22">
        <v>2500</v>
      </c>
      <c r="F22" t="s">
        <v>45</v>
      </c>
      <c r="G22" t="s">
        <v>523</v>
      </c>
      <c r="H22" s="3" t="d">
        <v>20:00:00.0000000000031950</v>
      </c>
      <c r="I22" t="s">
        <v>503</v>
      </c>
      <c r="J22" s="1">
        <v>0.51400000000000001</v>
      </c>
      <c r="K22">
        <v>94.5</v>
      </c>
      <c r="L22">
        <v>5.5</v>
      </c>
      <c r="M22">
        <v>2.75</v>
      </c>
      <c r="N22">
        <v>3.07</v>
      </c>
      <c r="O22">
        <v>4</v>
      </c>
      <c r="Q22" s="4" t="d">
        <v>12:17:59.99999999999616600</v>
      </c>
      <c r="R22">
        <v>4.4000000000000004</v>
      </c>
      <c r="S22">
        <v>4.0599999999999996</v>
      </c>
      <c r="T22">
        <v>12.89</v>
      </c>
      <c r="U22">
        <v>4.7699999999999996</v>
      </c>
      <c r="V22">
        <v>4.7699999999999996</v>
      </c>
      <c r="W22">
        <v>100</v>
      </c>
      <c r="Y22">
        <v>54</v>
      </c>
      <c r="Z22">
        <v>1.9</v>
      </c>
      <c r="AA22">
        <v>0</v>
      </c>
      <c r="AB22" s="4" t="d">
        <v>11:55:00.00000000000106275</v>
      </c>
      <c r="AC22">
        <v>1.3</v>
      </c>
      <c r="AD22">
        <v>0.5</v>
      </c>
    </row>
    <row r="23" spans="1:30" x14ac:dyDescent="0.2">
      <c r="A23" t="s">
        <v>357</v>
      </c>
      <c r="C23">
        <v>0</v>
      </c>
      <c r="D23" t="s">
        <v>343</v>
      </c>
      <c r="E23">
        <v>4000</v>
      </c>
      <c r="F23" t="s">
        <v>85</v>
      </c>
      <c r="G23" t="s">
        <v>507</v>
      </c>
      <c r="H23" s="3" t="d">
        <v>21:59:59.9999999999968050</v>
      </c>
      <c r="I23" t="s">
        <v>503</v>
      </c>
      <c r="J23" s="1">
        <v>0.55400000000000005</v>
      </c>
      <c r="K23">
        <v>80.5</v>
      </c>
      <c r="L23">
        <v>6.5</v>
      </c>
      <c r="M23">
        <v>3.25</v>
      </c>
      <c r="N23">
        <v>3.38</v>
      </c>
      <c r="O23">
        <v>1</v>
      </c>
      <c r="P23">
        <v>2</v>
      </c>
      <c r="Q23" s="4" t="d">
        <v>17:11:00.00000000000085425</v>
      </c>
      <c r="R23">
        <v>7.3</v>
      </c>
      <c r="S23">
        <v>6.45</v>
      </c>
      <c r="T23">
        <v>21.47</v>
      </c>
      <c r="U23">
        <v>8.57</v>
      </c>
      <c r="V23">
        <v>8.57</v>
      </c>
      <c r="W23">
        <v>100</v>
      </c>
      <c r="Y23">
        <v>56</v>
      </c>
      <c r="Z23">
        <v>2.1</v>
      </c>
      <c r="AA23">
        <v>0</v>
      </c>
      <c r="AB23" s="4" t="d">
        <v>14:19:59.99999999999893725</v>
      </c>
      <c r="AC23">
        <v>1.5</v>
      </c>
      <c r="AD23">
        <v>0.4</v>
      </c>
    </row>
    <row r="24" spans="1:30" x14ac:dyDescent="0.2">
      <c r="A24" t="s">
        <v>132</v>
      </c>
      <c r="C24">
        <v>0</v>
      </c>
      <c r="D24" t="s">
        <v>343</v>
      </c>
      <c r="E24">
        <v>5100</v>
      </c>
      <c r="F24" t="s">
        <v>56</v>
      </c>
      <c r="G24" t="s">
        <v>513</v>
      </c>
      <c r="H24" s="3" t="d">
        <v>21:00:00.000</v>
      </c>
      <c r="I24" t="s">
        <v>499</v>
      </c>
      <c r="J24" s="1">
        <v>0.45900000000000002</v>
      </c>
      <c r="K24">
        <v>-85</v>
      </c>
      <c r="L24">
        <v>6</v>
      </c>
      <c r="M24">
        <v>3</v>
      </c>
      <c r="N24">
        <v>2.8</v>
      </c>
      <c r="O24">
        <v>2</v>
      </c>
      <c r="Q24" s="4" t="d">
        <v>18:18:59.99999999999595075</v>
      </c>
      <c r="R24">
        <v>8.8000000000000007</v>
      </c>
      <c r="S24">
        <v>7.26</v>
      </c>
      <c r="T24">
        <v>24.86</v>
      </c>
      <c r="U24">
        <v>10.34</v>
      </c>
      <c r="V24">
        <v>10.34</v>
      </c>
      <c r="W24">
        <v>100</v>
      </c>
      <c r="Y24">
        <v>59</v>
      </c>
      <c r="Z24">
        <v>2</v>
      </c>
      <c r="AA24">
        <v>0</v>
      </c>
      <c r="AB24" s="4" t="d">
        <v>19:12:00.00000000000383400</v>
      </c>
      <c r="AC24">
        <v>15.6</v>
      </c>
      <c r="AD24">
        <v>3.1</v>
      </c>
    </row>
    <row r="25" spans="1:30" x14ac:dyDescent="0.2">
      <c r="A25" t="s">
        <v>209</v>
      </c>
      <c r="C25">
        <v>0</v>
      </c>
      <c r="D25" t="s">
        <v>343</v>
      </c>
      <c r="E25">
        <v>3500</v>
      </c>
      <c r="F25" t="s">
        <v>148</v>
      </c>
      <c r="G25" t="s">
        <v>512</v>
      </c>
      <c r="H25" s="3" t="d">
        <v>18:59:59.9999999999968050</v>
      </c>
      <c r="I25" t="s">
        <v>503</v>
      </c>
      <c r="J25" s="1">
        <v>0.38600000000000001</v>
      </c>
      <c r="K25">
        <v>159</v>
      </c>
      <c r="L25">
        <v>6</v>
      </c>
      <c r="M25">
        <v>2.2400000000000002</v>
      </c>
      <c r="N25">
        <v>3</v>
      </c>
      <c r="O25">
        <v>2</v>
      </c>
      <c r="P25">
        <v>1</v>
      </c>
      <c r="Q25" s="4" t="d">
        <v>17:29:59.9999999999968050</v>
      </c>
      <c r="R25">
        <v>7.1</v>
      </c>
      <c r="S25">
        <v>6.41</v>
      </c>
      <c r="T25">
        <v>18.36</v>
      </c>
      <c r="U25">
        <v>5.54</v>
      </c>
      <c r="V25">
        <v>5.54</v>
      </c>
      <c r="W25">
        <v>100</v>
      </c>
      <c r="Y25">
        <v>55</v>
      </c>
      <c r="Z25">
        <v>1.6</v>
      </c>
      <c r="AA25">
        <v>0</v>
      </c>
      <c r="AB25" s="4" t="d">
        <v>21:26:00.00000000000404925</v>
      </c>
      <c r="AC25">
        <v>5.8</v>
      </c>
      <c r="AD25">
        <v>1.7</v>
      </c>
    </row>
    <row r="26" spans="1:30" x14ac:dyDescent="0.2">
      <c r="A26" t="s">
        <v>348</v>
      </c>
      <c r="C26">
        <v>0</v>
      </c>
      <c r="D26" t="s">
        <v>346</v>
      </c>
      <c r="E26">
        <v>8400</v>
      </c>
      <c r="F26" t="s">
        <v>505</v>
      </c>
      <c r="G26" t="s">
        <v>506</v>
      </c>
      <c r="H26" s="3" t="d">
        <v>18:59:59.9999999999968050</v>
      </c>
      <c r="I26" t="s">
        <v>499</v>
      </c>
      <c r="J26" s="1">
        <v>0.61399999999999999</v>
      </c>
      <c r="K26">
        <v>-159</v>
      </c>
      <c r="L26">
        <v>6</v>
      </c>
      <c r="M26">
        <v>3</v>
      </c>
      <c r="N26">
        <v>2.2400000000000002</v>
      </c>
      <c r="O26" t="s">
        <v>511</v>
      </c>
      <c r="Q26" s="5" t="d">
        <v>PT58H56M0.000S</v>
      </c>
      <c r="R26">
        <v>12.5</v>
      </c>
      <c r="S26">
        <v>8.48</v>
      </c>
      <c r="T26">
        <v>28.91</v>
      </c>
      <c r="U26">
        <v>11.95</v>
      </c>
      <c r="V26">
        <v>11.95</v>
      </c>
      <c r="W26">
        <v>100</v>
      </c>
      <c r="Y26">
        <v>66</v>
      </c>
      <c r="Z26">
        <v>1.4</v>
      </c>
      <c r="AA26">
        <v>0</v>
      </c>
      <c r="AB26" s="5" t="d">
        <v>PT65H0M0.000S</v>
      </c>
      <c r="AC26">
        <v>14.4</v>
      </c>
      <c r="AD26">
        <v>1.7</v>
      </c>
    </row>
    <row r="27" spans="1:30" x14ac:dyDescent="0.2">
      <c r="A27" t="s">
        <v>452</v>
      </c>
      <c r="C27">
        <v>0</v>
      </c>
      <c r="D27" t="s">
        <v>343</v>
      </c>
      <c r="E27">
        <v>2500</v>
      </c>
      <c r="F27" t="s">
        <v>509</v>
      </c>
      <c r="G27" t="s">
        <v>510</v>
      </c>
      <c r="H27" s="3" t="d">
        <v>21:59:59.9999999999968050</v>
      </c>
      <c r="I27" t="s">
        <v>499</v>
      </c>
      <c r="J27" s="1">
        <v>0.47199999999999998</v>
      </c>
      <c r="K27">
        <v>-89.5</v>
      </c>
      <c r="L27">
        <v>6</v>
      </c>
      <c r="M27">
        <v>3</v>
      </c>
      <c r="N27">
        <v>2.77</v>
      </c>
      <c r="Q27" s="4" t="d">
        <v>08:35:00.00000000000053475</v>
      </c>
      <c r="R27">
        <v>3</v>
      </c>
      <c r="S27">
        <v>3.94</v>
      </c>
      <c r="T27">
        <v>0</v>
      </c>
      <c r="U27">
        <v>0</v>
      </c>
      <c r="V27">
        <v>0</v>
      </c>
      <c r="W27">
        <v>100</v>
      </c>
      <c r="Y27">
        <v>34</v>
      </c>
      <c r="Z27">
        <v>0</v>
      </c>
      <c r="AA27">
        <v>0</v>
      </c>
    </row>
    <row r="28" spans="1:30" x14ac:dyDescent="0.2">
      <c r="A28" t="s">
        <v>234</v>
      </c>
      <c r="C28">
        <v>0</v>
      </c>
      <c r="D28" t="s">
        <v>343</v>
      </c>
      <c r="E28">
        <v>3600</v>
      </c>
      <c r="F28" t="s">
        <v>56</v>
      </c>
      <c r="G28" t="s">
        <v>513</v>
      </c>
      <c r="H28" s="3" t="d">
        <v>21:00:00.000</v>
      </c>
      <c r="I28" t="s">
        <v>499</v>
      </c>
      <c r="J28" s="1">
        <v>0.45900000000000002</v>
      </c>
      <c r="K28">
        <v>-85</v>
      </c>
      <c r="L28">
        <v>6</v>
      </c>
      <c r="M28">
        <v>3</v>
      </c>
      <c r="N28">
        <v>2.8</v>
      </c>
      <c r="O28">
        <v>4</v>
      </c>
      <c r="Q28" s="4" t="d">
        <v>15:47:59.99999999999936100</v>
      </c>
      <c r="R28">
        <v>6</v>
      </c>
      <c r="S28">
        <v>4.54</v>
      </c>
      <c r="T28">
        <v>16.239999999999998</v>
      </c>
      <c r="U28">
        <v>7.16</v>
      </c>
      <c r="V28">
        <v>7.16</v>
      </c>
      <c r="W28">
        <v>100</v>
      </c>
      <c r="Y28">
        <v>62</v>
      </c>
      <c r="Z28">
        <v>2</v>
      </c>
      <c r="AA28">
        <v>0</v>
      </c>
      <c r="AB28" s="4" t="d">
        <v>13:47:59.99999999999616600</v>
      </c>
      <c r="AC28">
        <v>3</v>
      </c>
      <c r="AD28">
        <v>0.8</v>
      </c>
    </row>
    <row r="29" spans="1:30" x14ac:dyDescent="0.2">
      <c r="A29" t="s">
        <v>108</v>
      </c>
      <c r="C29">
        <v>0</v>
      </c>
      <c r="D29" t="s">
        <v>42</v>
      </c>
      <c r="E29">
        <v>5400</v>
      </c>
      <c r="F29" t="s">
        <v>505</v>
      </c>
      <c r="G29" t="s">
        <v>506</v>
      </c>
      <c r="H29" s="3" t="d">
        <v>18:59:59.9999999999968050</v>
      </c>
      <c r="I29" t="s">
        <v>499</v>
      </c>
      <c r="J29" s="1">
        <v>0.61399999999999999</v>
      </c>
      <c r="K29">
        <v>-159</v>
      </c>
      <c r="L29">
        <v>6</v>
      </c>
      <c r="M29">
        <v>3</v>
      </c>
      <c r="N29">
        <v>2.2400000000000002</v>
      </c>
      <c r="O29">
        <v>1</v>
      </c>
      <c r="P29">
        <v>2</v>
      </c>
      <c r="Q29" s="4" t="d">
        <v>17:32:59.99999999999616600</v>
      </c>
      <c r="R29">
        <v>8.1999999999999993</v>
      </c>
      <c r="S29">
        <v>6.45</v>
      </c>
      <c r="T29">
        <v>21.42</v>
      </c>
      <c r="U29">
        <v>8.52</v>
      </c>
      <c r="V29">
        <v>8.52</v>
      </c>
      <c r="W29">
        <v>100</v>
      </c>
      <c r="Y29">
        <v>61</v>
      </c>
      <c r="Z29">
        <v>1.6</v>
      </c>
      <c r="AA29">
        <v>0</v>
      </c>
      <c r="AB29" s="4" t="d">
        <v>19:21:00.00000000000191700</v>
      </c>
      <c r="AC29">
        <v>9.3000000000000007</v>
      </c>
      <c r="AD29">
        <v>1.7</v>
      </c>
    </row>
    <row r="30" spans="1:30" x14ac:dyDescent="0.2">
      <c r="A30" t="s">
        <v>349</v>
      </c>
      <c r="C30">
        <v>0</v>
      </c>
      <c r="D30" t="s">
        <v>346</v>
      </c>
      <c r="E30">
        <v>7300</v>
      </c>
      <c r="F30" t="s">
        <v>61</v>
      </c>
      <c r="G30" t="s">
        <v>502</v>
      </c>
      <c r="H30" s="3" t="d">
        <v>18:59:59.9999999999968050</v>
      </c>
      <c r="I30" t="s">
        <v>503</v>
      </c>
      <c r="J30" s="1">
        <v>0.58299999999999996</v>
      </c>
      <c r="K30">
        <v>71.5</v>
      </c>
      <c r="L30">
        <v>6.5</v>
      </c>
      <c r="M30">
        <v>3.2</v>
      </c>
      <c r="N30">
        <v>3.25</v>
      </c>
      <c r="O30" t="s">
        <v>511</v>
      </c>
      <c r="Q30" s="5" t="d">
        <v>PT54H3M0.000S</v>
      </c>
      <c r="R30">
        <v>9.1999999999999993</v>
      </c>
      <c r="S30">
        <v>9.36</v>
      </c>
      <c r="T30">
        <v>30.56</v>
      </c>
      <c r="U30">
        <v>11.84</v>
      </c>
      <c r="V30">
        <v>11.84</v>
      </c>
      <c r="W30">
        <v>100</v>
      </c>
      <c r="Y30">
        <v>49</v>
      </c>
      <c r="Z30">
        <v>1.6</v>
      </c>
      <c r="AA30">
        <v>0</v>
      </c>
      <c r="AB30" s="5" t="d">
        <v>PT58H20M0.000S</v>
      </c>
      <c r="AC30">
        <v>0</v>
      </c>
    </row>
    <row r="31" spans="1:30" x14ac:dyDescent="0.2">
      <c r="A31" t="s">
        <v>95</v>
      </c>
      <c r="C31">
        <v>0</v>
      </c>
      <c r="D31" t="s">
        <v>343</v>
      </c>
      <c r="E31">
        <v>2500</v>
      </c>
      <c r="F31" t="s">
        <v>85</v>
      </c>
      <c r="G31" t="s">
        <v>507</v>
      </c>
      <c r="H31" s="3" t="d">
        <v>21:59:59.9999999999968050</v>
      </c>
      <c r="I31" t="s">
        <v>503</v>
      </c>
      <c r="J31" s="1">
        <v>0.55400000000000005</v>
      </c>
      <c r="K31">
        <v>80.5</v>
      </c>
      <c r="L31">
        <v>6.5</v>
      </c>
      <c r="M31">
        <v>3.25</v>
      </c>
      <c r="N31">
        <v>3.38</v>
      </c>
      <c r="O31">
        <v>4</v>
      </c>
      <c r="Q31" s="4" t="d">
        <v>07:47:00.00000000000117375</v>
      </c>
      <c r="R31">
        <v>0.8</v>
      </c>
      <c r="S31">
        <v>0.75</v>
      </c>
      <c r="T31">
        <v>5.98</v>
      </c>
      <c r="U31">
        <v>4.4800000000000004</v>
      </c>
      <c r="V31">
        <v>4.4800000000000004</v>
      </c>
      <c r="W31">
        <v>100</v>
      </c>
      <c r="Y31">
        <v>0</v>
      </c>
      <c r="Z31">
        <v>1.8</v>
      </c>
      <c r="AA31">
        <v>0</v>
      </c>
      <c r="AB31" s="4" t="d">
        <v>06:14:00.00000000000181275</v>
      </c>
      <c r="AC31">
        <v>9.5</v>
      </c>
      <c r="AD31">
        <v>3.8</v>
      </c>
    </row>
    <row r="32" spans="1:30" x14ac:dyDescent="0.2">
      <c r="A32" t="s">
        <v>134</v>
      </c>
      <c r="C32">
        <v>0</v>
      </c>
      <c r="D32" t="s">
        <v>343</v>
      </c>
      <c r="E32">
        <v>3300</v>
      </c>
      <c r="F32" t="s">
        <v>509</v>
      </c>
      <c r="G32" t="s">
        <v>510</v>
      </c>
      <c r="H32" s="3" t="d">
        <v>21:59:59.9999999999968050</v>
      </c>
      <c r="I32" t="s">
        <v>499</v>
      </c>
      <c r="J32" s="1">
        <v>0.47199999999999998</v>
      </c>
      <c r="K32">
        <v>-89.5</v>
      </c>
      <c r="L32">
        <v>6</v>
      </c>
      <c r="M32">
        <v>3</v>
      </c>
      <c r="N32">
        <v>2.77</v>
      </c>
      <c r="O32">
        <v>3</v>
      </c>
      <c r="Q32" s="4" t="d">
        <v>14:57:00.00000000000063900</v>
      </c>
      <c r="R32">
        <v>6.8</v>
      </c>
      <c r="S32">
        <v>6.14</v>
      </c>
      <c r="T32">
        <v>20.09</v>
      </c>
      <c r="U32">
        <v>7.81</v>
      </c>
      <c r="V32">
        <v>7.81</v>
      </c>
      <c r="W32">
        <v>100</v>
      </c>
      <c r="Y32">
        <v>55</v>
      </c>
      <c r="Z32">
        <v>2.4</v>
      </c>
      <c r="AA32">
        <v>0</v>
      </c>
      <c r="AB32" s="4" t="d">
        <v>13:14:00.00000000000341025</v>
      </c>
      <c r="AC32">
        <v>5</v>
      </c>
      <c r="AD32">
        <v>1.5</v>
      </c>
    </row>
    <row r="33" spans="1:30" x14ac:dyDescent="0.2">
      <c r="A33" t="s">
        <v>451</v>
      </c>
      <c r="C33">
        <v>0</v>
      </c>
      <c r="D33" t="s">
        <v>343</v>
      </c>
      <c r="E33">
        <v>2500</v>
      </c>
      <c r="F33" t="s">
        <v>59</v>
      </c>
      <c r="G33" t="s">
        <v>521</v>
      </c>
      <c r="H33" s="3" t="d">
        <v>21:59:59.9999999999968050</v>
      </c>
      <c r="I33" t="s">
        <v>503</v>
      </c>
      <c r="J33" s="1">
        <v>0.52800000000000002</v>
      </c>
      <c r="K33">
        <v>89.5</v>
      </c>
      <c r="L33">
        <v>6</v>
      </c>
      <c r="M33">
        <v>2.77</v>
      </c>
      <c r="N33">
        <v>3</v>
      </c>
      <c r="Q33" s="4" t="d">
        <v>09:23:59.99999999999968050</v>
      </c>
      <c r="R33">
        <v>2.4</v>
      </c>
      <c r="S33">
        <v>3.25</v>
      </c>
      <c r="T33">
        <v>0</v>
      </c>
      <c r="U33">
        <v>0</v>
      </c>
      <c r="V33">
        <v>0</v>
      </c>
      <c r="W33">
        <v>100</v>
      </c>
      <c r="Y33">
        <v>32</v>
      </c>
      <c r="Z33">
        <v>0</v>
      </c>
      <c r="AA33">
        <v>0</v>
      </c>
    </row>
    <row r="34" spans="1:30" x14ac:dyDescent="0.2">
      <c r="A34" t="s">
        <v>240</v>
      </c>
      <c r="C34">
        <v>0</v>
      </c>
      <c r="D34" t="s">
        <v>343</v>
      </c>
      <c r="E34">
        <v>8300</v>
      </c>
      <c r="F34" t="s">
        <v>85</v>
      </c>
      <c r="G34" t="s">
        <v>507</v>
      </c>
      <c r="H34" s="3" t="d">
        <v>21:59:59.9999999999968050</v>
      </c>
      <c r="I34" t="s">
        <v>503</v>
      </c>
      <c r="J34" s="1">
        <v>0.55400000000000005</v>
      </c>
      <c r="K34">
        <v>80.5</v>
      </c>
      <c r="L34">
        <v>6.5</v>
      </c>
      <c r="M34">
        <v>3.25</v>
      </c>
      <c r="N34">
        <v>3.38</v>
      </c>
      <c r="O34">
        <v>1</v>
      </c>
      <c r="P34">
        <v>1</v>
      </c>
      <c r="Q34" s="4" t="d">
        <v>20:47:00.00000000000277125</v>
      </c>
      <c r="R34">
        <v>12.9</v>
      </c>
      <c r="S34">
        <v>9.68</v>
      </c>
      <c r="T34">
        <v>36.47</v>
      </c>
      <c r="U34">
        <v>17.11</v>
      </c>
      <c r="V34">
        <v>17.11</v>
      </c>
      <c r="W34">
        <v>100</v>
      </c>
      <c r="Y34">
        <v>62</v>
      </c>
      <c r="Z34">
        <v>2.1</v>
      </c>
      <c r="AA34">
        <v>0</v>
      </c>
      <c r="AB34" s="4" t="d">
        <v>21:09:59.99999999999786775</v>
      </c>
      <c r="AC34">
        <v>4.5</v>
      </c>
      <c r="AD34">
        <v>0.5</v>
      </c>
    </row>
    <row r="35" spans="1:30" x14ac:dyDescent="0.2">
      <c r="A35" t="s">
        <v>212</v>
      </c>
      <c r="C35">
        <v>0</v>
      </c>
      <c r="D35" t="s">
        <v>343</v>
      </c>
      <c r="E35">
        <v>5700</v>
      </c>
      <c r="F35" t="s">
        <v>48</v>
      </c>
      <c r="G35" t="s">
        <v>498</v>
      </c>
      <c r="H35" s="3" t="d">
        <v>21:00:00.000</v>
      </c>
      <c r="I35" t="s">
        <v>499</v>
      </c>
      <c r="J35" s="1">
        <v>0.623</v>
      </c>
      <c r="K35">
        <v>-165</v>
      </c>
      <c r="L35">
        <v>6.5</v>
      </c>
      <c r="M35">
        <v>4.18</v>
      </c>
      <c r="N35">
        <v>3.25</v>
      </c>
      <c r="O35">
        <v>2</v>
      </c>
      <c r="P35">
        <v>2</v>
      </c>
      <c r="Q35" s="4" t="d">
        <v>19:23:00.00000000000149325</v>
      </c>
      <c r="R35">
        <v>9.3000000000000007</v>
      </c>
      <c r="S35">
        <v>6.26</v>
      </c>
      <c r="T35">
        <v>24.87</v>
      </c>
      <c r="U35">
        <v>12.35</v>
      </c>
      <c r="V35">
        <v>12.35</v>
      </c>
      <c r="W35">
        <v>100</v>
      </c>
      <c r="Y35">
        <v>66</v>
      </c>
      <c r="Z35">
        <v>2.2000000000000002</v>
      </c>
      <c r="AA35">
        <v>0</v>
      </c>
      <c r="AB35" s="4" t="d">
        <v>15:16:59.99999999999637450</v>
      </c>
      <c r="AC35">
        <v>0</v>
      </c>
    </row>
    <row r="36" spans="1:30" x14ac:dyDescent="0.2">
      <c r="A36" t="s">
        <v>334</v>
      </c>
      <c r="C36">
        <v>0</v>
      </c>
      <c r="D36" t="s">
        <v>57</v>
      </c>
      <c r="E36">
        <v>3800</v>
      </c>
      <c r="F36" t="s">
        <v>148</v>
      </c>
      <c r="G36" t="s">
        <v>512</v>
      </c>
      <c r="H36" s="3" t="d">
        <v>18:59:59.9999999999968050</v>
      </c>
      <c r="I36" t="s">
        <v>503</v>
      </c>
      <c r="J36" s="1">
        <v>0.38600000000000001</v>
      </c>
      <c r="K36">
        <v>159</v>
      </c>
      <c r="L36">
        <v>6</v>
      </c>
      <c r="M36">
        <v>2.2400000000000002</v>
      </c>
      <c r="N36">
        <v>3</v>
      </c>
      <c r="O36">
        <v>2</v>
      </c>
      <c r="P36">
        <v>1</v>
      </c>
      <c r="Q36" s="4" t="d">
        <v>19:00:59.99999999999658975</v>
      </c>
      <c r="R36">
        <v>5.7</v>
      </c>
      <c r="S36">
        <v>4.3899999999999997</v>
      </c>
      <c r="T36">
        <v>13.66</v>
      </c>
      <c r="U36">
        <v>4.88</v>
      </c>
      <c r="V36">
        <v>4.88</v>
      </c>
      <c r="W36">
        <v>100</v>
      </c>
      <c r="Y36">
        <v>61</v>
      </c>
      <c r="Z36">
        <v>1.3</v>
      </c>
      <c r="AA36">
        <v>0</v>
      </c>
      <c r="AB36" s="4" t="d">
        <v>21:58:59.99999999999701350</v>
      </c>
      <c r="AC36">
        <v>0</v>
      </c>
    </row>
    <row r="37" spans="1:30" x14ac:dyDescent="0.2">
      <c r="A37" t="s">
        <v>360</v>
      </c>
      <c r="C37">
        <v>0</v>
      </c>
      <c r="D37" t="s">
        <v>346</v>
      </c>
      <c r="E37">
        <v>7000</v>
      </c>
      <c r="F37" t="s">
        <v>148</v>
      </c>
      <c r="G37" t="s">
        <v>512</v>
      </c>
      <c r="H37" s="3" t="d">
        <v>18:59:59.9999999999968050</v>
      </c>
      <c r="I37" t="s">
        <v>503</v>
      </c>
      <c r="J37" s="1">
        <v>0.38600000000000001</v>
      </c>
      <c r="K37">
        <v>159</v>
      </c>
      <c r="L37">
        <v>6</v>
      </c>
      <c r="M37">
        <v>2.2400000000000002</v>
      </c>
      <c r="N37">
        <v>3</v>
      </c>
      <c r="O37" t="s">
        <v>511</v>
      </c>
      <c r="Q37" s="5" t="d">
        <v>PT57H38M0.000S</v>
      </c>
      <c r="R37">
        <v>6.5</v>
      </c>
      <c r="S37">
        <v>10.7</v>
      </c>
      <c r="T37">
        <v>28.75</v>
      </c>
      <c r="U37">
        <v>7.35</v>
      </c>
      <c r="V37">
        <v>7.35</v>
      </c>
      <c r="W37">
        <v>100</v>
      </c>
      <c r="Y37">
        <v>18</v>
      </c>
      <c r="Z37">
        <v>1.1000000000000001</v>
      </c>
      <c r="AA37">
        <v>0</v>
      </c>
      <c r="AB37" s="5" t="d">
        <v>PT65H0M0.000S</v>
      </c>
      <c r="AC37">
        <v>19.5</v>
      </c>
      <c r="AD37">
        <v>2.8</v>
      </c>
    </row>
    <row r="38" spans="1:30" x14ac:dyDescent="0.2">
      <c r="A38" t="s">
        <v>249</v>
      </c>
      <c r="C38">
        <v>0</v>
      </c>
      <c r="D38" t="s">
        <v>42</v>
      </c>
      <c r="E38">
        <v>9700</v>
      </c>
      <c r="F38" t="s">
        <v>61</v>
      </c>
      <c r="G38" t="s">
        <v>502</v>
      </c>
      <c r="H38" s="3" t="d">
        <v>18:59:59.9999999999968050</v>
      </c>
      <c r="I38" t="s">
        <v>503</v>
      </c>
      <c r="J38" s="1">
        <v>0.58299999999999996</v>
      </c>
      <c r="K38">
        <v>71.5</v>
      </c>
      <c r="L38">
        <v>6.5</v>
      </c>
      <c r="M38">
        <v>3.2</v>
      </c>
      <c r="N38">
        <v>3.25</v>
      </c>
      <c r="O38">
        <v>1</v>
      </c>
      <c r="P38">
        <v>1</v>
      </c>
      <c r="Q38" s="4" t="d">
        <v>20:47:00.00000000000277125</v>
      </c>
      <c r="R38">
        <v>15.9</v>
      </c>
      <c r="S38">
        <v>9.99</v>
      </c>
      <c r="T38">
        <v>38.96</v>
      </c>
      <c r="U38">
        <v>18.98</v>
      </c>
      <c r="V38">
        <v>18.98</v>
      </c>
      <c r="W38">
        <v>100</v>
      </c>
      <c r="Y38">
        <v>69</v>
      </c>
      <c r="Z38">
        <v>2</v>
      </c>
      <c r="AA38">
        <v>0</v>
      </c>
      <c r="AB38" s="4" t="d">
        <v>23:29:59.9999999999968050</v>
      </c>
      <c r="AC38">
        <v>4.5</v>
      </c>
      <c r="AD38">
        <v>0.5</v>
      </c>
    </row>
    <row r="39" spans="1:30" x14ac:dyDescent="0.2">
      <c r="A39" t="s">
        <v>192</v>
      </c>
      <c r="C39">
        <v>0</v>
      </c>
      <c r="D39" t="s">
        <v>343</v>
      </c>
      <c r="E39">
        <v>2500</v>
      </c>
      <c r="F39" t="s">
        <v>500</v>
      </c>
      <c r="G39" t="s">
        <v>501</v>
      </c>
      <c r="H39" s="3" t="d">
        <v>21:59:59.9999999999968050</v>
      </c>
      <c r="I39" t="s">
        <v>499</v>
      </c>
      <c r="J39" s="1">
        <v>0.44600000000000001</v>
      </c>
      <c r="K39">
        <v>-80.5</v>
      </c>
      <c r="L39">
        <v>6.5</v>
      </c>
      <c r="M39">
        <v>3.38</v>
      </c>
      <c r="N39">
        <v>3.25</v>
      </c>
      <c r="O39">
        <v>4</v>
      </c>
      <c r="Q39" s="4" t="d">
        <v>11:37:00.00000000000010425</v>
      </c>
      <c r="R39">
        <v>3.8</v>
      </c>
      <c r="S39">
        <v>5.28</v>
      </c>
      <c r="T39">
        <v>16.37</v>
      </c>
      <c r="U39">
        <v>5.81</v>
      </c>
      <c r="V39">
        <v>5.81</v>
      </c>
      <c r="W39">
        <v>100</v>
      </c>
      <c r="Y39">
        <v>31</v>
      </c>
      <c r="Z39">
        <v>2.2999999999999998</v>
      </c>
      <c r="AA39">
        <v>0</v>
      </c>
      <c r="AB39" s="4" t="d">
        <v>07:30:59.999999999999786775</v>
      </c>
      <c r="AC39">
        <v>2.6</v>
      </c>
      <c r="AD39">
        <v>1</v>
      </c>
    </row>
    <row r="40" spans="1:30" x14ac:dyDescent="0.2">
      <c r="A40" t="s">
        <v>333</v>
      </c>
      <c r="C40">
        <v>0</v>
      </c>
      <c r="D40" t="s">
        <v>343</v>
      </c>
      <c r="E40">
        <v>5200</v>
      </c>
      <c r="F40" t="s">
        <v>64</v>
      </c>
      <c r="G40" t="s">
        <v>517</v>
      </c>
      <c r="H40" s="3" t="d">
        <v>21:59:59.9999999999968050</v>
      </c>
      <c r="I40" t="s">
        <v>503</v>
      </c>
      <c r="J40" s="1">
        <v>0.52900000000000003</v>
      </c>
      <c r="K40">
        <v>89</v>
      </c>
      <c r="L40">
        <v>6</v>
      </c>
      <c r="M40">
        <v>3</v>
      </c>
      <c r="N40">
        <v>3.14</v>
      </c>
      <c r="O40">
        <v>1</v>
      </c>
      <c r="P40">
        <v>1</v>
      </c>
      <c r="Q40" s="4" t="d">
        <v>17:02:00.00000000000277125</v>
      </c>
      <c r="R40">
        <v>8.9</v>
      </c>
      <c r="S40">
        <v>7.23</v>
      </c>
      <c r="T40">
        <v>25.3</v>
      </c>
      <c r="U40">
        <v>10.84</v>
      </c>
      <c r="V40">
        <v>10.84</v>
      </c>
      <c r="W40">
        <v>100</v>
      </c>
      <c r="Y40">
        <v>59</v>
      </c>
      <c r="Z40">
        <v>2.1</v>
      </c>
      <c r="AA40">
        <v>0</v>
      </c>
      <c r="AB40" s="4" t="d">
        <v>13:54:00.00000000000447975</v>
      </c>
      <c r="AC40">
        <v>1.5</v>
      </c>
      <c r="AD40">
        <v>0.3</v>
      </c>
    </row>
    <row r="41" spans="1:30" x14ac:dyDescent="0.2">
      <c r="A41" t="s">
        <v>203</v>
      </c>
      <c r="C41">
        <v>0</v>
      </c>
      <c r="D41" t="s">
        <v>57</v>
      </c>
      <c r="E41">
        <v>2700</v>
      </c>
      <c r="F41" t="s">
        <v>39</v>
      </c>
      <c r="G41" t="s">
        <v>504</v>
      </c>
      <c r="H41" s="3" t="d">
        <v>18:59:59.9999999999968050</v>
      </c>
      <c r="I41" t="s">
        <v>499</v>
      </c>
      <c r="J41" s="1">
        <v>0.41699999999999998</v>
      </c>
      <c r="K41">
        <v>-71.5</v>
      </c>
      <c r="L41">
        <v>6.5</v>
      </c>
      <c r="M41">
        <v>3.25</v>
      </c>
      <c r="N41">
        <v>3.2</v>
      </c>
      <c r="O41">
        <v>3</v>
      </c>
      <c r="Q41" s="4" t="d">
        <v>14:50:00.00000000000213225</v>
      </c>
      <c r="R41">
        <v>5.6</v>
      </c>
      <c r="S41">
        <v>4.8</v>
      </c>
      <c r="T41">
        <v>16.32</v>
      </c>
      <c r="U41">
        <v>6.72</v>
      </c>
      <c r="V41">
        <v>6.72</v>
      </c>
      <c r="W41">
        <v>100</v>
      </c>
      <c r="Y41">
        <v>57</v>
      </c>
      <c r="Z41">
        <v>2.5</v>
      </c>
      <c r="AA41">
        <v>0</v>
      </c>
      <c r="AB41" s="4" t="d">
        <v>14:26:59.999999999997441975</v>
      </c>
      <c r="AC41">
        <v>0</v>
      </c>
    </row>
    <row r="42" spans="1:30" x14ac:dyDescent="0.2">
      <c r="A42" t="s">
        <v>632</v>
      </c>
      <c r="C42">
        <v>0</v>
      </c>
      <c r="D42" t="s">
        <v>42</v>
      </c>
      <c r="E42">
        <v>2500</v>
      </c>
      <c r="F42" t="s">
        <v>74</v>
      </c>
      <c r="G42" t="s">
        <v>514</v>
      </c>
      <c r="H42" s="3" t="d">
        <v>21:59:59.9999999999968050</v>
      </c>
      <c r="I42" t="s">
        <v>499</v>
      </c>
      <c r="J42" s="1">
        <v>0.47099999999999997</v>
      </c>
      <c r="K42">
        <v>-89</v>
      </c>
      <c r="L42">
        <v>6</v>
      </c>
      <c r="M42">
        <v>3.14</v>
      </c>
      <c r="N42">
        <v>3</v>
      </c>
      <c r="Q42" s="4" t="d">
        <v>11:37:59.999999999999893725</v>
      </c>
      <c r="R42">
        <v>4.7</v>
      </c>
      <c r="S42">
        <v>5.53</v>
      </c>
      <c r="T42">
        <v>0</v>
      </c>
      <c r="U42">
        <v>0</v>
      </c>
      <c r="V42">
        <v>0</v>
      </c>
      <c r="W42">
        <v>100</v>
      </c>
      <c r="Y42">
        <v>41</v>
      </c>
      <c r="Z42">
        <v>0</v>
      </c>
      <c r="AA42">
        <v>0</v>
      </c>
    </row>
    <row r="43" spans="1:30" x14ac:dyDescent="0.2">
      <c r="A43" t="s">
        <v>335</v>
      </c>
      <c r="C43">
        <v>0</v>
      </c>
      <c r="D43" t="s">
        <v>343</v>
      </c>
      <c r="E43">
        <v>2900</v>
      </c>
      <c r="F43" t="s">
        <v>74</v>
      </c>
      <c r="G43" t="s">
        <v>514</v>
      </c>
      <c r="H43" s="3" t="d">
        <v>21:59:59.9999999999968050</v>
      </c>
      <c r="I43" t="s">
        <v>499</v>
      </c>
      <c r="J43" s="1">
        <v>0.47099999999999997</v>
      </c>
      <c r="K43">
        <v>-89</v>
      </c>
      <c r="L43">
        <v>6</v>
      </c>
      <c r="M43">
        <v>3.14</v>
      </c>
      <c r="N43">
        <v>3</v>
      </c>
      <c r="O43">
        <v>3</v>
      </c>
      <c r="Q43" s="4" t="d">
        <v>12:48:59.99999999999914575</v>
      </c>
      <c r="R43">
        <v>4.0999999999999996</v>
      </c>
      <c r="S43">
        <v>4.2300000000000004</v>
      </c>
      <c r="T43">
        <v>13.26</v>
      </c>
      <c r="U43">
        <v>4.8</v>
      </c>
      <c r="V43">
        <v>4.8</v>
      </c>
      <c r="W43">
        <v>100</v>
      </c>
      <c r="Y43">
        <v>48</v>
      </c>
      <c r="Z43">
        <v>1.7</v>
      </c>
      <c r="AA43">
        <v>0</v>
      </c>
      <c r="AB43" s="4" t="d">
        <v>13:36:59.99999999999850675</v>
      </c>
      <c r="AC43">
        <v>1.5</v>
      </c>
      <c r="AD43">
        <v>0.5</v>
      </c>
    </row>
    <row r="44" spans="1:30" x14ac:dyDescent="0.2">
      <c r="A44" t="s">
        <v>552</v>
      </c>
      <c r="C44">
        <v>0</v>
      </c>
      <c r="D44" t="s">
        <v>343</v>
      </c>
      <c r="E44">
        <v>3900</v>
      </c>
      <c r="F44" t="s">
        <v>117</v>
      </c>
      <c r="G44" t="s">
        <v>518</v>
      </c>
      <c r="H44" s="3" t="d">
        <v>21:00:00.000</v>
      </c>
      <c r="I44" t="s">
        <v>503</v>
      </c>
      <c r="J44" s="1">
        <v>0.54100000000000004</v>
      </c>
      <c r="K44">
        <v>85</v>
      </c>
      <c r="L44">
        <v>6</v>
      </c>
      <c r="M44">
        <v>2.8</v>
      </c>
      <c r="N44">
        <v>3</v>
      </c>
      <c r="Q44" s="4" t="d">
        <v>16:57:00.00000000000383400</v>
      </c>
      <c r="R44">
        <v>8.1</v>
      </c>
      <c r="S44">
        <v>6.14</v>
      </c>
      <c r="T44">
        <v>0</v>
      </c>
      <c r="U44">
        <v>0</v>
      </c>
      <c r="V44">
        <v>0</v>
      </c>
      <c r="W44">
        <v>100</v>
      </c>
      <c r="Y44">
        <v>62</v>
      </c>
      <c r="Z44">
        <v>0</v>
      </c>
      <c r="AA44">
        <v>0</v>
      </c>
    </row>
    <row r="45" spans="1:30" x14ac:dyDescent="0.2">
      <c r="A45" t="s">
        <v>126</v>
      </c>
      <c r="C45">
        <v>0</v>
      </c>
      <c r="D45" t="s">
        <v>343</v>
      </c>
      <c r="E45">
        <v>3600</v>
      </c>
      <c r="F45" t="s">
        <v>35</v>
      </c>
      <c r="G45" t="s">
        <v>516</v>
      </c>
      <c r="H45" s="3" t="d">
        <v>21:00:00.000</v>
      </c>
      <c r="I45" t="s">
        <v>503</v>
      </c>
      <c r="J45" s="1">
        <v>0.377</v>
      </c>
      <c r="K45">
        <v>165</v>
      </c>
      <c r="L45">
        <v>6.5</v>
      </c>
      <c r="M45">
        <v>3.25</v>
      </c>
      <c r="N45">
        <v>4.18</v>
      </c>
      <c r="O45">
        <v>3</v>
      </c>
      <c r="P45">
        <v>1</v>
      </c>
      <c r="Q45" s="4" t="d">
        <v>15:29:00.00000000000341025</v>
      </c>
      <c r="R45">
        <v>6.8</v>
      </c>
      <c r="S45">
        <v>5.97</v>
      </c>
      <c r="T45">
        <v>20.63</v>
      </c>
      <c r="U45">
        <v>8.69</v>
      </c>
      <c r="V45">
        <v>8.69</v>
      </c>
      <c r="W45">
        <v>100</v>
      </c>
      <c r="Y45">
        <v>56</v>
      </c>
      <c r="Z45">
        <v>2.4</v>
      </c>
      <c r="AA45">
        <v>0</v>
      </c>
      <c r="AB45" s="4" t="d">
        <v>13:13:00.00000000000362550</v>
      </c>
      <c r="AC45">
        <v>11.5</v>
      </c>
      <c r="AD45">
        <v>3.2</v>
      </c>
    </row>
    <row r="46" spans="1:30" x14ac:dyDescent="0.2">
      <c r="A46" t="s">
        <v>144</v>
      </c>
      <c r="C46">
        <v>0</v>
      </c>
      <c r="D46" t="s">
        <v>343</v>
      </c>
      <c r="E46">
        <v>4200</v>
      </c>
      <c r="F46" t="s">
        <v>61</v>
      </c>
      <c r="G46" t="s">
        <v>502</v>
      </c>
      <c r="H46" s="3" t="d">
        <v>18:59:59.9999999999968050</v>
      </c>
      <c r="I46" t="s">
        <v>503</v>
      </c>
      <c r="J46" s="1">
        <v>0.58299999999999996</v>
      </c>
      <c r="K46">
        <v>71.5</v>
      </c>
      <c r="L46">
        <v>6.5</v>
      </c>
      <c r="M46">
        <v>3.2</v>
      </c>
      <c r="N46">
        <v>3.25</v>
      </c>
      <c r="O46">
        <v>1</v>
      </c>
      <c r="P46">
        <v>2</v>
      </c>
      <c r="Q46" s="4" t="d">
        <v>15:04:59.99999999999893725</v>
      </c>
      <c r="R46">
        <v>7.3</v>
      </c>
      <c r="S46">
        <v>6.59</v>
      </c>
      <c r="T46">
        <v>22.76</v>
      </c>
      <c r="U46">
        <v>9.58</v>
      </c>
      <c r="V46">
        <v>9.58</v>
      </c>
      <c r="W46">
        <v>100</v>
      </c>
      <c r="Y46">
        <v>55</v>
      </c>
      <c r="Z46">
        <v>2.2999999999999998</v>
      </c>
      <c r="AA46">
        <v>0</v>
      </c>
      <c r="AB46" s="4" t="d">
        <v>17:18:59.99999999999914575</v>
      </c>
      <c r="AC46">
        <v>14.5</v>
      </c>
      <c r="AD46">
        <v>3.5</v>
      </c>
    </row>
    <row r="47" spans="1:30" x14ac:dyDescent="0.2">
      <c r="A47" t="s">
        <v>604</v>
      </c>
      <c r="C47">
        <v>0</v>
      </c>
      <c r="D47" t="s">
        <v>343</v>
      </c>
      <c r="E47">
        <v>2500</v>
      </c>
      <c r="F47" t="s">
        <v>56</v>
      </c>
      <c r="G47" t="s">
        <v>513</v>
      </c>
      <c r="H47" s="3" t="d">
        <v>21:00:00.000</v>
      </c>
      <c r="I47" t="s">
        <v>499</v>
      </c>
      <c r="J47" s="1">
        <v>0.45900000000000002</v>
      </c>
      <c r="K47">
        <v>-85</v>
      </c>
      <c r="L47">
        <v>6</v>
      </c>
      <c r="M47">
        <v>3</v>
      </c>
      <c r="N47">
        <v>2.8</v>
      </c>
      <c r="Q47" s="4" t="d">
        <v>10:30:59.999999999999786775</v>
      </c>
      <c r="R47">
        <v>2.1</v>
      </c>
      <c r="S47">
        <v>0.75</v>
      </c>
      <c r="T47">
        <v>0</v>
      </c>
      <c r="U47">
        <v>0</v>
      </c>
      <c r="V47">
        <v>0</v>
      </c>
      <c r="W47">
        <v>100</v>
      </c>
      <c r="Y47">
        <v>0</v>
      </c>
      <c r="Z47">
        <v>0</v>
      </c>
      <c r="AA47">
        <v>0</v>
      </c>
    </row>
    <row r="48" spans="1:30" x14ac:dyDescent="0.2">
      <c r="A48" t="s">
        <v>579</v>
      </c>
      <c r="C48">
        <v>0</v>
      </c>
      <c r="D48" t="s">
        <v>343</v>
      </c>
      <c r="E48">
        <v>2500</v>
      </c>
      <c r="F48" t="s">
        <v>505</v>
      </c>
      <c r="G48" t="s">
        <v>506</v>
      </c>
      <c r="H48" s="3" t="d">
        <v>18:59:59.9999999999968050</v>
      </c>
      <c r="I48" t="s">
        <v>499</v>
      </c>
      <c r="J48" s="1">
        <v>0.61399999999999999</v>
      </c>
      <c r="K48">
        <v>-159</v>
      </c>
      <c r="L48">
        <v>6</v>
      </c>
      <c r="M48">
        <v>3</v>
      </c>
      <c r="N48">
        <v>2.2400000000000002</v>
      </c>
      <c r="Q48" s="4" t="d">
        <v>14:21:59.99999999999850675</v>
      </c>
      <c r="R48">
        <v>1.4</v>
      </c>
      <c r="S48">
        <v>1.41</v>
      </c>
      <c r="T48">
        <v>0</v>
      </c>
      <c r="U48">
        <v>0</v>
      </c>
      <c r="V48">
        <v>0</v>
      </c>
      <c r="W48">
        <v>100</v>
      </c>
      <c r="Y48">
        <v>50</v>
      </c>
      <c r="Z48">
        <v>0</v>
      </c>
      <c r="AA48">
        <v>0</v>
      </c>
    </row>
    <row r="49" spans="1:30" x14ac:dyDescent="0.2">
      <c r="A49" t="s">
        <v>295</v>
      </c>
      <c r="C49">
        <v>0</v>
      </c>
      <c r="D49" t="s">
        <v>57</v>
      </c>
      <c r="E49">
        <v>3100</v>
      </c>
      <c r="F49" t="s">
        <v>85</v>
      </c>
      <c r="G49" t="s">
        <v>507</v>
      </c>
      <c r="H49" s="3" t="d">
        <v>21:59:59.9999999999968050</v>
      </c>
      <c r="I49" t="s">
        <v>503</v>
      </c>
      <c r="J49" s="1">
        <v>0.55400000000000005</v>
      </c>
      <c r="K49">
        <v>80.5</v>
      </c>
      <c r="L49">
        <v>6.5</v>
      </c>
      <c r="M49">
        <v>3.25</v>
      </c>
      <c r="N49">
        <v>3.38</v>
      </c>
      <c r="O49">
        <v>1</v>
      </c>
      <c r="Q49" s="4" t="d">
        <v>20:07:00.00000000000170850</v>
      </c>
      <c r="R49">
        <v>5.7</v>
      </c>
      <c r="S49">
        <v>4.1100000000000003</v>
      </c>
      <c r="T49">
        <v>15.39</v>
      </c>
      <c r="U49">
        <v>7.17</v>
      </c>
      <c r="V49">
        <v>7.17</v>
      </c>
      <c r="W49">
        <v>100</v>
      </c>
      <c r="Y49">
        <v>64</v>
      </c>
      <c r="Z49">
        <v>2.2999999999999998</v>
      </c>
      <c r="AA49">
        <v>0</v>
      </c>
      <c r="AB49" s="4" t="d">
        <v>22:45:59.99999999999658975</v>
      </c>
      <c r="AC49">
        <v>2.6</v>
      </c>
      <c r="AD49">
        <v>0.8</v>
      </c>
    </row>
    <row r="50" spans="1:30" x14ac:dyDescent="0.2">
      <c r="A50" t="s">
        <v>152</v>
      </c>
      <c r="C50">
        <v>0</v>
      </c>
      <c r="D50" t="s">
        <v>343</v>
      </c>
      <c r="E50">
        <v>2600</v>
      </c>
      <c r="F50" t="s">
        <v>39</v>
      </c>
      <c r="G50" t="s">
        <v>504</v>
      </c>
      <c r="H50" s="3" t="d">
        <v>18:59:59.9999999999968050</v>
      </c>
      <c r="I50" t="s">
        <v>499</v>
      </c>
      <c r="J50" s="1">
        <v>0.41699999999999998</v>
      </c>
      <c r="K50">
        <v>-71.5</v>
      </c>
      <c r="L50">
        <v>6.5</v>
      </c>
      <c r="M50">
        <v>3.25</v>
      </c>
      <c r="N50">
        <v>3.2</v>
      </c>
      <c r="O50">
        <v>3</v>
      </c>
      <c r="P50">
        <v>2</v>
      </c>
      <c r="Q50" s="4" t="d">
        <v>14:13:00.00000000000042375</v>
      </c>
      <c r="R50">
        <v>6</v>
      </c>
      <c r="S50">
        <v>5.21</v>
      </c>
      <c r="T50">
        <v>17.62</v>
      </c>
      <c r="U50">
        <v>7.2</v>
      </c>
      <c r="V50">
        <v>7.2</v>
      </c>
      <c r="W50">
        <v>100</v>
      </c>
      <c r="Y50">
        <v>57</v>
      </c>
      <c r="Z50">
        <v>2.8</v>
      </c>
      <c r="AA50">
        <v>0</v>
      </c>
      <c r="AB50" s="4" t="d">
        <v>10:17:59.99999999999776350</v>
      </c>
      <c r="AC50">
        <v>11.5</v>
      </c>
      <c r="AD50">
        <v>4.4000000000000004</v>
      </c>
    </row>
    <row r="51" spans="1:30" x14ac:dyDescent="0.2">
      <c r="A51" t="s">
        <v>616</v>
      </c>
      <c r="C51">
        <v>0</v>
      </c>
      <c r="D51" t="s">
        <v>42</v>
      </c>
      <c r="E51">
        <v>2500</v>
      </c>
      <c r="F51" t="s">
        <v>59</v>
      </c>
      <c r="G51" t="s">
        <v>521</v>
      </c>
      <c r="H51" s="3" t="d">
        <v>21:59:59.9999999999968050</v>
      </c>
      <c r="I51" t="s">
        <v>503</v>
      </c>
      <c r="J51" s="1">
        <v>0.52800000000000002</v>
      </c>
      <c r="K51">
        <v>89.5</v>
      </c>
      <c r="L51">
        <v>6</v>
      </c>
      <c r="M51">
        <v>2.77</v>
      </c>
      <c r="N51">
        <v>3</v>
      </c>
      <c r="Q51" s="4" t="d">
        <v>11:22:59.99999999999829150</v>
      </c>
      <c r="R51">
        <v>2.2999999999999998</v>
      </c>
      <c r="S51">
        <v>3.23</v>
      </c>
      <c r="T51">
        <v>0</v>
      </c>
      <c r="U51">
        <v>0</v>
      </c>
      <c r="V51">
        <v>0</v>
      </c>
      <c r="W51">
        <v>100</v>
      </c>
      <c r="Y51">
        <v>30</v>
      </c>
      <c r="Z51">
        <v>0</v>
      </c>
      <c r="AA51">
        <v>0</v>
      </c>
    </row>
    <row r="52" spans="1:30" x14ac:dyDescent="0.2">
      <c r="A52" t="s">
        <v>231</v>
      </c>
      <c r="C52">
        <v>0</v>
      </c>
      <c r="D52" t="s">
        <v>57</v>
      </c>
      <c r="E52">
        <v>2700</v>
      </c>
      <c r="F52" t="s">
        <v>61</v>
      </c>
      <c r="G52" t="s">
        <v>502</v>
      </c>
      <c r="H52" s="3" t="d">
        <v>18:59:59.9999999999968050</v>
      </c>
      <c r="I52" t="s">
        <v>503</v>
      </c>
      <c r="J52" s="1">
        <v>0.58299999999999996</v>
      </c>
      <c r="K52">
        <v>71.5</v>
      </c>
      <c r="L52">
        <v>6.5</v>
      </c>
      <c r="M52">
        <v>3.2</v>
      </c>
      <c r="N52">
        <v>3.25</v>
      </c>
      <c r="O52">
        <v>2</v>
      </c>
      <c r="Q52" s="4" t="d">
        <v>19:37:59.99999999999829150</v>
      </c>
      <c r="R52">
        <v>6.2</v>
      </c>
      <c r="S52">
        <v>4.04</v>
      </c>
      <c r="T52">
        <v>15.56</v>
      </c>
      <c r="U52">
        <v>7.48</v>
      </c>
      <c r="V52">
        <v>7.48</v>
      </c>
      <c r="W52">
        <v>100</v>
      </c>
      <c r="Y52">
        <v>67</v>
      </c>
      <c r="Z52">
        <v>2.8</v>
      </c>
      <c r="AA52">
        <v>0</v>
      </c>
      <c r="AB52" s="4" t="d">
        <v>15:50:59.99999999999872200</v>
      </c>
      <c r="AC52">
        <v>0</v>
      </c>
    </row>
    <row r="53" spans="1:30" x14ac:dyDescent="0.2">
      <c r="A53" t="s">
        <v>258</v>
      </c>
      <c r="C53">
        <v>0</v>
      </c>
      <c r="D53" t="s">
        <v>343</v>
      </c>
      <c r="E53">
        <v>2500</v>
      </c>
      <c r="F53" t="s">
        <v>56</v>
      </c>
      <c r="G53" t="s">
        <v>513</v>
      </c>
      <c r="H53" s="3" t="d">
        <v>21:00:00.000</v>
      </c>
      <c r="I53" t="s">
        <v>499</v>
      </c>
      <c r="J53" s="1">
        <v>0.45900000000000002</v>
      </c>
      <c r="K53">
        <v>-85</v>
      </c>
      <c r="L53">
        <v>6</v>
      </c>
      <c r="M53">
        <v>3</v>
      </c>
      <c r="N53">
        <v>2.8</v>
      </c>
      <c r="O53">
        <v>4</v>
      </c>
      <c r="Q53" s="4" t="d">
        <v>11:15:59.999999999999786775</v>
      </c>
      <c r="R53">
        <v>2.8</v>
      </c>
      <c r="S53">
        <v>4.1399999999999997</v>
      </c>
      <c r="T53">
        <v>10.92</v>
      </c>
      <c r="U53">
        <v>2.64</v>
      </c>
      <c r="V53">
        <v>2.64</v>
      </c>
      <c r="W53">
        <v>100</v>
      </c>
      <c r="Y53">
        <v>26</v>
      </c>
      <c r="Z53">
        <v>1.1000000000000001</v>
      </c>
      <c r="AA53">
        <v>0</v>
      </c>
      <c r="AB53" s="4" t="d">
        <v>09:14:00.00000000000181275</v>
      </c>
      <c r="AC53">
        <v>2.6</v>
      </c>
      <c r="AD53">
        <v>1</v>
      </c>
    </row>
    <row r="54" spans="1:30" x14ac:dyDescent="0.2">
      <c r="A54" t="s">
        <v>111</v>
      </c>
      <c r="C54">
        <v>0</v>
      </c>
      <c r="D54" t="s">
        <v>343</v>
      </c>
      <c r="E54">
        <v>7700</v>
      </c>
      <c r="F54" t="s">
        <v>505</v>
      </c>
      <c r="G54" t="s">
        <v>506</v>
      </c>
      <c r="H54" s="3" t="d">
        <v>18:59:59.9999999999968050</v>
      </c>
      <c r="I54" t="s">
        <v>499</v>
      </c>
      <c r="J54" s="1">
        <v>0.61399999999999999</v>
      </c>
      <c r="K54">
        <v>-159</v>
      </c>
      <c r="L54">
        <v>6</v>
      </c>
      <c r="M54">
        <v>3</v>
      </c>
      <c r="N54">
        <v>2.2400000000000002</v>
      </c>
      <c r="O54">
        <v>1</v>
      </c>
      <c r="P54">
        <v>1</v>
      </c>
      <c r="Q54" s="4" t="d">
        <v>18:54:59.99999999999786775</v>
      </c>
      <c r="R54">
        <v>13.5</v>
      </c>
      <c r="S54">
        <v>10.94</v>
      </c>
      <c r="T54">
        <v>39.21</v>
      </c>
      <c r="U54">
        <v>17.329999999999998</v>
      </c>
      <c r="V54">
        <v>17.329999999999998</v>
      </c>
      <c r="W54">
        <v>100</v>
      </c>
      <c r="Y54">
        <v>59</v>
      </c>
      <c r="Z54">
        <v>2.2999999999999998</v>
      </c>
      <c r="AA54">
        <v>0</v>
      </c>
      <c r="AB54" s="4" t="d">
        <v>23:45:00.0000000000031950</v>
      </c>
      <c r="AC54">
        <v>8</v>
      </c>
      <c r="AD54">
        <v>1</v>
      </c>
    </row>
    <row r="55" spans="1:30" x14ac:dyDescent="0.2">
      <c r="A55" t="s">
        <v>222</v>
      </c>
      <c r="C55">
        <v>0</v>
      </c>
      <c r="D55" t="s">
        <v>57</v>
      </c>
      <c r="E55">
        <v>5400</v>
      </c>
      <c r="F55" t="s">
        <v>74</v>
      </c>
      <c r="G55" t="s">
        <v>514</v>
      </c>
      <c r="H55" s="3" t="d">
        <v>21:59:59.9999999999968050</v>
      </c>
      <c r="I55" t="s">
        <v>499</v>
      </c>
      <c r="J55" s="1">
        <v>0.47099999999999997</v>
      </c>
      <c r="K55">
        <v>-89</v>
      </c>
      <c r="L55">
        <v>6</v>
      </c>
      <c r="M55">
        <v>3.14</v>
      </c>
      <c r="N55">
        <v>3</v>
      </c>
      <c r="O55">
        <v>2</v>
      </c>
      <c r="P55">
        <v>2</v>
      </c>
      <c r="Q55" s="4" t="d">
        <v>22:02:59.99999999999616600</v>
      </c>
      <c r="R55">
        <v>10</v>
      </c>
      <c r="S55">
        <v>6.49</v>
      </c>
      <c r="T55">
        <v>24.48</v>
      </c>
      <c r="U55">
        <v>11.5</v>
      </c>
      <c r="V55">
        <v>11.5</v>
      </c>
      <c r="W55">
        <v>100</v>
      </c>
      <c r="Y55">
        <v>68</v>
      </c>
      <c r="Z55">
        <v>2.1</v>
      </c>
      <c r="AA55">
        <v>0</v>
      </c>
      <c r="AB55" s="5" t="d">
        <v>PT27H54M0.000S</v>
      </c>
      <c r="AC55">
        <v>5.6</v>
      </c>
      <c r="AD55">
        <v>1</v>
      </c>
    </row>
    <row r="56" spans="1:30" x14ac:dyDescent="0.2">
      <c r="A56" t="s">
        <v>571</v>
      </c>
      <c r="C56">
        <v>0</v>
      </c>
      <c r="D56" t="s">
        <v>343</v>
      </c>
      <c r="E56">
        <v>2500</v>
      </c>
      <c r="F56" t="s">
        <v>39</v>
      </c>
      <c r="G56" t="s">
        <v>504</v>
      </c>
      <c r="H56" s="3" t="d">
        <v>18:59:59.9999999999968050</v>
      </c>
      <c r="I56" t="s">
        <v>499</v>
      </c>
      <c r="J56" s="1">
        <v>0.41699999999999998</v>
      </c>
      <c r="K56">
        <v>-71.5</v>
      </c>
      <c r="L56">
        <v>6.5</v>
      </c>
      <c r="M56">
        <v>3.25</v>
      </c>
      <c r="N56">
        <v>3.2</v>
      </c>
      <c r="Q56" s="4" t="d">
        <v>13:51:59.99999999999531175</v>
      </c>
      <c r="R56">
        <v>4.3</v>
      </c>
      <c r="S56">
        <v>3.79</v>
      </c>
      <c r="T56">
        <v>0</v>
      </c>
      <c r="U56">
        <v>0</v>
      </c>
      <c r="V56">
        <v>0</v>
      </c>
      <c r="W56">
        <v>100</v>
      </c>
      <c r="Y56">
        <v>56</v>
      </c>
      <c r="Z56">
        <v>0</v>
      </c>
      <c r="AA56">
        <v>0</v>
      </c>
    </row>
    <row r="57" spans="1:30" x14ac:dyDescent="0.2">
      <c r="A57" t="s">
        <v>554</v>
      </c>
      <c r="B57" t="s">
        <v>541</v>
      </c>
      <c r="C57">
        <v>0</v>
      </c>
      <c r="D57" t="s">
        <v>57</v>
      </c>
      <c r="E57">
        <v>3500</v>
      </c>
      <c r="F57" t="s">
        <v>39</v>
      </c>
      <c r="G57" t="s">
        <v>504</v>
      </c>
      <c r="H57" s="3" t="d">
        <v>18:59:59.9999999999968050</v>
      </c>
      <c r="I57" t="s">
        <v>499</v>
      </c>
      <c r="J57" s="1">
        <v>0.41699999999999998</v>
      </c>
      <c r="K57">
        <v>-71.5</v>
      </c>
      <c r="L57">
        <v>6.5</v>
      </c>
      <c r="M57">
        <v>3.25</v>
      </c>
      <c r="N57">
        <v>3.2</v>
      </c>
      <c r="Q57" s="4" t="d">
        <v>20:49:00.000000000002344800</v>
      </c>
      <c r="R57">
        <v>6.8</v>
      </c>
      <c r="S57">
        <v>4.8099999999999996</v>
      </c>
      <c r="T57">
        <v>0</v>
      </c>
      <c r="U57">
        <v>0</v>
      </c>
      <c r="V57">
        <v>0</v>
      </c>
      <c r="W57">
        <v>100</v>
      </c>
      <c r="Y57">
        <v>65</v>
      </c>
      <c r="Z57">
        <v>0</v>
      </c>
      <c r="AA57">
        <v>0</v>
      </c>
    </row>
    <row r="58" spans="1:30" x14ac:dyDescent="0.2">
      <c r="A58" t="s">
        <v>282</v>
      </c>
      <c r="C58">
        <v>0</v>
      </c>
      <c r="D58" t="s">
        <v>57</v>
      </c>
      <c r="E58">
        <v>2500</v>
      </c>
      <c r="F58" t="s">
        <v>117</v>
      </c>
      <c r="G58" t="s">
        <v>518</v>
      </c>
      <c r="H58" s="3" t="d">
        <v>21:00:00.000</v>
      </c>
      <c r="I58" t="s">
        <v>503</v>
      </c>
      <c r="J58" s="1">
        <v>0.54100000000000004</v>
      </c>
      <c r="K58">
        <v>85</v>
      </c>
      <c r="L58">
        <v>6</v>
      </c>
      <c r="M58">
        <v>2.8</v>
      </c>
      <c r="N58">
        <v>3</v>
      </c>
      <c r="Q58" s="4" t="d">
        <v>13:23:00.00000000000149325</v>
      </c>
      <c r="R58">
        <v>3</v>
      </c>
      <c r="S58">
        <v>2.97</v>
      </c>
      <c r="T58">
        <v>0</v>
      </c>
      <c r="U58">
        <v>0</v>
      </c>
      <c r="V58">
        <v>0</v>
      </c>
      <c r="W58">
        <v>100</v>
      </c>
      <c r="Y58">
        <v>51</v>
      </c>
      <c r="Z58">
        <v>0</v>
      </c>
      <c r="AA58">
        <v>0</v>
      </c>
      <c r="AB58" s="4" t="d">
        <v>11:41:59.99999999999904150</v>
      </c>
      <c r="AC58">
        <v>0</v>
      </c>
    </row>
    <row r="59" spans="1:30" x14ac:dyDescent="0.2">
      <c r="A59" t="s">
        <v>542</v>
      </c>
      <c r="C59">
        <v>0</v>
      </c>
      <c r="D59" t="s">
        <v>42</v>
      </c>
      <c r="E59">
        <v>6200</v>
      </c>
      <c r="F59" t="s">
        <v>505</v>
      </c>
      <c r="G59" t="s">
        <v>506</v>
      </c>
      <c r="H59" s="3" t="d">
        <v>18:59:59.9999999999968050</v>
      </c>
      <c r="I59" t="s">
        <v>499</v>
      </c>
      <c r="J59" s="1">
        <v>0.61399999999999999</v>
      </c>
      <c r="K59">
        <v>-159</v>
      </c>
      <c r="L59">
        <v>6</v>
      </c>
      <c r="M59">
        <v>3</v>
      </c>
      <c r="N59">
        <v>2.2400000000000002</v>
      </c>
      <c r="Q59" s="4" t="d">
        <v>18:00:59.999999999999786775</v>
      </c>
      <c r="R59">
        <v>9.5</v>
      </c>
      <c r="S59">
        <v>6.6</v>
      </c>
      <c r="T59">
        <v>0</v>
      </c>
      <c r="U59">
        <v>0</v>
      </c>
      <c r="V59">
        <v>0</v>
      </c>
      <c r="W59">
        <v>100</v>
      </c>
      <c r="Y59">
        <v>65</v>
      </c>
      <c r="Z59">
        <v>0</v>
      </c>
      <c r="AA59">
        <v>0</v>
      </c>
    </row>
    <row r="60" spans="1:30" x14ac:dyDescent="0.2">
      <c r="A60" t="s">
        <v>168</v>
      </c>
      <c r="C60">
        <v>0</v>
      </c>
      <c r="D60" t="s">
        <v>42</v>
      </c>
      <c r="E60">
        <v>3200</v>
      </c>
      <c r="F60" t="s">
        <v>45</v>
      </c>
      <c r="G60" t="s">
        <v>523</v>
      </c>
      <c r="H60" s="3" t="d">
        <v>20:00:00.0000000000031950</v>
      </c>
      <c r="I60" t="s">
        <v>503</v>
      </c>
      <c r="J60" s="1">
        <v>0.51400000000000001</v>
      </c>
      <c r="K60">
        <v>94.5</v>
      </c>
      <c r="L60">
        <v>5.5</v>
      </c>
      <c r="M60">
        <v>2.75</v>
      </c>
      <c r="N60">
        <v>3.07</v>
      </c>
      <c r="O60">
        <v>1</v>
      </c>
      <c r="P60">
        <v>2</v>
      </c>
      <c r="Q60" s="4" t="d">
        <v>16:34:59.99999999999893725</v>
      </c>
      <c r="R60">
        <v>5.3</v>
      </c>
      <c r="S60">
        <v>5.82</v>
      </c>
      <c r="T60">
        <v>17.82</v>
      </c>
      <c r="U60">
        <v>6.18</v>
      </c>
      <c r="V60">
        <v>6.18</v>
      </c>
      <c r="W60">
        <v>100</v>
      </c>
      <c r="Y60">
        <v>45</v>
      </c>
      <c r="Z60">
        <v>1.9</v>
      </c>
      <c r="AA60">
        <v>0</v>
      </c>
      <c r="AB60" s="4" t="d">
        <v>16:23:00.00000000000149325</v>
      </c>
      <c r="AC60">
        <v>5.8</v>
      </c>
      <c r="AD60">
        <v>1.8</v>
      </c>
    </row>
    <row r="61" spans="1:30" x14ac:dyDescent="0.2">
      <c r="A61" t="s">
        <v>173</v>
      </c>
      <c r="C61">
        <v>0</v>
      </c>
      <c r="D61" t="s">
        <v>57</v>
      </c>
      <c r="E61">
        <v>2500</v>
      </c>
      <c r="F61" t="s">
        <v>509</v>
      </c>
      <c r="G61" t="s">
        <v>510</v>
      </c>
      <c r="H61" s="3" t="d">
        <v>21:59:59.9999999999968050</v>
      </c>
      <c r="I61" t="s">
        <v>499</v>
      </c>
      <c r="J61" s="1">
        <v>0.47199999999999998</v>
      </c>
      <c r="K61">
        <v>-89.5</v>
      </c>
      <c r="L61">
        <v>6</v>
      </c>
      <c r="M61">
        <v>3</v>
      </c>
      <c r="N61">
        <v>2.77</v>
      </c>
      <c r="O61">
        <v>2</v>
      </c>
      <c r="Q61" s="4" t="d">
        <v>18:09:59.99999999999786775</v>
      </c>
      <c r="R61">
        <v>4.8</v>
      </c>
      <c r="S61">
        <v>4.5199999999999996</v>
      </c>
      <c r="T61">
        <v>13.45</v>
      </c>
      <c r="U61">
        <v>4.41</v>
      </c>
      <c r="V61">
        <v>4.41</v>
      </c>
      <c r="W61">
        <v>100</v>
      </c>
      <c r="Y61">
        <v>53</v>
      </c>
      <c r="Z61">
        <v>1.8</v>
      </c>
      <c r="AA61">
        <v>0</v>
      </c>
      <c r="AB61" s="4" t="d">
        <v>20:22:59.99999999999829150</v>
      </c>
      <c r="AC61">
        <v>2.6</v>
      </c>
      <c r="AD61">
        <v>1</v>
      </c>
    </row>
    <row r="62" spans="1:30" x14ac:dyDescent="0.2">
      <c r="A62" t="s">
        <v>311</v>
      </c>
      <c r="C62">
        <v>0</v>
      </c>
      <c r="D62" t="s">
        <v>343</v>
      </c>
      <c r="E62">
        <v>2500</v>
      </c>
      <c r="F62" t="s">
        <v>85</v>
      </c>
      <c r="G62" t="s">
        <v>507</v>
      </c>
      <c r="H62" s="3" t="d">
        <v>21:59:59.9999999999968050</v>
      </c>
      <c r="I62" t="s">
        <v>503</v>
      </c>
      <c r="J62" s="1">
        <v>0.55400000000000005</v>
      </c>
      <c r="K62">
        <v>80.5</v>
      </c>
      <c r="L62">
        <v>6.5</v>
      </c>
      <c r="M62">
        <v>3.25</v>
      </c>
      <c r="N62">
        <v>3.38</v>
      </c>
      <c r="O62">
        <v>3</v>
      </c>
      <c r="Q62" s="4" t="d">
        <v>09:35:00.00000000000213225</v>
      </c>
      <c r="R62">
        <v>2.8</v>
      </c>
      <c r="S62">
        <v>2.88</v>
      </c>
      <c r="T62">
        <v>9.5399999999999991</v>
      </c>
      <c r="U62">
        <v>3.78</v>
      </c>
      <c r="V62">
        <v>3.78</v>
      </c>
      <c r="W62">
        <v>100</v>
      </c>
      <c r="Y62">
        <v>49</v>
      </c>
      <c r="Z62">
        <v>1.5</v>
      </c>
      <c r="AA62">
        <v>0</v>
      </c>
      <c r="AB62" s="4" t="d">
        <v>09:00:59.999999999999786775</v>
      </c>
      <c r="AC62">
        <v>3</v>
      </c>
      <c r="AD62">
        <v>1.2</v>
      </c>
    </row>
    <row r="63" spans="1:30" x14ac:dyDescent="0.2">
      <c r="A63" t="s">
        <v>159</v>
      </c>
      <c r="C63">
        <v>0</v>
      </c>
      <c r="D63" t="s">
        <v>57</v>
      </c>
      <c r="E63">
        <v>4600</v>
      </c>
      <c r="F63" t="s">
        <v>48</v>
      </c>
      <c r="G63" t="s">
        <v>498</v>
      </c>
      <c r="H63" s="3" t="d">
        <v>21:00:00.000</v>
      </c>
      <c r="I63" t="s">
        <v>499</v>
      </c>
      <c r="J63" s="1">
        <v>0.623</v>
      </c>
      <c r="K63">
        <v>-165</v>
      </c>
      <c r="L63">
        <v>6.5</v>
      </c>
      <c r="M63">
        <v>4.18</v>
      </c>
      <c r="N63">
        <v>3.25</v>
      </c>
      <c r="O63">
        <v>2</v>
      </c>
      <c r="P63">
        <v>2</v>
      </c>
      <c r="Q63" s="4" t="d">
        <v>19:24:00.00000000000127800</v>
      </c>
      <c r="R63">
        <v>8.6999999999999993</v>
      </c>
      <c r="S63">
        <v>5.09</v>
      </c>
      <c r="T63">
        <v>24.47</v>
      </c>
      <c r="U63">
        <v>14.29</v>
      </c>
      <c r="V63">
        <v>14.29</v>
      </c>
      <c r="W63">
        <v>100</v>
      </c>
      <c r="Y63">
        <v>71</v>
      </c>
      <c r="Z63">
        <v>3.1</v>
      </c>
      <c r="AA63">
        <v>0</v>
      </c>
      <c r="AB63" s="4" t="d">
        <v>17:54:00.00000000000127800</v>
      </c>
      <c r="AC63">
        <v>1.5</v>
      </c>
      <c r="AD63">
        <v>0.3</v>
      </c>
    </row>
    <row r="64" spans="1:30" x14ac:dyDescent="0.2">
      <c r="A64" t="s">
        <v>462</v>
      </c>
      <c r="C64">
        <v>0</v>
      </c>
      <c r="D64" t="s">
        <v>343</v>
      </c>
      <c r="E64">
        <v>2500</v>
      </c>
      <c r="F64" t="s">
        <v>85</v>
      </c>
      <c r="G64" t="s">
        <v>507</v>
      </c>
      <c r="H64" s="3" t="d">
        <v>21:59:59.9999999999968050</v>
      </c>
      <c r="I64" t="s">
        <v>503</v>
      </c>
      <c r="J64" s="1">
        <v>0.55400000000000005</v>
      </c>
      <c r="K64">
        <v>80.5</v>
      </c>
      <c r="L64">
        <v>6.5</v>
      </c>
      <c r="M64">
        <v>3.25</v>
      </c>
      <c r="N64">
        <v>3.38</v>
      </c>
      <c r="Q64" s="4" t="d">
        <v>10:50:00.00000000000053475</v>
      </c>
      <c r="R64">
        <v>2.2999999999999998</v>
      </c>
      <c r="S64">
        <v>1.95</v>
      </c>
      <c r="T64">
        <v>0</v>
      </c>
      <c r="U64">
        <v>0</v>
      </c>
      <c r="V64">
        <v>0</v>
      </c>
      <c r="W64">
        <v>100</v>
      </c>
      <c r="Y64">
        <v>58</v>
      </c>
      <c r="Z64">
        <v>0</v>
      </c>
      <c r="AA64">
        <v>0</v>
      </c>
    </row>
    <row r="65" spans="1:30" x14ac:dyDescent="0.2">
      <c r="A65" t="s">
        <v>563</v>
      </c>
      <c r="B65" t="s">
        <v>541</v>
      </c>
      <c r="C65">
        <v>0</v>
      </c>
      <c r="D65" t="s">
        <v>343</v>
      </c>
      <c r="E65">
        <v>2700</v>
      </c>
      <c r="F65" t="s">
        <v>39</v>
      </c>
      <c r="G65" t="s">
        <v>504</v>
      </c>
      <c r="H65" s="3" t="d">
        <v>18:59:59.9999999999968050</v>
      </c>
      <c r="I65" t="s">
        <v>499</v>
      </c>
      <c r="J65" s="1">
        <v>0.41699999999999998</v>
      </c>
      <c r="K65">
        <v>-71.5</v>
      </c>
      <c r="L65">
        <v>6.5</v>
      </c>
      <c r="M65">
        <v>3.25</v>
      </c>
      <c r="N65">
        <v>3.2</v>
      </c>
      <c r="Q65" s="4" t="d">
        <v>14:50:00.00000000000213225</v>
      </c>
      <c r="R65">
        <v>4.8</v>
      </c>
      <c r="S65">
        <v>5</v>
      </c>
      <c r="T65">
        <v>0</v>
      </c>
      <c r="U65">
        <v>0</v>
      </c>
      <c r="V65">
        <v>0</v>
      </c>
      <c r="W65">
        <v>100</v>
      </c>
      <c r="Y65">
        <v>48</v>
      </c>
      <c r="Z65">
        <v>0</v>
      </c>
      <c r="AA65">
        <v>0</v>
      </c>
    </row>
    <row r="66" spans="1:30" x14ac:dyDescent="0.2">
      <c r="A66" t="s">
        <v>468</v>
      </c>
      <c r="C66">
        <v>0</v>
      </c>
      <c r="D66" t="s">
        <v>343</v>
      </c>
      <c r="E66">
        <v>2500</v>
      </c>
      <c r="F66" t="s">
        <v>56</v>
      </c>
      <c r="G66" t="s">
        <v>513</v>
      </c>
      <c r="H66" s="3" t="d">
        <v>21:00:00.000</v>
      </c>
      <c r="I66" t="s">
        <v>499</v>
      </c>
      <c r="J66" s="1">
        <v>0.45900000000000002</v>
      </c>
      <c r="K66">
        <v>-85</v>
      </c>
      <c r="L66">
        <v>6</v>
      </c>
      <c r="M66">
        <v>3</v>
      </c>
      <c r="N66">
        <v>2.8</v>
      </c>
      <c r="Q66" s="4" t="d">
        <v>08:34:00.00000000000074325</v>
      </c>
      <c r="R66">
        <v>0.3</v>
      </c>
      <c r="S66">
        <v>0.56000000000000005</v>
      </c>
      <c r="T66">
        <v>0</v>
      </c>
      <c r="U66">
        <v>0</v>
      </c>
      <c r="V66">
        <v>0</v>
      </c>
      <c r="W66">
        <v>100</v>
      </c>
      <c r="Y66">
        <v>7</v>
      </c>
      <c r="Z66">
        <v>0</v>
      </c>
      <c r="AA66">
        <v>0</v>
      </c>
    </row>
    <row r="67" spans="1:30" x14ac:dyDescent="0.2">
      <c r="A67" t="s">
        <v>214</v>
      </c>
      <c r="C67">
        <v>0</v>
      </c>
      <c r="D67" t="s">
        <v>57</v>
      </c>
      <c r="E67">
        <v>3100</v>
      </c>
      <c r="F67" t="s">
        <v>509</v>
      </c>
      <c r="G67" t="s">
        <v>510</v>
      </c>
      <c r="H67" s="3" t="d">
        <v>21:59:59.9999999999968050</v>
      </c>
      <c r="I67" t="s">
        <v>499</v>
      </c>
      <c r="J67" s="1">
        <v>0.47199999999999998</v>
      </c>
      <c r="K67">
        <v>-89.5</v>
      </c>
      <c r="L67">
        <v>6</v>
      </c>
      <c r="M67">
        <v>3</v>
      </c>
      <c r="N67">
        <v>2.77</v>
      </c>
      <c r="O67">
        <v>1</v>
      </c>
      <c r="Q67" s="4" t="d">
        <v>20:08:00.00000000000149325</v>
      </c>
      <c r="R67">
        <v>7.5</v>
      </c>
      <c r="S67">
        <v>6.44</v>
      </c>
      <c r="T67">
        <v>21.46</v>
      </c>
      <c r="U67">
        <v>8.58</v>
      </c>
      <c r="V67">
        <v>8.58</v>
      </c>
      <c r="W67">
        <v>100</v>
      </c>
      <c r="Y67">
        <v>57</v>
      </c>
      <c r="Z67">
        <v>2.8</v>
      </c>
      <c r="AA67">
        <v>0</v>
      </c>
      <c r="AB67" s="4" t="d">
        <v>23:56:00.00000000000085425</v>
      </c>
      <c r="AC67">
        <v>1.3</v>
      </c>
      <c r="AD67">
        <v>0.4</v>
      </c>
    </row>
    <row r="68" spans="1:30" x14ac:dyDescent="0.2">
      <c r="A68" t="s">
        <v>457</v>
      </c>
      <c r="C68">
        <v>0</v>
      </c>
      <c r="D68" t="s">
        <v>343</v>
      </c>
      <c r="E68">
        <v>2500</v>
      </c>
      <c r="F68" t="s">
        <v>509</v>
      </c>
      <c r="G68" t="s">
        <v>510</v>
      </c>
      <c r="H68" s="3" t="d">
        <v>21:59:59.9999999999968050</v>
      </c>
      <c r="I68" t="s">
        <v>499</v>
      </c>
      <c r="J68" s="1">
        <v>0.47199999999999998</v>
      </c>
      <c r="K68">
        <v>-89.5</v>
      </c>
      <c r="L68">
        <v>6</v>
      </c>
      <c r="M68">
        <v>3</v>
      </c>
      <c r="N68">
        <v>2.77</v>
      </c>
      <c r="Q68" s="4" t="d">
        <v>07:30:00.000</v>
      </c>
      <c r="R68">
        <v>1.9</v>
      </c>
      <c r="S68">
        <v>3.39</v>
      </c>
      <c r="T68">
        <v>0</v>
      </c>
      <c r="U68">
        <v>0</v>
      </c>
      <c r="V68">
        <v>0</v>
      </c>
      <c r="W68">
        <v>100</v>
      </c>
      <c r="Y68">
        <v>11</v>
      </c>
      <c r="Z68">
        <v>0</v>
      </c>
      <c r="AA68">
        <v>0</v>
      </c>
    </row>
    <row r="69" spans="1:30" x14ac:dyDescent="0.2">
      <c r="A69" t="s">
        <v>107</v>
      </c>
      <c r="C69">
        <v>0</v>
      </c>
      <c r="D69" t="s">
        <v>343</v>
      </c>
      <c r="E69">
        <v>4400</v>
      </c>
      <c r="F69" t="s">
        <v>59</v>
      </c>
      <c r="G69" t="s">
        <v>521</v>
      </c>
      <c r="H69" s="3" t="d">
        <v>21:59:59.9999999999968050</v>
      </c>
      <c r="I69" t="s">
        <v>503</v>
      </c>
      <c r="J69" s="1">
        <v>0.52800000000000002</v>
      </c>
      <c r="K69">
        <v>89.5</v>
      </c>
      <c r="L69">
        <v>6</v>
      </c>
      <c r="M69">
        <v>2.77</v>
      </c>
      <c r="N69">
        <v>3</v>
      </c>
      <c r="O69">
        <v>2</v>
      </c>
      <c r="P69">
        <v>1</v>
      </c>
      <c r="Q69" s="4" t="d">
        <v>19:25:00.00000000000106275</v>
      </c>
      <c r="R69">
        <v>7.9</v>
      </c>
      <c r="S69">
        <v>7.25</v>
      </c>
      <c r="T69">
        <v>20.75</v>
      </c>
      <c r="U69">
        <v>6.25</v>
      </c>
      <c r="V69">
        <v>6.25</v>
      </c>
      <c r="W69">
        <v>100</v>
      </c>
      <c r="Y69">
        <v>54</v>
      </c>
      <c r="Z69">
        <v>1.4</v>
      </c>
      <c r="AA69">
        <v>0</v>
      </c>
      <c r="AB69" s="4" t="d">
        <v>20:25:59.9999999999976525</v>
      </c>
      <c r="AC69">
        <v>11.5</v>
      </c>
      <c r="AD69">
        <v>2.6</v>
      </c>
    </row>
    <row r="70" spans="1:30" x14ac:dyDescent="0.2">
      <c r="A70" t="s">
        <v>177</v>
      </c>
      <c r="C70">
        <v>0</v>
      </c>
      <c r="D70" t="s">
        <v>42</v>
      </c>
      <c r="E70">
        <v>7000</v>
      </c>
      <c r="F70" t="s">
        <v>48</v>
      </c>
      <c r="G70" t="s">
        <v>498</v>
      </c>
      <c r="H70" s="3" t="d">
        <v>21:00:00.000</v>
      </c>
      <c r="I70" t="s">
        <v>499</v>
      </c>
      <c r="J70" s="1">
        <v>0.623</v>
      </c>
      <c r="K70">
        <v>-165</v>
      </c>
      <c r="L70">
        <v>6.5</v>
      </c>
      <c r="M70">
        <v>4.18</v>
      </c>
      <c r="N70">
        <v>3.25</v>
      </c>
      <c r="O70">
        <v>2</v>
      </c>
      <c r="P70">
        <v>1</v>
      </c>
      <c r="Q70" s="4" t="d">
        <v>19:01:59.99999999999637450</v>
      </c>
      <c r="R70">
        <v>11.2</v>
      </c>
      <c r="S70">
        <v>8.42</v>
      </c>
      <c r="T70">
        <v>39.58</v>
      </c>
      <c r="U70">
        <v>22.74</v>
      </c>
      <c r="V70">
        <v>22.74</v>
      </c>
      <c r="W70">
        <v>100</v>
      </c>
      <c r="Y70">
        <v>62</v>
      </c>
      <c r="Z70">
        <v>3.2</v>
      </c>
      <c r="AA70">
        <v>0</v>
      </c>
      <c r="AB70" s="4" t="d">
        <v>22:37:59.99999999999829150</v>
      </c>
      <c r="AC70">
        <v>4.0999999999999996</v>
      </c>
      <c r="AD70">
        <v>0.6</v>
      </c>
    </row>
    <row r="71" spans="1:30" x14ac:dyDescent="0.2">
      <c r="A71" t="s">
        <v>419</v>
      </c>
      <c r="C71">
        <v>0</v>
      </c>
      <c r="D71" t="s">
        <v>57</v>
      </c>
      <c r="E71">
        <v>2500</v>
      </c>
      <c r="F71" t="s">
        <v>74</v>
      </c>
      <c r="G71" t="s">
        <v>514</v>
      </c>
      <c r="H71" s="3" t="d">
        <v>21:59:59.9999999999968050</v>
      </c>
      <c r="I71" t="s">
        <v>499</v>
      </c>
      <c r="J71" s="1">
        <v>0.47099999999999997</v>
      </c>
      <c r="K71">
        <v>-89</v>
      </c>
      <c r="L71">
        <v>6</v>
      </c>
      <c r="M71">
        <v>3.14</v>
      </c>
      <c r="N71">
        <v>3</v>
      </c>
      <c r="Q71" s="4" t="d">
        <v>17:35:59.99999999999552025</v>
      </c>
      <c r="R71">
        <v>4.3</v>
      </c>
      <c r="S71">
        <v>3.54</v>
      </c>
      <c r="T71">
        <v>0</v>
      </c>
      <c r="U71">
        <v>0</v>
      </c>
      <c r="V71">
        <v>0</v>
      </c>
      <c r="W71">
        <v>100</v>
      </c>
      <c r="Y71">
        <v>59</v>
      </c>
      <c r="Z71">
        <v>0</v>
      </c>
      <c r="AA71">
        <v>0</v>
      </c>
    </row>
    <row r="72" spans="1:30" x14ac:dyDescent="0.2">
      <c r="A72" t="s">
        <v>120</v>
      </c>
      <c r="C72">
        <v>0</v>
      </c>
      <c r="D72" t="s">
        <v>57</v>
      </c>
      <c r="E72">
        <v>8200</v>
      </c>
      <c r="F72" t="s">
        <v>48</v>
      </c>
      <c r="G72" t="s">
        <v>498</v>
      </c>
      <c r="H72" s="3" t="d">
        <v>21:00:00.000</v>
      </c>
      <c r="I72" t="s">
        <v>499</v>
      </c>
      <c r="J72" s="1">
        <v>0.623</v>
      </c>
      <c r="K72">
        <v>-165</v>
      </c>
      <c r="L72">
        <v>6.5</v>
      </c>
      <c r="M72">
        <v>4.18</v>
      </c>
      <c r="N72">
        <v>3.25</v>
      </c>
      <c r="O72">
        <v>1</v>
      </c>
      <c r="P72">
        <v>1</v>
      </c>
      <c r="Q72" s="5" t="d">
        <v>PT25H6M0.000S</v>
      </c>
      <c r="R72">
        <v>13.9</v>
      </c>
      <c r="S72">
        <v>8.82</v>
      </c>
      <c r="T72">
        <v>39.18</v>
      </c>
      <c r="U72">
        <v>21.54</v>
      </c>
      <c r="V72">
        <v>21.54</v>
      </c>
      <c r="W72">
        <v>100</v>
      </c>
      <c r="Y72">
        <v>68</v>
      </c>
      <c r="Z72">
        <v>2.6</v>
      </c>
      <c r="AA72">
        <v>0</v>
      </c>
      <c r="AB72" s="5" t="d">
        <v>PT26H21M0.000S</v>
      </c>
      <c r="AC72">
        <v>12.8</v>
      </c>
      <c r="AD72">
        <v>1.6</v>
      </c>
    </row>
    <row r="73" spans="1:30" x14ac:dyDescent="0.2">
      <c r="A73" t="s">
        <v>175</v>
      </c>
      <c r="C73">
        <v>0</v>
      </c>
      <c r="D73" t="s">
        <v>343</v>
      </c>
      <c r="E73">
        <v>2500</v>
      </c>
      <c r="F73" t="s">
        <v>61</v>
      </c>
      <c r="G73" t="s">
        <v>502</v>
      </c>
      <c r="H73" s="3" t="d">
        <v>18:59:59.9999999999968050</v>
      </c>
      <c r="I73" t="s">
        <v>503</v>
      </c>
      <c r="J73" s="1">
        <v>0.58299999999999996</v>
      </c>
      <c r="K73">
        <v>71.5</v>
      </c>
      <c r="L73">
        <v>6.5</v>
      </c>
      <c r="M73">
        <v>3.2</v>
      </c>
      <c r="N73">
        <v>3.25</v>
      </c>
      <c r="O73">
        <v>4</v>
      </c>
      <c r="Q73" s="4" t="d">
        <v>11:52:00.00000000000170850</v>
      </c>
      <c r="R73">
        <v>3.4</v>
      </c>
      <c r="S73">
        <v>3.78</v>
      </c>
      <c r="T73">
        <v>11.27</v>
      </c>
      <c r="U73">
        <v>3.71</v>
      </c>
      <c r="V73">
        <v>3.71</v>
      </c>
      <c r="W73">
        <v>100</v>
      </c>
      <c r="Y73">
        <v>44</v>
      </c>
      <c r="Z73">
        <v>1.5</v>
      </c>
      <c r="AA73">
        <v>0</v>
      </c>
      <c r="AB73" s="4" t="d">
        <v>08:41:59.99999999999904150</v>
      </c>
      <c r="AC73">
        <v>1.5</v>
      </c>
      <c r="AD73">
        <v>0.6</v>
      </c>
    </row>
    <row r="74" spans="1:30" x14ac:dyDescent="0.2">
      <c r="A74" t="s">
        <v>81</v>
      </c>
      <c r="C74">
        <v>0</v>
      </c>
      <c r="D74" t="s">
        <v>57</v>
      </c>
      <c r="E74">
        <v>3000</v>
      </c>
      <c r="F74" t="s">
        <v>45</v>
      </c>
      <c r="G74" t="s">
        <v>523</v>
      </c>
      <c r="H74" s="3" t="d">
        <v>20:00:00.0000000000031950</v>
      </c>
      <c r="I74" t="s">
        <v>503</v>
      </c>
      <c r="J74" s="1">
        <v>0.51400000000000001</v>
      </c>
      <c r="K74">
        <v>94.5</v>
      </c>
      <c r="L74">
        <v>5.5</v>
      </c>
      <c r="M74">
        <v>2.75</v>
      </c>
      <c r="N74">
        <v>3.07</v>
      </c>
      <c r="O74">
        <v>3</v>
      </c>
      <c r="Q74" s="4" t="d">
        <v>21:32:00.00000000000277125</v>
      </c>
      <c r="R74">
        <v>5</v>
      </c>
      <c r="S74">
        <v>4.0599999999999996</v>
      </c>
      <c r="T74">
        <v>12.69</v>
      </c>
      <c r="U74">
        <v>4.57</v>
      </c>
      <c r="V74">
        <v>4.57</v>
      </c>
      <c r="W74">
        <v>100</v>
      </c>
      <c r="Y74">
        <v>59</v>
      </c>
      <c r="Z74">
        <v>1.5</v>
      </c>
      <c r="AA74">
        <v>0</v>
      </c>
      <c r="AB74" s="4" t="d">
        <v>19:31:59.99999999999957625</v>
      </c>
      <c r="AC74">
        <v>6.3</v>
      </c>
      <c r="AD74">
        <v>2.1</v>
      </c>
    </row>
    <row r="75" spans="1:30" x14ac:dyDescent="0.2">
      <c r="A75" t="s">
        <v>125</v>
      </c>
      <c r="C75">
        <v>0</v>
      </c>
      <c r="D75" t="s">
        <v>57</v>
      </c>
      <c r="E75">
        <v>3900</v>
      </c>
      <c r="F75" t="s">
        <v>35</v>
      </c>
      <c r="G75" t="s">
        <v>516</v>
      </c>
      <c r="H75" s="3" t="d">
        <v>21:00:00.000</v>
      </c>
      <c r="I75" t="s">
        <v>503</v>
      </c>
      <c r="J75" s="1">
        <v>0.377</v>
      </c>
      <c r="K75">
        <v>165</v>
      </c>
      <c r="L75">
        <v>6.5</v>
      </c>
      <c r="M75">
        <v>3.25</v>
      </c>
      <c r="N75">
        <v>4.18</v>
      </c>
      <c r="O75">
        <v>1</v>
      </c>
      <c r="P75">
        <v>2</v>
      </c>
      <c r="Q75" s="4" t="d">
        <v>22:59:00.00000000000341025</v>
      </c>
      <c r="R75">
        <v>8.4</v>
      </c>
      <c r="S75">
        <v>6.34</v>
      </c>
      <c r="T75">
        <v>22.76</v>
      </c>
      <c r="U75">
        <v>10.08</v>
      </c>
      <c r="V75">
        <v>10.08</v>
      </c>
      <c r="W75">
        <v>100</v>
      </c>
      <c r="Y75">
        <v>62</v>
      </c>
      <c r="Z75">
        <v>2.6</v>
      </c>
      <c r="AA75">
        <v>0</v>
      </c>
      <c r="AB75" s="4" t="d">
        <v>21:33:00.00000000000255600</v>
      </c>
      <c r="AC75">
        <v>9.1</v>
      </c>
      <c r="AD75">
        <v>2.2999999999999998</v>
      </c>
    </row>
    <row r="76" spans="1:30" x14ac:dyDescent="0.2">
      <c r="A76" t="s">
        <v>530</v>
      </c>
      <c r="C76">
        <v>0</v>
      </c>
      <c r="D76" t="s">
        <v>346</v>
      </c>
      <c r="E76">
        <v>7800</v>
      </c>
      <c r="F76" t="s">
        <v>500</v>
      </c>
      <c r="G76" t="s">
        <v>501</v>
      </c>
      <c r="H76" s="3" t="d">
        <v>21:59:59.9999999999968050</v>
      </c>
      <c r="I76" t="s">
        <v>499</v>
      </c>
      <c r="J76" s="1">
        <v>0.44600000000000001</v>
      </c>
      <c r="K76">
        <v>-80.5</v>
      </c>
      <c r="L76">
        <v>6.5</v>
      </c>
      <c r="M76">
        <v>3.38</v>
      </c>
      <c r="N76">
        <v>3.25</v>
      </c>
      <c r="O76" t="s">
        <v>528</v>
      </c>
      <c r="T76">
        <v>0</v>
      </c>
      <c r="U76">
        <v>0</v>
      </c>
      <c r="V76">
        <v>0</v>
      </c>
      <c r="W76">
        <v>100</v>
      </c>
      <c r="Y76">
        <v>0</v>
      </c>
      <c r="Z76">
        <v>0</v>
      </c>
      <c r="AA76">
        <v>0</v>
      </c>
    </row>
    <row r="77" spans="1:30" x14ac:dyDescent="0.2">
      <c r="A77" t="s">
        <v>251</v>
      </c>
      <c r="C77">
        <v>0</v>
      </c>
      <c r="D77" t="s">
        <v>343</v>
      </c>
      <c r="E77">
        <v>2800</v>
      </c>
      <c r="F77" t="s">
        <v>35</v>
      </c>
      <c r="G77" t="s">
        <v>516</v>
      </c>
      <c r="H77" s="3" t="d">
        <v>21:00:00.000</v>
      </c>
      <c r="I77" t="s">
        <v>503</v>
      </c>
      <c r="J77" s="1">
        <v>0.377</v>
      </c>
      <c r="K77">
        <v>165</v>
      </c>
      <c r="L77">
        <v>6.5</v>
      </c>
      <c r="M77">
        <v>3.25</v>
      </c>
      <c r="N77">
        <v>4.18</v>
      </c>
      <c r="Q77" s="4" t="d">
        <v>12:48:59.99999999999914575</v>
      </c>
      <c r="R77">
        <v>5.6</v>
      </c>
      <c r="S77">
        <v>5.55</v>
      </c>
      <c r="T77">
        <v>0</v>
      </c>
      <c r="U77">
        <v>0</v>
      </c>
      <c r="V77">
        <v>0</v>
      </c>
      <c r="W77">
        <v>100</v>
      </c>
      <c r="Y77">
        <v>50</v>
      </c>
      <c r="Z77">
        <v>0</v>
      </c>
      <c r="AA77">
        <v>0</v>
      </c>
      <c r="AB77" s="4" t="d">
        <v>11:30:00.0000000000015975</v>
      </c>
      <c r="AC77">
        <v>0</v>
      </c>
    </row>
    <row r="78" spans="1:30" x14ac:dyDescent="0.2">
      <c r="A78" t="s">
        <v>386</v>
      </c>
      <c r="C78">
        <v>0</v>
      </c>
      <c r="D78" t="s">
        <v>346</v>
      </c>
      <c r="E78">
        <v>6500</v>
      </c>
      <c r="F78" t="s">
        <v>39</v>
      </c>
      <c r="G78" t="s">
        <v>504</v>
      </c>
      <c r="H78" s="3" t="d">
        <v>18:59:59.9999999999968050</v>
      </c>
      <c r="I78" t="s">
        <v>499</v>
      </c>
      <c r="J78" s="1">
        <v>0.41699999999999998</v>
      </c>
      <c r="K78">
        <v>-71.5</v>
      </c>
      <c r="L78">
        <v>6.5</v>
      </c>
      <c r="M78">
        <v>3.25</v>
      </c>
      <c r="N78">
        <v>3.2</v>
      </c>
      <c r="O78" t="s">
        <v>528</v>
      </c>
      <c r="Q78" s="5" t="d">
        <v>PT60H5M0.000S</v>
      </c>
      <c r="R78">
        <v>5.9</v>
      </c>
      <c r="S78">
        <v>5.0999999999999996</v>
      </c>
      <c r="T78">
        <v>0</v>
      </c>
      <c r="U78">
        <v>0</v>
      </c>
      <c r="V78">
        <v>0</v>
      </c>
      <c r="W78">
        <v>100</v>
      </c>
      <c r="Y78">
        <v>57</v>
      </c>
      <c r="Z78">
        <v>0</v>
      </c>
      <c r="AA78">
        <v>0</v>
      </c>
    </row>
    <row r="79" spans="1:30" x14ac:dyDescent="0.2">
      <c r="A79" t="s">
        <v>205</v>
      </c>
      <c r="C79">
        <v>0</v>
      </c>
      <c r="D79" t="s">
        <v>57</v>
      </c>
      <c r="E79">
        <v>2500</v>
      </c>
      <c r="F79" t="s">
        <v>85</v>
      </c>
      <c r="G79" t="s">
        <v>507</v>
      </c>
      <c r="H79" s="3" t="d">
        <v>21:59:59.9999999999968050</v>
      </c>
      <c r="I79" t="s">
        <v>503</v>
      </c>
      <c r="J79" s="1">
        <v>0.55400000000000005</v>
      </c>
      <c r="K79">
        <v>80.5</v>
      </c>
      <c r="L79">
        <v>6.5</v>
      </c>
      <c r="M79">
        <v>3.25</v>
      </c>
      <c r="N79">
        <v>3.38</v>
      </c>
      <c r="O79">
        <v>2</v>
      </c>
      <c r="Q79" s="4" t="d">
        <v>17:26:59.999999999997441975</v>
      </c>
      <c r="R79">
        <v>5.2</v>
      </c>
      <c r="S79">
        <v>4.4400000000000004</v>
      </c>
      <c r="T79">
        <v>15.49</v>
      </c>
      <c r="U79">
        <v>6.61</v>
      </c>
      <c r="V79">
        <v>6.61</v>
      </c>
      <c r="W79">
        <v>100</v>
      </c>
      <c r="Y79">
        <v>57</v>
      </c>
      <c r="Z79">
        <v>2.6</v>
      </c>
      <c r="AA79">
        <v>0</v>
      </c>
      <c r="AB79" s="4" t="d">
        <v>12:49:59.99999999999893725</v>
      </c>
      <c r="AC79">
        <v>0</v>
      </c>
    </row>
    <row r="80" spans="1:30" x14ac:dyDescent="0.2">
      <c r="A80" t="s">
        <v>531</v>
      </c>
      <c r="C80">
        <v>0</v>
      </c>
      <c r="D80" t="s">
        <v>346</v>
      </c>
      <c r="E80">
        <v>7700</v>
      </c>
      <c r="F80" t="s">
        <v>39</v>
      </c>
      <c r="G80" t="s">
        <v>504</v>
      </c>
      <c r="H80" s="3" t="d">
        <v>18:59:59.9999999999968050</v>
      </c>
      <c r="I80" t="s">
        <v>499</v>
      </c>
      <c r="J80" s="1">
        <v>0.41699999999999998</v>
      </c>
      <c r="K80">
        <v>-71.5</v>
      </c>
      <c r="L80">
        <v>6.5</v>
      </c>
      <c r="M80">
        <v>3.25</v>
      </c>
      <c r="N80">
        <v>3.2</v>
      </c>
      <c r="O80" t="s">
        <v>528</v>
      </c>
      <c r="Q80" s="5" t="d">
        <v>PT54H56M0.000S</v>
      </c>
      <c r="R80">
        <v>6.4</v>
      </c>
      <c r="S80">
        <v>9.7200000000000006</v>
      </c>
      <c r="T80">
        <v>0</v>
      </c>
      <c r="U80">
        <v>0</v>
      </c>
      <c r="V80">
        <v>0</v>
      </c>
      <c r="W80">
        <v>100</v>
      </c>
      <c r="Y80">
        <v>24</v>
      </c>
      <c r="Z80">
        <v>0</v>
      </c>
      <c r="AA80">
        <v>0</v>
      </c>
    </row>
    <row r="81" spans="1:30" x14ac:dyDescent="0.2">
      <c r="A81" t="s">
        <v>529</v>
      </c>
      <c r="C81">
        <v>0</v>
      </c>
      <c r="D81" t="s">
        <v>346</v>
      </c>
      <c r="E81">
        <v>8200</v>
      </c>
      <c r="F81" t="s">
        <v>52</v>
      </c>
      <c r="G81" t="s">
        <v>508</v>
      </c>
      <c r="H81" s="3" t="d">
        <v>20:00:00.0000000000031950</v>
      </c>
      <c r="I81" t="s">
        <v>499</v>
      </c>
      <c r="J81" s="1">
        <v>0.48599999999999999</v>
      </c>
      <c r="K81">
        <v>-94.5</v>
      </c>
      <c r="L81">
        <v>5.5</v>
      </c>
      <c r="M81">
        <v>3.07</v>
      </c>
      <c r="N81">
        <v>2.75</v>
      </c>
      <c r="O81" t="s">
        <v>528</v>
      </c>
      <c r="Q81" s="5" t="d">
        <v>PT58H59M0.000S</v>
      </c>
      <c r="R81">
        <v>12.6</v>
      </c>
      <c r="S81">
        <v>7.69</v>
      </c>
      <c r="T81">
        <v>0</v>
      </c>
      <c r="U81">
        <v>0</v>
      </c>
      <c r="V81">
        <v>0</v>
      </c>
      <c r="W81">
        <v>100</v>
      </c>
      <c r="Y81">
        <v>69</v>
      </c>
      <c r="Z81">
        <v>0</v>
      </c>
      <c r="AA81">
        <v>0</v>
      </c>
      <c r="AB81" s="4" t="d">
        <v>1899-12-30</v>
      </c>
      <c r="AC81">
        <v>0</v>
      </c>
    </row>
    <row r="82" spans="1:30" x14ac:dyDescent="0.2">
      <c r="A82" t="s">
        <v>201</v>
      </c>
      <c r="C82">
        <v>0</v>
      </c>
      <c r="D82" t="s">
        <v>42</v>
      </c>
      <c r="E82">
        <v>3900</v>
      </c>
      <c r="F82" t="s">
        <v>74</v>
      </c>
      <c r="G82" t="s">
        <v>514</v>
      </c>
      <c r="H82" s="3" t="d">
        <v>21:59:59.9999999999968050</v>
      </c>
      <c r="I82" t="s">
        <v>499</v>
      </c>
      <c r="J82" s="1">
        <v>0.47099999999999997</v>
      </c>
      <c r="K82">
        <v>-89</v>
      </c>
      <c r="L82">
        <v>6</v>
      </c>
      <c r="M82">
        <v>3.14</v>
      </c>
      <c r="N82">
        <v>3</v>
      </c>
      <c r="O82">
        <v>3</v>
      </c>
      <c r="P82">
        <v>1</v>
      </c>
      <c r="Q82" s="4" t="d">
        <v>19:46:59.99999999999637450</v>
      </c>
      <c r="R82">
        <v>7.1</v>
      </c>
      <c r="S82">
        <v>6.08</v>
      </c>
      <c r="T82">
        <v>20.89</v>
      </c>
      <c r="U82">
        <v>8.73</v>
      </c>
      <c r="V82">
        <v>8.73</v>
      </c>
      <c r="W82">
        <v>100</v>
      </c>
      <c r="Y82">
        <v>57</v>
      </c>
      <c r="Z82">
        <v>2.2000000000000002</v>
      </c>
      <c r="AA82">
        <v>0</v>
      </c>
      <c r="AB82" s="4" t="d">
        <v>15:53:59.99999999999808300</v>
      </c>
      <c r="AC82">
        <v>1.3</v>
      </c>
      <c r="AD82">
        <v>0.3</v>
      </c>
    </row>
    <row r="83" spans="1:30" x14ac:dyDescent="0.2">
      <c r="A83" t="s">
        <v>266</v>
      </c>
      <c r="C83">
        <v>0</v>
      </c>
      <c r="D83" t="s">
        <v>57</v>
      </c>
      <c r="E83">
        <v>3000</v>
      </c>
      <c r="F83" t="s">
        <v>505</v>
      </c>
      <c r="G83" t="s">
        <v>506</v>
      </c>
      <c r="H83" s="3" t="d">
        <v>18:59:59.9999999999968050</v>
      </c>
      <c r="I83" t="s">
        <v>499</v>
      </c>
      <c r="J83" s="1">
        <v>0.61399999999999999</v>
      </c>
      <c r="K83">
        <v>-159</v>
      </c>
      <c r="L83">
        <v>6</v>
      </c>
      <c r="M83">
        <v>3</v>
      </c>
      <c r="N83">
        <v>2.2400000000000002</v>
      </c>
      <c r="O83">
        <v>2</v>
      </c>
      <c r="P83">
        <v>2</v>
      </c>
      <c r="Q83" s="4" t="d">
        <v>19:28:00.00000000000042375</v>
      </c>
      <c r="R83">
        <v>6</v>
      </c>
      <c r="S83">
        <v>4.8600000000000003</v>
      </c>
      <c r="T83">
        <v>16.84</v>
      </c>
      <c r="U83">
        <v>7.12</v>
      </c>
      <c r="V83">
        <v>7.12</v>
      </c>
      <c r="W83">
        <v>100</v>
      </c>
      <c r="Y83">
        <v>60</v>
      </c>
      <c r="Z83">
        <v>2.4</v>
      </c>
      <c r="AA83">
        <v>0</v>
      </c>
      <c r="AB83" s="4" t="d">
        <v>20:51:00.00000000000191700</v>
      </c>
      <c r="AC83">
        <v>1.3</v>
      </c>
      <c r="AD83">
        <v>0.4</v>
      </c>
    </row>
    <row r="84" spans="1:30" x14ac:dyDescent="0.2">
      <c r="A84" t="s">
        <v>367</v>
      </c>
      <c r="C84">
        <v>0</v>
      </c>
      <c r="D84" t="s">
        <v>346</v>
      </c>
      <c r="E84">
        <v>7800</v>
      </c>
      <c r="F84" t="s">
        <v>56</v>
      </c>
      <c r="G84" t="s">
        <v>513</v>
      </c>
      <c r="H84" s="3" t="d">
        <v>21:00:00.000</v>
      </c>
      <c r="I84" t="s">
        <v>499</v>
      </c>
      <c r="J84" s="1">
        <v>0.45900000000000002</v>
      </c>
      <c r="K84">
        <v>-85</v>
      </c>
      <c r="L84">
        <v>6</v>
      </c>
      <c r="M84">
        <v>3</v>
      </c>
      <c r="N84">
        <v>2.8</v>
      </c>
      <c r="O84" t="s">
        <v>528</v>
      </c>
      <c r="Q84" s="5" t="d">
        <v>PT58H52M0.000S</v>
      </c>
      <c r="R84">
        <v>10.1</v>
      </c>
      <c r="S84">
        <v>10.31</v>
      </c>
      <c r="T84">
        <v>0</v>
      </c>
      <c r="U84">
        <v>0</v>
      </c>
      <c r="V84">
        <v>0</v>
      </c>
      <c r="W84">
        <v>100</v>
      </c>
      <c r="Y84">
        <v>49</v>
      </c>
      <c r="Z84">
        <v>0</v>
      </c>
      <c r="AA84">
        <v>0</v>
      </c>
      <c r="AB84" s="4" t="d">
        <v>1899-12-30</v>
      </c>
      <c r="AC84">
        <v>0</v>
      </c>
    </row>
    <row r="85" spans="1:30" x14ac:dyDescent="0.2">
      <c r="A85" t="s">
        <v>78</v>
      </c>
      <c r="C85">
        <v>0</v>
      </c>
      <c r="D85" t="s">
        <v>343</v>
      </c>
      <c r="E85">
        <v>3700</v>
      </c>
      <c r="F85" t="s">
        <v>64</v>
      </c>
      <c r="G85" t="s">
        <v>517</v>
      </c>
      <c r="H85" s="3" t="d">
        <v>21:59:59.9999999999968050</v>
      </c>
      <c r="I85" t="s">
        <v>503</v>
      </c>
      <c r="J85" s="1">
        <v>0.52900000000000003</v>
      </c>
      <c r="K85">
        <v>89</v>
      </c>
      <c r="L85">
        <v>6</v>
      </c>
      <c r="M85">
        <v>3</v>
      </c>
      <c r="N85">
        <v>3.14</v>
      </c>
      <c r="O85">
        <v>2</v>
      </c>
      <c r="P85">
        <v>1</v>
      </c>
      <c r="Q85" s="4" t="d">
        <v>17:01:00.00000000000298650</v>
      </c>
      <c r="R85">
        <v>7.5</v>
      </c>
      <c r="S85">
        <v>7.08</v>
      </c>
      <c r="T85">
        <v>20.57</v>
      </c>
      <c r="U85">
        <v>6.41</v>
      </c>
      <c r="V85">
        <v>6.41</v>
      </c>
      <c r="W85">
        <v>100</v>
      </c>
      <c r="Y85">
        <v>53</v>
      </c>
      <c r="Z85">
        <v>1.7</v>
      </c>
      <c r="AA85">
        <v>0</v>
      </c>
      <c r="AB85" s="4" t="d">
        <v>16:47:59.99999999999616600</v>
      </c>
      <c r="AC85">
        <v>10</v>
      </c>
      <c r="AD85">
        <v>2.7</v>
      </c>
    </row>
    <row r="86" spans="1:30" x14ac:dyDescent="0.2">
      <c r="A86" t="s">
        <v>565</v>
      </c>
      <c r="C86">
        <v>0</v>
      </c>
      <c r="D86" t="s">
        <v>57</v>
      </c>
      <c r="E86">
        <v>2500</v>
      </c>
      <c r="F86" t="s">
        <v>61</v>
      </c>
      <c r="G86" t="s">
        <v>502</v>
      </c>
      <c r="H86" s="3" t="d">
        <v>18:59:59.9999999999968050</v>
      </c>
      <c r="I86" t="s">
        <v>503</v>
      </c>
      <c r="J86" s="1">
        <v>0.58299999999999996</v>
      </c>
      <c r="K86">
        <v>71.5</v>
      </c>
      <c r="L86">
        <v>6.5</v>
      </c>
      <c r="M86">
        <v>3.2</v>
      </c>
      <c r="N86">
        <v>3.25</v>
      </c>
      <c r="Q86" s="4" t="d">
        <v>17:58:00.00000000000042375</v>
      </c>
      <c r="R86">
        <v>4.7</v>
      </c>
      <c r="S86">
        <v>3.02</v>
      </c>
      <c r="T86">
        <v>0</v>
      </c>
      <c r="U86">
        <v>0</v>
      </c>
      <c r="V86">
        <v>0</v>
      </c>
      <c r="W86">
        <v>100</v>
      </c>
      <c r="Y86">
        <v>68</v>
      </c>
      <c r="Z86">
        <v>0</v>
      </c>
      <c r="AA86">
        <v>0</v>
      </c>
    </row>
    <row r="87" spans="1:30" x14ac:dyDescent="0.2">
      <c r="A87" t="s">
        <v>224</v>
      </c>
      <c r="C87">
        <v>0</v>
      </c>
      <c r="D87" t="s">
        <v>42</v>
      </c>
      <c r="E87">
        <v>4900</v>
      </c>
      <c r="F87" t="s">
        <v>35</v>
      </c>
      <c r="G87" t="s">
        <v>516</v>
      </c>
      <c r="H87" s="3" t="d">
        <v>21:00:00.000</v>
      </c>
      <c r="I87" t="s">
        <v>503</v>
      </c>
      <c r="J87" s="1">
        <v>0.377</v>
      </c>
      <c r="K87">
        <v>165</v>
      </c>
      <c r="L87">
        <v>6.5</v>
      </c>
      <c r="M87">
        <v>3.25</v>
      </c>
      <c r="N87">
        <v>4.18</v>
      </c>
      <c r="O87">
        <v>1</v>
      </c>
      <c r="P87">
        <v>1</v>
      </c>
      <c r="Q87" s="4" t="d">
        <v>17:35:59.99999999999552025</v>
      </c>
      <c r="R87">
        <v>8.4</v>
      </c>
      <c r="S87">
        <v>7.24</v>
      </c>
      <c r="T87">
        <v>24.89</v>
      </c>
      <c r="U87">
        <v>10.41</v>
      </c>
      <c r="V87">
        <v>10.41</v>
      </c>
      <c r="W87">
        <v>100</v>
      </c>
      <c r="Y87">
        <v>57</v>
      </c>
      <c r="Z87">
        <v>2.1</v>
      </c>
      <c r="AA87">
        <v>0</v>
      </c>
      <c r="AB87" s="4" t="d">
        <v>20:48:00.00000000000255600</v>
      </c>
      <c r="AC87">
        <v>5.8</v>
      </c>
      <c r="AD87">
        <v>1.2</v>
      </c>
    </row>
    <row r="88" spans="1:30" x14ac:dyDescent="0.2">
      <c r="A88" t="s">
        <v>40</v>
      </c>
      <c r="C88">
        <v>0</v>
      </c>
      <c r="D88" t="s">
        <v>42</v>
      </c>
      <c r="E88">
        <v>3100</v>
      </c>
      <c r="F88" t="s">
        <v>509</v>
      </c>
      <c r="G88" t="s">
        <v>510</v>
      </c>
      <c r="H88" s="3" t="d">
        <v>21:59:59.9999999999968050</v>
      </c>
      <c r="I88" t="s">
        <v>499</v>
      </c>
      <c r="J88" s="1">
        <v>0.47199999999999998</v>
      </c>
      <c r="K88">
        <v>-89.5</v>
      </c>
      <c r="L88">
        <v>6</v>
      </c>
      <c r="M88">
        <v>3</v>
      </c>
      <c r="N88">
        <v>2.77</v>
      </c>
      <c r="O88">
        <v>3</v>
      </c>
      <c r="P88">
        <v>2</v>
      </c>
      <c r="Q88" s="4" t="d">
        <v>13:40:59.9999999999976525</v>
      </c>
      <c r="R88">
        <v>6</v>
      </c>
      <c r="S88">
        <v>5.9</v>
      </c>
      <c r="T88">
        <v>18.43</v>
      </c>
      <c r="U88">
        <v>6.63</v>
      </c>
      <c r="V88">
        <v>6.63</v>
      </c>
      <c r="W88">
        <v>100</v>
      </c>
      <c r="Y88">
        <v>51</v>
      </c>
      <c r="Z88">
        <v>2.1</v>
      </c>
      <c r="AA88">
        <v>0</v>
      </c>
      <c r="AB88" s="4" t="d">
        <v>12:28:00.00000000000362550</v>
      </c>
      <c r="AC88">
        <v>33.6</v>
      </c>
      <c r="AD88">
        <v>10.8</v>
      </c>
    </row>
    <row r="89" spans="1:30" x14ac:dyDescent="0.2">
      <c r="A89" t="s">
        <v>446</v>
      </c>
      <c r="C89">
        <v>0</v>
      </c>
      <c r="D89" t="s">
        <v>343</v>
      </c>
      <c r="E89">
        <v>2500</v>
      </c>
      <c r="F89" t="s">
        <v>39</v>
      </c>
      <c r="G89" t="s">
        <v>504</v>
      </c>
      <c r="H89" s="3" t="d">
        <v>18:59:59.9999999999968050</v>
      </c>
      <c r="I89" t="s">
        <v>499</v>
      </c>
      <c r="J89" s="1">
        <v>0.41699999999999998</v>
      </c>
      <c r="K89">
        <v>-71.5</v>
      </c>
      <c r="L89">
        <v>6.5</v>
      </c>
      <c r="M89">
        <v>3.25</v>
      </c>
      <c r="N89">
        <v>3.2</v>
      </c>
      <c r="O89">
        <v>4</v>
      </c>
      <c r="Q89" s="4" t="d">
        <v>09:39:00.00000000000127800</v>
      </c>
      <c r="R89">
        <v>2.2999999999999998</v>
      </c>
      <c r="S89">
        <v>3.65</v>
      </c>
      <c r="T89">
        <v>9.86</v>
      </c>
      <c r="U89">
        <v>2.56</v>
      </c>
      <c r="V89">
        <v>2.56</v>
      </c>
      <c r="W89">
        <v>100</v>
      </c>
      <c r="Y89">
        <v>21</v>
      </c>
      <c r="Z89">
        <v>1</v>
      </c>
      <c r="AA89">
        <v>0</v>
      </c>
    </row>
    <row r="90" spans="1:30" x14ac:dyDescent="0.2">
      <c r="A90" t="s">
        <v>180</v>
      </c>
      <c r="C90">
        <v>0</v>
      </c>
      <c r="D90" t="s">
        <v>343</v>
      </c>
      <c r="E90">
        <v>2500</v>
      </c>
      <c r="F90" t="s">
        <v>52</v>
      </c>
      <c r="G90" t="s">
        <v>508</v>
      </c>
      <c r="H90" s="3" t="d">
        <v>20:00:00.0000000000031950</v>
      </c>
      <c r="I90" t="s">
        <v>499</v>
      </c>
      <c r="J90" s="1">
        <v>0.48599999999999999</v>
      </c>
      <c r="K90">
        <v>-94.5</v>
      </c>
      <c r="L90">
        <v>5.5</v>
      </c>
      <c r="M90">
        <v>3.07</v>
      </c>
      <c r="N90">
        <v>2.75</v>
      </c>
      <c r="O90">
        <v>4</v>
      </c>
      <c r="Q90" s="4" t="d">
        <v>11:37:59.999999999999893725</v>
      </c>
      <c r="R90">
        <v>2.9</v>
      </c>
      <c r="S90">
        <v>3.68</v>
      </c>
      <c r="T90">
        <v>10.97</v>
      </c>
      <c r="U90">
        <v>3.61</v>
      </c>
      <c r="V90">
        <v>3.61</v>
      </c>
      <c r="W90">
        <v>100</v>
      </c>
      <c r="Y90">
        <v>37</v>
      </c>
      <c r="Z90">
        <v>1.4</v>
      </c>
      <c r="AA90">
        <v>0</v>
      </c>
      <c r="AB90" s="4" t="d">
        <v>10:37:59.99999999999829150</v>
      </c>
      <c r="AC90">
        <v>0</v>
      </c>
    </row>
    <row r="91" spans="1:30" x14ac:dyDescent="0.2">
      <c r="A91" t="s">
        <v>71</v>
      </c>
      <c r="C91">
        <v>0</v>
      </c>
      <c r="D91" t="s">
        <v>343</v>
      </c>
      <c r="E91">
        <v>3500</v>
      </c>
      <c r="F91" t="s">
        <v>500</v>
      </c>
      <c r="G91" t="s">
        <v>501</v>
      </c>
      <c r="H91" s="3" t="d">
        <v>21:59:59.9999999999968050</v>
      </c>
      <c r="I91" t="s">
        <v>499</v>
      </c>
      <c r="J91" s="1">
        <v>0.44600000000000001</v>
      </c>
      <c r="K91">
        <v>-80.5</v>
      </c>
      <c r="L91">
        <v>6.5</v>
      </c>
      <c r="M91">
        <v>3.38</v>
      </c>
      <c r="N91">
        <v>3.25</v>
      </c>
      <c r="O91">
        <v>1</v>
      </c>
      <c r="Q91" s="4" t="d">
        <v>16:26:00.00000000000085425</v>
      </c>
      <c r="R91">
        <v>6.6</v>
      </c>
      <c r="S91">
        <v>5.61</v>
      </c>
      <c r="T91">
        <v>21.68</v>
      </c>
      <c r="U91">
        <v>10.46</v>
      </c>
      <c r="V91">
        <v>10.46</v>
      </c>
      <c r="W91">
        <v>100</v>
      </c>
      <c r="Y91">
        <v>58</v>
      </c>
      <c r="Z91">
        <v>3</v>
      </c>
      <c r="AA91">
        <v>0</v>
      </c>
      <c r="AB91" s="4" t="d">
        <v>19:13:00.00000000000362550</v>
      </c>
      <c r="AC91">
        <v>10</v>
      </c>
      <c r="AD91">
        <v>2.9</v>
      </c>
    </row>
    <row r="92" spans="1:30" x14ac:dyDescent="0.2">
      <c r="A92" t="s">
        <v>442</v>
      </c>
      <c r="C92">
        <v>0</v>
      </c>
      <c r="D92" t="s">
        <v>42</v>
      </c>
      <c r="E92">
        <v>2500</v>
      </c>
      <c r="F92" t="s">
        <v>148</v>
      </c>
      <c r="G92" t="s">
        <v>512</v>
      </c>
      <c r="H92" s="3" t="d">
        <v>18:59:59.9999999999968050</v>
      </c>
      <c r="I92" t="s">
        <v>503</v>
      </c>
      <c r="J92" s="1">
        <v>0.38600000000000001</v>
      </c>
      <c r="K92">
        <v>159</v>
      </c>
      <c r="L92">
        <v>6</v>
      </c>
      <c r="M92">
        <v>2.2400000000000002</v>
      </c>
      <c r="N92">
        <v>3</v>
      </c>
      <c r="Q92" s="4" t="d">
        <v>11:56:00.00000000000085425</v>
      </c>
      <c r="R92">
        <v>3.3</v>
      </c>
      <c r="S92">
        <v>3.35</v>
      </c>
      <c r="T92">
        <v>0</v>
      </c>
      <c r="U92">
        <v>0</v>
      </c>
      <c r="V92">
        <v>0</v>
      </c>
      <c r="W92">
        <v>100</v>
      </c>
      <c r="Y92">
        <v>49</v>
      </c>
      <c r="Z92">
        <v>0</v>
      </c>
      <c r="AA92">
        <v>0</v>
      </c>
    </row>
    <row r="93" spans="1:30" x14ac:dyDescent="0.2">
      <c r="A93" t="s">
        <v>199</v>
      </c>
      <c r="C93">
        <v>0</v>
      </c>
      <c r="D93" t="s">
        <v>57</v>
      </c>
      <c r="E93">
        <v>3800</v>
      </c>
      <c r="F93" t="s">
        <v>45</v>
      </c>
      <c r="G93" t="s">
        <v>523</v>
      </c>
      <c r="H93" s="3" t="d">
        <v>20:00:00.0000000000031950</v>
      </c>
      <c r="I93" t="s">
        <v>503</v>
      </c>
      <c r="J93" s="1">
        <v>0.51400000000000001</v>
      </c>
      <c r="K93">
        <v>94.5</v>
      </c>
      <c r="L93">
        <v>5.5</v>
      </c>
      <c r="M93">
        <v>2.75</v>
      </c>
      <c r="N93">
        <v>3.07</v>
      </c>
      <c r="O93">
        <v>1</v>
      </c>
      <c r="Q93" s="4" t="d">
        <v>22:29:00.00000000000021525</v>
      </c>
      <c r="R93">
        <v>7.8</v>
      </c>
      <c r="S93">
        <v>4.42</v>
      </c>
      <c r="T93">
        <v>16.66</v>
      </c>
      <c r="U93">
        <v>7.82</v>
      </c>
      <c r="V93">
        <v>7.82</v>
      </c>
      <c r="W93">
        <v>100</v>
      </c>
      <c r="Y93">
        <v>72</v>
      </c>
      <c r="Z93">
        <v>2.1</v>
      </c>
      <c r="AA93">
        <v>0</v>
      </c>
      <c r="AB93" s="4" t="d">
        <v>21:52:59.99999999999829150</v>
      </c>
      <c r="AC93">
        <v>4.0999999999999996</v>
      </c>
      <c r="AD93">
        <v>1.1000000000000001</v>
      </c>
    </row>
    <row r="94" spans="1:30" x14ac:dyDescent="0.2">
      <c r="A94" t="s">
        <v>573</v>
      </c>
      <c r="C94">
        <v>0</v>
      </c>
      <c r="D94" t="s">
        <v>42</v>
      </c>
      <c r="E94">
        <v>2500</v>
      </c>
      <c r="F94" t="s">
        <v>39</v>
      </c>
      <c r="G94" t="s">
        <v>504</v>
      </c>
      <c r="H94" s="3" t="d">
        <v>18:59:59.9999999999968050</v>
      </c>
      <c r="I94" t="s">
        <v>499</v>
      </c>
      <c r="J94" s="1">
        <v>0.41699999999999998</v>
      </c>
      <c r="K94">
        <v>-71.5</v>
      </c>
      <c r="L94">
        <v>6.5</v>
      </c>
      <c r="M94">
        <v>3.25</v>
      </c>
      <c r="N94">
        <v>3.2</v>
      </c>
      <c r="Q94" s="4" t="d">
        <v>11:46:59.99999999999797200</v>
      </c>
      <c r="R94">
        <v>3.4</v>
      </c>
      <c r="S94">
        <v>3.97</v>
      </c>
      <c r="T94">
        <v>0</v>
      </c>
      <c r="U94">
        <v>0</v>
      </c>
      <c r="V94">
        <v>0</v>
      </c>
      <c r="W94">
        <v>100</v>
      </c>
      <c r="Y94">
        <v>42</v>
      </c>
      <c r="Z94">
        <v>0</v>
      </c>
      <c r="AA94">
        <v>0</v>
      </c>
    </row>
    <row r="95" spans="1:30" x14ac:dyDescent="0.2">
      <c r="A95" t="s">
        <v>423</v>
      </c>
      <c r="C95">
        <v>0</v>
      </c>
      <c r="D95" t="s">
        <v>57</v>
      </c>
      <c r="E95">
        <v>2500</v>
      </c>
      <c r="F95" t="s">
        <v>509</v>
      </c>
      <c r="G95" t="s">
        <v>510</v>
      </c>
      <c r="H95" s="3" t="d">
        <v>21:59:59.9999999999968050</v>
      </c>
      <c r="I95" t="s">
        <v>499</v>
      </c>
      <c r="J95" s="1">
        <v>0.47199999999999998</v>
      </c>
      <c r="K95">
        <v>-89.5</v>
      </c>
      <c r="L95">
        <v>6</v>
      </c>
      <c r="M95">
        <v>3</v>
      </c>
      <c r="N95">
        <v>2.77</v>
      </c>
      <c r="Q95" s="4" t="d">
        <v>12:10:59.9999999999976525</v>
      </c>
      <c r="R95">
        <v>2.5</v>
      </c>
      <c r="S95">
        <v>2.23</v>
      </c>
      <c r="T95">
        <v>0</v>
      </c>
      <c r="U95">
        <v>0</v>
      </c>
      <c r="V95">
        <v>0</v>
      </c>
      <c r="W95">
        <v>100</v>
      </c>
      <c r="Y95">
        <v>55</v>
      </c>
      <c r="Z95">
        <v>0</v>
      </c>
      <c r="AA95">
        <v>0</v>
      </c>
    </row>
    <row r="96" spans="1:30" x14ac:dyDescent="0.2">
      <c r="A96" t="s">
        <v>326</v>
      </c>
      <c r="C96">
        <v>0</v>
      </c>
      <c r="D96" t="s">
        <v>42</v>
      </c>
      <c r="E96">
        <v>7800</v>
      </c>
      <c r="F96" t="s">
        <v>148</v>
      </c>
      <c r="G96" t="s">
        <v>512</v>
      </c>
      <c r="H96" s="3" t="d">
        <v>18:59:59.9999999999968050</v>
      </c>
      <c r="I96" t="s">
        <v>503</v>
      </c>
      <c r="J96" s="1">
        <v>0.38600000000000001</v>
      </c>
      <c r="K96">
        <v>159</v>
      </c>
      <c r="L96">
        <v>6</v>
      </c>
      <c r="M96">
        <v>2.2400000000000002</v>
      </c>
      <c r="N96">
        <v>3</v>
      </c>
      <c r="O96">
        <v>1</v>
      </c>
      <c r="P96">
        <v>1</v>
      </c>
      <c r="Q96" s="4" t="d">
        <v>20:54:00.00000000000127800</v>
      </c>
      <c r="R96">
        <v>15.3</v>
      </c>
      <c r="S96">
        <v>11.02</v>
      </c>
      <c r="T96">
        <v>35.86</v>
      </c>
      <c r="U96">
        <v>13.82</v>
      </c>
      <c r="V96">
        <v>13.82</v>
      </c>
      <c r="W96">
        <v>100</v>
      </c>
      <c r="Y96">
        <v>64</v>
      </c>
      <c r="Z96">
        <v>1.8</v>
      </c>
      <c r="AA96">
        <v>0</v>
      </c>
      <c r="AB96" s="4" t="d">
        <v>21:36:00.00000000000191700</v>
      </c>
      <c r="AC96">
        <v>1.3</v>
      </c>
      <c r="AD96">
        <v>0.2</v>
      </c>
    </row>
    <row r="97" spans="1:30" x14ac:dyDescent="0.2">
      <c r="A97" t="s">
        <v>94</v>
      </c>
      <c r="C97">
        <v>0</v>
      </c>
      <c r="D97" t="s">
        <v>343</v>
      </c>
      <c r="E97">
        <v>2800</v>
      </c>
      <c r="F97" t="s">
        <v>509</v>
      </c>
      <c r="G97" t="s">
        <v>510</v>
      </c>
      <c r="H97" s="3" t="d">
        <v>21:59:59.9999999999968050</v>
      </c>
      <c r="I97" t="s">
        <v>499</v>
      </c>
      <c r="J97" s="1">
        <v>0.47199999999999998</v>
      </c>
      <c r="K97">
        <v>-89.5</v>
      </c>
      <c r="L97">
        <v>6</v>
      </c>
      <c r="M97">
        <v>3</v>
      </c>
      <c r="N97">
        <v>2.77</v>
      </c>
      <c r="O97">
        <v>4</v>
      </c>
      <c r="P97">
        <v>1</v>
      </c>
      <c r="Q97" s="4" t="d">
        <v>16:21:00.00000000000191700</v>
      </c>
      <c r="R97">
        <v>5.8</v>
      </c>
      <c r="S97">
        <v>5.91</v>
      </c>
      <c r="T97">
        <v>17.93</v>
      </c>
      <c r="U97">
        <v>6.11</v>
      </c>
      <c r="V97">
        <v>6.11</v>
      </c>
      <c r="W97">
        <v>100</v>
      </c>
      <c r="Y97">
        <v>49</v>
      </c>
      <c r="Z97">
        <v>2.2000000000000002</v>
      </c>
      <c r="AA97">
        <v>0</v>
      </c>
      <c r="AB97" s="4" t="d">
        <v>18:37:00.00000000000170850</v>
      </c>
      <c r="AC97">
        <v>11.3</v>
      </c>
      <c r="AD97">
        <v>4</v>
      </c>
    </row>
    <row r="98" spans="1:30" x14ac:dyDescent="0.2">
      <c r="A98" t="s">
        <v>287</v>
      </c>
      <c r="C98">
        <v>0</v>
      </c>
      <c r="D98" t="s">
        <v>343</v>
      </c>
      <c r="E98">
        <v>4500</v>
      </c>
      <c r="F98" t="s">
        <v>56</v>
      </c>
      <c r="G98" t="s">
        <v>513</v>
      </c>
      <c r="H98" s="3" t="d">
        <v>21:00:00.000</v>
      </c>
      <c r="I98" t="s">
        <v>499</v>
      </c>
      <c r="J98" s="1">
        <v>0.45900000000000002</v>
      </c>
      <c r="K98">
        <v>-85</v>
      </c>
      <c r="L98">
        <v>6</v>
      </c>
      <c r="M98">
        <v>3</v>
      </c>
      <c r="N98">
        <v>2.8</v>
      </c>
      <c r="O98">
        <v>1</v>
      </c>
      <c r="P98">
        <v>2</v>
      </c>
      <c r="Q98" s="4" t="d">
        <v>17:07:00.00000000000170850</v>
      </c>
      <c r="R98">
        <v>7.3</v>
      </c>
      <c r="S98">
        <v>6.97</v>
      </c>
      <c r="T98">
        <v>22.92</v>
      </c>
      <c r="U98">
        <v>8.98</v>
      </c>
      <c r="V98">
        <v>8.98</v>
      </c>
      <c r="W98">
        <v>100</v>
      </c>
      <c r="Y98">
        <v>52</v>
      </c>
      <c r="Z98">
        <v>2</v>
      </c>
      <c r="AA98">
        <v>0</v>
      </c>
      <c r="AB98" s="4" t="d">
        <v>12:30:00.0000000000031950</v>
      </c>
      <c r="AC98">
        <v>1.5</v>
      </c>
      <c r="AD98">
        <v>0.3</v>
      </c>
    </row>
    <row r="99" spans="1:30" x14ac:dyDescent="0.2">
      <c r="A99" t="s">
        <v>191</v>
      </c>
      <c r="C99">
        <v>0</v>
      </c>
      <c r="D99" t="s">
        <v>57</v>
      </c>
      <c r="E99">
        <v>2700</v>
      </c>
      <c r="F99" t="s">
        <v>148</v>
      </c>
      <c r="G99" t="s">
        <v>512</v>
      </c>
      <c r="H99" s="3" t="d">
        <v>18:59:59.9999999999968050</v>
      </c>
      <c r="I99" t="s">
        <v>503</v>
      </c>
      <c r="J99" s="1">
        <v>0.38600000000000001</v>
      </c>
      <c r="K99">
        <v>159</v>
      </c>
      <c r="L99">
        <v>6</v>
      </c>
      <c r="M99">
        <v>2.2400000000000002</v>
      </c>
      <c r="N99">
        <v>3</v>
      </c>
      <c r="O99">
        <v>3</v>
      </c>
      <c r="Q99" s="4" t="d">
        <v>16:11:00.00000000000404925</v>
      </c>
      <c r="R99">
        <v>4.5999999999999996</v>
      </c>
      <c r="S99">
        <v>4.8</v>
      </c>
      <c r="T99">
        <v>14.25</v>
      </c>
      <c r="U99">
        <v>4.6500000000000004</v>
      </c>
      <c r="V99">
        <v>4.6500000000000004</v>
      </c>
      <c r="W99">
        <v>100</v>
      </c>
      <c r="Y99">
        <v>48</v>
      </c>
      <c r="Z99">
        <v>1.7</v>
      </c>
      <c r="AA99">
        <v>0</v>
      </c>
      <c r="AB99" s="4" t="d">
        <v>17:33:59.99999999999595075</v>
      </c>
      <c r="AC99">
        <v>6.9</v>
      </c>
      <c r="AD99">
        <v>2.6</v>
      </c>
    </row>
    <row r="100" spans="1:30" x14ac:dyDescent="0.2">
      <c r="A100" t="s">
        <v>137</v>
      </c>
      <c r="C100">
        <v>0</v>
      </c>
      <c r="D100" t="s">
        <v>343</v>
      </c>
      <c r="E100">
        <v>3400</v>
      </c>
      <c r="F100" t="s">
        <v>117</v>
      </c>
      <c r="G100" t="s">
        <v>518</v>
      </c>
      <c r="H100" s="3" t="d">
        <v>21:00:00.000</v>
      </c>
      <c r="I100" t="s">
        <v>503</v>
      </c>
      <c r="J100" s="1">
        <v>0.54100000000000004</v>
      </c>
      <c r="K100">
        <v>85</v>
      </c>
      <c r="L100">
        <v>6</v>
      </c>
      <c r="M100">
        <v>2.8</v>
      </c>
      <c r="N100">
        <v>3</v>
      </c>
      <c r="O100">
        <v>1</v>
      </c>
      <c r="P100">
        <v>2</v>
      </c>
      <c r="Q100" s="4" t="d">
        <v>14:27:59.99999999999722875</v>
      </c>
      <c r="R100">
        <v>5.0999999999999996</v>
      </c>
      <c r="S100">
        <v>5.36</v>
      </c>
      <c r="T100">
        <v>17.84</v>
      </c>
      <c r="U100">
        <v>7.12</v>
      </c>
      <c r="V100">
        <v>7.12</v>
      </c>
      <c r="W100">
        <v>100</v>
      </c>
      <c r="Y100">
        <v>47</v>
      </c>
      <c r="Z100">
        <v>2.1</v>
      </c>
      <c r="AA100">
        <v>0</v>
      </c>
      <c r="AB100" s="4" t="d">
        <v>14:23:59.99999999999808300</v>
      </c>
      <c r="AC100">
        <v>6.3</v>
      </c>
      <c r="AD100">
        <v>1.9</v>
      </c>
    </row>
    <row r="101" spans="1:30" x14ac:dyDescent="0.2">
      <c r="A101" t="s">
        <v>242</v>
      </c>
      <c r="C101">
        <v>0</v>
      </c>
      <c r="D101" t="s">
        <v>343</v>
      </c>
      <c r="E101">
        <v>3700</v>
      </c>
      <c r="F101" t="s">
        <v>59</v>
      </c>
      <c r="G101" t="s">
        <v>521</v>
      </c>
      <c r="H101" s="3" t="d">
        <v>21:59:59.9999999999968050</v>
      </c>
      <c r="I101" t="s">
        <v>503</v>
      </c>
      <c r="J101" s="1">
        <v>0.52800000000000002</v>
      </c>
      <c r="K101">
        <v>89.5</v>
      </c>
      <c r="L101">
        <v>6</v>
      </c>
      <c r="M101">
        <v>2.77</v>
      </c>
      <c r="N101">
        <v>3</v>
      </c>
      <c r="O101">
        <v>3</v>
      </c>
      <c r="P101">
        <v>2</v>
      </c>
      <c r="Q101" s="4" t="d">
        <v>19:21:00.00000000000191700</v>
      </c>
      <c r="R101">
        <v>7.9</v>
      </c>
      <c r="S101">
        <v>6.12</v>
      </c>
      <c r="T101">
        <v>18.920000000000002</v>
      </c>
      <c r="U101">
        <v>6.68</v>
      </c>
      <c r="V101">
        <v>6.68</v>
      </c>
      <c r="W101">
        <v>100</v>
      </c>
      <c r="Y101">
        <v>61</v>
      </c>
      <c r="Z101">
        <v>1.8</v>
      </c>
      <c r="AA101">
        <v>0</v>
      </c>
      <c r="AB101" s="4" t="d">
        <v>15:29:00.00000000000341025</v>
      </c>
      <c r="AC101">
        <v>0</v>
      </c>
    </row>
    <row r="102" spans="1:30" x14ac:dyDescent="0.2">
      <c r="A102" t="s">
        <v>447</v>
      </c>
      <c r="C102">
        <v>0</v>
      </c>
      <c r="D102" t="s">
        <v>343</v>
      </c>
      <c r="E102">
        <v>2500</v>
      </c>
      <c r="F102" t="s">
        <v>505</v>
      </c>
      <c r="G102" t="s">
        <v>506</v>
      </c>
      <c r="H102" s="3" t="d">
        <v>18:59:59.9999999999968050</v>
      </c>
      <c r="I102" t="s">
        <v>499</v>
      </c>
      <c r="J102" s="1">
        <v>0.61399999999999999</v>
      </c>
      <c r="K102">
        <v>-159</v>
      </c>
      <c r="L102">
        <v>6</v>
      </c>
      <c r="M102">
        <v>3</v>
      </c>
      <c r="N102">
        <v>2.2400000000000002</v>
      </c>
      <c r="Q102" s="4" t="d">
        <v>10:52:59.999999999999893725</v>
      </c>
      <c r="R102">
        <v>4.4000000000000004</v>
      </c>
      <c r="S102">
        <v>3.68</v>
      </c>
      <c r="T102">
        <v>0</v>
      </c>
      <c r="U102">
        <v>0</v>
      </c>
      <c r="V102">
        <v>0</v>
      </c>
      <c r="W102">
        <v>100</v>
      </c>
      <c r="Y102">
        <v>58</v>
      </c>
      <c r="Z102">
        <v>0</v>
      </c>
      <c r="AA102">
        <v>0</v>
      </c>
    </row>
    <row r="103" spans="1:30" x14ac:dyDescent="0.2">
      <c r="A103" t="s">
        <v>622</v>
      </c>
      <c r="C103">
        <v>0</v>
      </c>
      <c r="D103" t="s">
        <v>343</v>
      </c>
      <c r="E103">
        <v>2500</v>
      </c>
      <c r="F103" t="s">
        <v>85</v>
      </c>
      <c r="G103" t="s">
        <v>507</v>
      </c>
      <c r="H103" s="3" t="d">
        <v>21:59:59.9999999999968050</v>
      </c>
      <c r="I103" t="s">
        <v>503</v>
      </c>
      <c r="J103" s="1">
        <v>0.55400000000000005</v>
      </c>
      <c r="K103">
        <v>80.5</v>
      </c>
      <c r="L103">
        <v>6.5</v>
      </c>
      <c r="M103">
        <v>3.25</v>
      </c>
      <c r="N103">
        <v>3.38</v>
      </c>
      <c r="Q103" s="4" t="d">
        <v>14:39:00.00000000000447975</v>
      </c>
      <c r="R103">
        <v>4.3</v>
      </c>
      <c r="S103">
        <v>3.64</v>
      </c>
      <c r="T103">
        <v>0</v>
      </c>
      <c r="U103">
        <v>0</v>
      </c>
      <c r="V103">
        <v>0</v>
      </c>
      <c r="W103">
        <v>100</v>
      </c>
      <c r="Y103">
        <v>58</v>
      </c>
      <c r="Z103">
        <v>0</v>
      </c>
      <c r="AA103">
        <v>0</v>
      </c>
    </row>
    <row r="104" spans="1:30" x14ac:dyDescent="0.2">
      <c r="A104" t="s">
        <v>463</v>
      </c>
      <c r="C104">
        <v>0</v>
      </c>
      <c r="D104" t="s">
        <v>343</v>
      </c>
      <c r="E104">
        <v>2500</v>
      </c>
      <c r="F104" t="s">
        <v>505</v>
      </c>
      <c r="G104" t="s">
        <v>506</v>
      </c>
      <c r="H104" s="3" t="d">
        <v>18:59:59.9999999999968050</v>
      </c>
      <c r="I104" t="s">
        <v>499</v>
      </c>
      <c r="J104" s="1">
        <v>0.61399999999999999</v>
      </c>
      <c r="K104">
        <v>-159</v>
      </c>
      <c r="L104">
        <v>6</v>
      </c>
      <c r="M104">
        <v>3</v>
      </c>
      <c r="N104">
        <v>2.2400000000000002</v>
      </c>
      <c r="Q104" s="4" t="d">
        <v>05:57:00.00000000000063900</v>
      </c>
      <c r="R104">
        <v>1.6</v>
      </c>
      <c r="S104">
        <v>2.38</v>
      </c>
      <c r="T104">
        <v>0</v>
      </c>
      <c r="U104">
        <v>0</v>
      </c>
      <c r="V104">
        <v>0</v>
      </c>
      <c r="W104">
        <v>100</v>
      </c>
      <c r="Y104">
        <v>26</v>
      </c>
      <c r="Z104">
        <v>0</v>
      </c>
      <c r="AA104">
        <v>0</v>
      </c>
    </row>
    <row r="105" spans="1:30" x14ac:dyDescent="0.2">
      <c r="A105" t="s">
        <v>63</v>
      </c>
      <c r="C105">
        <v>0</v>
      </c>
      <c r="D105" t="s">
        <v>343</v>
      </c>
      <c r="E105">
        <v>6800</v>
      </c>
      <c r="F105" t="s">
        <v>64</v>
      </c>
      <c r="G105" t="s">
        <v>517</v>
      </c>
      <c r="H105" s="3" t="d">
        <v>21:59:59.9999999999968050</v>
      </c>
      <c r="I105" t="s">
        <v>503</v>
      </c>
      <c r="J105" s="1">
        <v>0.52900000000000003</v>
      </c>
      <c r="K105">
        <v>89</v>
      </c>
      <c r="L105">
        <v>6</v>
      </c>
      <c r="M105">
        <v>3</v>
      </c>
      <c r="N105">
        <v>3.14</v>
      </c>
      <c r="O105">
        <v>3</v>
      </c>
      <c r="P105">
        <v>1</v>
      </c>
      <c r="Q105" s="4" t="d">
        <v>17:19:59.99999999999893725</v>
      </c>
      <c r="R105">
        <v>13.1</v>
      </c>
      <c r="S105">
        <v>9.7200000000000006</v>
      </c>
      <c r="T105">
        <v>31.25</v>
      </c>
      <c r="U105">
        <v>11.81</v>
      </c>
      <c r="V105">
        <v>11.81</v>
      </c>
      <c r="W105">
        <v>100</v>
      </c>
      <c r="Y105">
        <v>63</v>
      </c>
      <c r="Z105">
        <v>1.7</v>
      </c>
      <c r="AA105">
        <v>0</v>
      </c>
      <c r="AB105" s="4" t="d">
        <v>17:13:00.00000000000042375</v>
      </c>
      <c r="AC105">
        <v>27</v>
      </c>
      <c r="AD105">
        <v>4</v>
      </c>
    </row>
    <row r="106" spans="1:30" x14ac:dyDescent="0.2">
      <c r="A106" t="s">
        <v>569</v>
      </c>
      <c r="C106">
        <v>0</v>
      </c>
      <c r="D106" t="s">
        <v>343</v>
      </c>
      <c r="E106">
        <v>2500</v>
      </c>
      <c r="F106" t="s">
        <v>61</v>
      </c>
      <c r="G106" t="s">
        <v>502</v>
      </c>
      <c r="H106" s="3" t="d">
        <v>18:59:59.9999999999968050</v>
      </c>
      <c r="I106" t="s">
        <v>503</v>
      </c>
      <c r="J106" s="1">
        <v>0.58299999999999996</v>
      </c>
      <c r="K106">
        <v>71.5</v>
      </c>
      <c r="L106">
        <v>6.5</v>
      </c>
      <c r="M106">
        <v>3.2</v>
      </c>
      <c r="N106">
        <v>3.25</v>
      </c>
      <c r="Q106" s="4" t="d">
        <v>12:17:59.99999999999616600</v>
      </c>
      <c r="R106">
        <v>4.3</v>
      </c>
      <c r="S106">
        <v>4.5199999999999996</v>
      </c>
      <c r="T106">
        <v>0</v>
      </c>
      <c r="U106">
        <v>0</v>
      </c>
      <c r="V106">
        <v>0</v>
      </c>
      <c r="W106">
        <v>100</v>
      </c>
      <c r="Y106">
        <v>47</v>
      </c>
      <c r="Z106">
        <v>0</v>
      </c>
      <c r="AA106">
        <v>0</v>
      </c>
    </row>
    <row r="107" spans="1:30" x14ac:dyDescent="0.2">
      <c r="A107" t="s">
        <v>566</v>
      </c>
      <c r="C107">
        <v>0</v>
      </c>
      <c r="D107" t="s">
        <v>57</v>
      </c>
      <c r="E107">
        <v>2500</v>
      </c>
      <c r="F107" t="s">
        <v>61</v>
      </c>
      <c r="G107" t="s">
        <v>502</v>
      </c>
      <c r="H107" s="3" t="d">
        <v>18:59:59.9999999999968050</v>
      </c>
      <c r="I107" t="s">
        <v>503</v>
      </c>
      <c r="J107" s="1">
        <v>0.58299999999999996</v>
      </c>
      <c r="K107">
        <v>71.5</v>
      </c>
      <c r="L107">
        <v>6.5</v>
      </c>
      <c r="M107">
        <v>3.2</v>
      </c>
      <c r="N107">
        <v>3.25</v>
      </c>
      <c r="Q107" s="4" t="d">
        <v>13:45:59.99999999999658975</v>
      </c>
      <c r="R107">
        <v>3.4</v>
      </c>
      <c r="S107">
        <v>3.61</v>
      </c>
      <c r="T107">
        <v>0</v>
      </c>
      <c r="U107">
        <v>0</v>
      </c>
      <c r="V107">
        <v>0</v>
      </c>
      <c r="W107">
        <v>100</v>
      </c>
      <c r="Y107">
        <v>47</v>
      </c>
      <c r="Z107">
        <v>0</v>
      </c>
      <c r="AA107">
        <v>0</v>
      </c>
    </row>
    <row r="108" spans="1:30" x14ac:dyDescent="0.2">
      <c r="A108" t="s">
        <v>153</v>
      </c>
      <c r="C108">
        <v>0</v>
      </c>
      <c r="D108" t="s">
        <v>42</v>
      </c>
      <c r="E108">
        <v>2600</v>
      </c>
      <c r="F108" t="s">
        <v>45</v>
      </c>
      <c r="G108" t="s">
        <v>523</v>
      </c>
      <c r="H108" s="3" t="d">
        <v>20:00:00.0000000000031950</v>
      </c>
      <c r="I108" t="s">
        <v>503</v>
      </c>
      <c r="J108" s="1">
        <v>0.51400000000000001</v>
      </c>
      <c r="K108">
        <v>94.5</v>
      </c>
      <c r="L108">
        <v>5.5</v>
      </c>
      <c r="M108">
        <v>2.75</v>
      </c>
      <c r="N108">
        <v>3.07</v>
      </c>
      <c r="O108">
        <v>3</v>
      </c>
      <c r="P108">
        <v>1</v>
      </c>
      <c r="Q108" s="4" t="d">
        <v>14:16:59.99999999999957625</v>
      </c>
      <c r="R108">
        <v>4.3</v>
      </c>
      <c r="S108">
        <v>4.7</v>
      </c>
      <c r="T108">
        <v>13.52</v>
      </c>
      <c r="U108">
        <v>4.12</v>
      </c>
      <c r="V108">
        <v>4.12</v>
      </c>
      <c r="W108">
        <v>100</v>
      </c>
      <c r="Y108">
        <v>45</v>
      </c>
      <c r="Z108">
        <v>1.6</v>
      </c>
      <c r="AA108">
        <v>0</v>
      </c>
      <c r="AB108" s="4" t="d">
        <v>13:21:00.00000000000191700</v>
      </c>
      <c r="AC108">
        <v>10</v>
      </c>
      <c r="AD108">
        <v>3.8</v>
      </c>
    </row>
    <row r="109" spans="1:30" x14ac:dyDescent="0.2">
      <c r="A109" t="s">
        <v>385</v>
      </c>
      <c r="C109">
        <v>0</v>
      </c>
      <c r="D109" t="s">
        <v>346</v>
      </c>
      <c r="E109">
        <v>6900</v>
      </c>
      <c r="F109" t="s">
        <v>35</v>
      </c>
      <c r="G109" t="s">
        <v>516</v>
      </c>
      <c r="H109" s="3" t="d">
        <v>21:00:00.000</v>
      </c>
      <c r="I109" t="s">
        <v>503</v>
      </c>
      <c r="J109" s="1">
        <v>0.377</v>
      </c>
      <c r="K109">
        <v>165</v>
      </c>
      <c r="L109">
        <v>6.5</v>
      </c>
      <c r="M109">
        <v>3.25</v>
      </c>
      <c r="N109">
        <v>4.18</v>
      </c>
      <c r="O109" t="s">
        <v>528</v>
      </c>
      <c r="Q109" s="5" t="d">
        <v>PT58H32M0.000S</v>
      </c>
      <c r="R109">
        <v>11.3</v>
      </c>
      <c r="S109">
        <v>7.64</v>
      </c>
      <c r="T109">
        <v>0</v>
      </c>
      <c r="U109">
        <v>0</v>
      </c>
      <c r="V109">
        <v>0</v>
      </c>
      <c r="W109">
        <v>100</v>
      </c>
      <c r="Y109">
        <v>66</v>
      </c>
      <c r="Z109">
        <v>0</v>
      </c>
      <c r="AA109">
        <v>0</v>
      </c>
    </row>
    <row r="110" spans="1:30" x14ac:dyDescent="0.2">
      <c r="A110" t="s">
        <v>596</v>
      </c>
      <c r="C110">
        <v>0</v>
      </c>
      <c r="D110" t="s">
        <v>57</v>
      </c>
      <c r="E110">
        <v>2500</v>
      </c>
      <c r="F110" t="s">
        <v>117</v>
      </c>
      <c r="G110" t="s">
        <v>518</v>
      </c>
      <c r="H110" s="3" t="d">
        <v>21:00:00.000</v>
      </c>
      <c r="I110" t="s">
        <v>503</v>
      </c>
      <c r="J110" s="1">
        <v>0.54100000000000004</v>
      </c>
      <c r="K110">
        <v>85</v>
      </c>
      <c r="L110">
        <v>6</v>
      </c>
      <c r="M110">
        <v>2.8</v>
      </c>
      <c r="N110">
        <v>3</v>
      </c>
      <c r="Q110" s="4" t="d">
        <v>17:49:00.000000000002344800</v>
      </c>
      <c r="R110">
        <v>2.6</v>
      </c>
      <c r="S110">
        <v>0</v>
      </c>
      <c r="T110">
        <v>0</v>
      </c>
      <c r="U110">
        <v>0</v>
      </c>
      <c r="V110">
        <v>0</v>
      </c>
      <c r="W110">
        <v>100</v>
      </c>
      <c r="Y110">
        <v>0</v>
      </c>
      <c r="Z110">
        <v>0</v>
      </c>
      <c r="AA110">
        <v>0</v>
      </c>
    </row>
    <row r="111" spans="1:30" x14ac:dyDescent="0.2">
      <c r="A111" t="s">
        <v>225</v>
      </c>
      <c r="C111">
        <v>0</v>
      </c>
      <c r="D111" t="s">
        <v>57</v>
      </c>
      <c r="E111">
        <v>6700</v>
      </c>
      <c r="F111" t="s">
        <v>505</v>
      </c>
      <c r="G111" t="s">
        <v>506</v>
      </c>
      <c r="H111" s="3" t="d">
        <v>18:59:59.9999999999968050</v>
      </c>
      <c r="I111" t="s">
        <v>499</v>
      </c>
      <c r="J111" s="1">
        <v>0.61399999999999999</v>
      </c>
      <c r="K111">
        <v>-159</v>
      </c>
      <c r="L111">
        <v>6</v>
      </c>
      <c r="M111">
        <v>3</v>
      </c>
      <c r="N111">
        <v>2.2400000000000002</v>
      </c>
      <c r="O111">
        <v>1</v>
      </c>
      <c r="P111">
        <v>1</v>
      </c>
      <c r="Q111" s="4" t="d">
        <v>21:58:59.99999999999701350</v>
      </c>
      <c r="R111">
        <v>11.9</v>
      </c>
      <c r="S111">
        <v>9.43</v>
      </c>
      <c r="T111">
        <v>35.049999999999997</v>
      </c>
      <c r="U111">
        <v>16.190000000000001</v>
      </c>
      <c r="V111">
        <v>16.190000000000001</v>
      </c>
      <c r="W111">
        <v>100</v>
      </c>
      <c r="Y111">
        <v>60</v>
      </c>
      <c r="Z111">
        <v>2.4</v>
      </c>
      <c r="AA111">
        <v>0</v>
      </c>
      <c r="AB111" s="5" t="d">
        <v>PT26H51M0.000S</v>
      </c>
      <c r="AC111">
        <v>11.8</v>
      </c>
      <c r="AD111">
        <v>1.8</v>
      </c>
    </row>
    <row r="112" spans="1:30" x14ac:dyDescent="0.2">
      <c r="A112" t="s">
        <v>264</v>
      </c>
      <c r="C112">
        <v>0</v>
      </c>
      <c r="D112" t="s">
        <v>42</v>
      </c>
      <c r="E112">
        <v>2500</v>
      </c>
      <c r="F112" t="s">
        <v>59</v>
      </c>
      <c r="G112" t="s">
        <v>521</v>
      </c>
      <c r="H112" s="3" t="d">
        <v>21:59:59.9999999999968050</v>
      </c>
      <c r="I112" t="s">
        <v>503</v>
      </c>
      <c r="J112" s="1">
        <v>0.52800000000000002</v>
      </c>
      <c r="K112">
        <v>89.5</v>
      </c>
      <c r="L112">
        <v>6</v>
      </c>
      <c r="M112">
        <v>2.77</v>
      </c>
      <c r="N112">
        <v>3</v>
      </c>
      <c r="O112">
        <v>4</v>
      </c>
      <c r="Q112" s="4" t="d">
        <v>15:17:59.99999999999616600</v>
      </c>
      <c r="R112">
        <v>3.8</v>
      </c>
      <c r="S112">
        <v>4.28</v>
      </c>
      <c r="T112">
        <v>12.55</v>
      </c>
      <c r="U112">
        <v>3.99</v>
      </c>
      <c r="V112">
        <v>3.99</v>
      </c>
      <c r="W112">
        <v>100</v>
      </c>
      <c r="Y112">
        <v>44</v>
      </c>
      <c r="Z112">
        <v>1.6</v>
      </c>
      <c r="AA112">
        <v>0</v>
      </c>
      <c r="AB112" s="4" t="d">
        <v>12:32:00.00000000000277125</v>
      </c>
      <c r="AC112">
        <v>0</v>
      </c>
    </row>
    <row r="113" spans="1:30" x14ac:dyDescent="0.2">
      <c r="A113" t="s">
        <v>298</v>
      </c>
      <c r="C113">
        <v>0</v>
      </c>
      <c r="D113" t="s">
        <v>343</v>
      </c>
      <c r="E113">
        <v>3900</v>
      </c>
      <c r="F113" t="s">
        <v>509</v>
      </c>
      <c r="G113" t="s">
        <v>510</v>
      </c>
      <c r="H113" s="3" t="d">
        <v>21:59:59.9999999999968050</v>
      </c>
      <c r="I113" t="s">
        <v>499</v>
      </c>
      <c r="J113" s="1">
        <v>0.47199999999999998</v>
      </c>
      <c r="K113">
        <v>-89.5</v>
      </c>
      <c r="L113">
        <v>6</v>
      </c>
      <c r="M113">
        <v>3</v>
      </c>
      <c r="N113">
        <v>2.77</v>
      </c>
      <c r="O113">
        <v>2</v>
      </c>
      <c r="P113">
        <v>2</v>
      </c>
      <c r="Q113" s="4" t="d">
        <v>18:35:00.00000000000213225</v>
      </c>
      <c r="R113">
        <v>7.8</v>
      </c>
      <c r="S113">
        <v>6.07</v>
      </c>
      <c r="T113">
        <v>19.05</v>
      </c>
      <c r="U113">
        <v>6.91</v>
      </c>
      <c r="V113">
        <v>6.91</v>
      </c>
      <c r="W113">
        <v>100</v>
      </c>
      <c r="Y113">
        <v>61</v>
      </c>
      <c r="Z113">
        <v>1.8</v>
      </c>
      <c r="AA113">
        <v>0</v>
      </c>
      <c r="AB113" s="4" t="d">
        <v>19:02:59.99999999999616600</v>
      </c>
      <c r="AC113">
        <v>1.3</v>
      </c>
      <c r="AD113">
        <v>0.3</v>
      </c>
    </row>
    <row r="114" spans="1:30" x14ac:dyDescent="0.2">
      <c r="A114" t="s">
        <v>318</v>
      </c>
      <c r="C114">
        <v>0</v>
      </c>
      <c r="D114" t="s">
        <v>57</v>
      </c>
      <c r="E114">
        <v>2500</v>
      </c>
      <c r="F114" t="s">
        <v>505</v>
      </c>
      <c r="G114" t="s">
        <v>506</v>
      </c>
      <c r="H114" s="3" t="d">
        <v>18:59:59.9999999999968050</v>
      </c>
      <c r="I114" t="s">
        <v>499</v>
      </c>
      <c r="J114" s="1">
        <v>0.61399999999999999</v>
      </c>
      <c r="K114">
        <v>-159</v>
      </c>
      <c r="L114">
        <v>6</v>
      </c>
      <c r="M114">
        <v>3</v>
      </c>
      <c r="N114">
        <v>2.2400000000000002</v>
      </c>
      <c r="O114">
        <v>3</v>
      </c>
      <c r="Q114" s="4" t="d">
        <v>14:29:59.9999999999968050</v>
      </c>
      <c r="R114">
        <v>3.2</v>
      </c>
      <c r="S114">
        <v>2.99</v>
      </c>
      <c r="T114">
        <v>9.59</v>
      </c>
      <c r="U114">
        <v>3.61</v>
      </c>
      <c r="V114">
        <v>3.61</v>
      </c>
      <c r="W114">
        <v>100</v>
      </c>
      <c r="Y114">
        <v>53</v>
      </c>
      <c r="Z114">
        <v>1.4</v>
      </c>
      <c r="AA114">
        <v>0</v>
      </c>
      <c r="AB114" s="4" t="d">
        <v>12:20:59.99999999999552025</v>
      </c>
      <c r="AC114">
        <v>1.3</v>
      </c>
      <c r="AD114">
        <v>0.5</v>
      </c>
    </row>
    <row r="115" spans="1:30" x14ac:dyDescent="0.2">
      <c r="A115" t="s">
        <v>427</v>
      </c>
      <c r="C115">
        <v>0</v>
      </c>
      <c r="D115" t="s">
        <v>57</v>
      </c>
      <c r="E115">
        <v>2500</v>
      </c>
      <c r="F115" t="s">
        <v>56</v>
      </c>
      <c r="G115" t="s">
        <v>513</v>
      </c>
      <c r="H115" s="3" t="d">
        <v>21:00:00.000</v>
      </c>
      <c r="I115" t="s">
        <v>499</v>
      </c>
      <c r="J115" s="1">
        <v>0.45900000000000002</v>
      </c>
      <c r="K115">
        <v>-85</v>
      </c>
      <c r="L115">
        <v>6</v>
      </c>
      <c r="M115">
        <v>3</v>
      </c>
      <c r="N115">
        <v>2.8</v>
      </c>
      <c r="Q115" s="4" t="d">
        <v>14:34:59.99999999999573550</v>
      </c>
      <c r="R115">
        <v>4.0999999999999996</v>
      </c>
      <c r="S115">
        <v>3.85</v>
      </c>
      <c r="T115">
        <v>0</v>
      </c>
      <c r="U115">
        <v>0</v>
      </c>
      <c r="V115">
        <v>0</v>
      </c>
      <c r="W115">
        <v>100</v>
      </c>
      <c r="Y115">
        <v>53</v>
      </c>
      <c r="Z115">
        <v>0</v>
      </c>
      <c r="AA115">
        <v>0</v>
      </c>
    </row>
    <row r="116" spans="1:30" x14ac:dyDescent="0.2">
      <c r="A116" t="s">
        <v>436</v>
      </c>
      <c r="C116">
        <v>0</v>
      </c>
      <c r="D116" t="s">
        <v>57</v>
      </c>
      <c r="E116">
        <v>2500</v>
      </c>
      <c r="F116" t="s">
        <v>509</v>
      </c>
      <c r="G116" t="s">
        <v>510</v>
      </c>
      <c r="H116" s="3" t="d">
        <v>21:59:59.9999999999968050</v>
      </c>
      <c r="I116" t="s">
        <v>499</v>
      </c>
      <c r="J116" s="1">
        <v>0.47199999999999998</v>
      </c>
      <c r="K116">
        <v>-89.5</v>
      </c>
      <c r="L116">
        <v>6</v>
      </c>
      <c r="M116">
        <v>3</v>
      </c>
      <c r="N116">
        <v>2.77</v>
      </c>
      <c r="Q116" s="4" t="d">
        <v>14:48:00.00000000000255600</v>
      </c>
      <c r="R116">
        <v>3.4</v>
      </c>
      <c r="S116">
        <v>3.25</v>
      </c>
      <c r="T116">
        <v>0</v>
      </c>
      <c r="U116">
        <v>0</v>
      </c>
      <c r="V116">
        <v>0</v>
      </c>
      <c r="W116">
        <v>100</v>
      </c>
      <c r="Y116">
        <v>52</v>
      </c>
      <c r="Z116">
        <v>0</v>
      </c>
      <c r="AA116">
        <v>0</v>
      </c>
    </row>
    <row r="117" spans="1:30" x14ac:dyDescent="0.2">
      <c r="A117" t="s">
        <v>414</v>
      </c>
      <c r="C117">
        <v>0</v>
      </c>
      <c r="D117" t="s">
        <v>346</v>
      </c>
      <c r="E117">
        <v>7500</v>
      </c>
      <c r="F117" t="s">
        <v>61</v>
      </c>
      <c r="G117" t="s">
        <v>502</v>
      </c>
      <c r="H117" s="3" t="d">
        <v>18:59:59.9999999999968050</v>
      </c>
      <c r="I117" t="s">
        <v>503</v>
      </c>
      <c r="J117" s="1">
        <v>0.58299999999999996</v>
      </c>
      <c r="K117">
        <v>71.5</v>
      </c>
      <c r="L117">
        <v>6.5</v>
      </c>
      <c r="M117">
        <v>3.2</v>
      </c>
      <c r="N117">
        <v>3.25</v>
      </c>
      <c r="O117" t="s">
        <v>528</v>
      </c>
      <c r="Q117" s="5" t="d">
        <v>PT49H0M0.000S</v>
      </c>
      <c r="R117">
        <v>11.3</v>
      </c>
      <c r="S117">
        <v>8.01</v>
      </c>
      <c r="T117">
        <v>0</v>
      </c>
      <c r="U117">
        <v>0</v>
      </c>
      <c r="V117">
        <v>0</v>
      </c>
      <c r="W117">
        <v>100</v>
      </c>
      <c r="Y117">
        <v>65</v>
      </c>
      <c r="Z117">
        <v>0</v>
      </c>
      <c r="AA117">
        <v>0</v>
      </c>
    </row>
    <row r="118" spans="1:30" x14ac:dyDescent="0.2">
      <c r="A118" t="s">
        <v>66</v>
      </c>
      <c r="C118">
        <v>0</v>
      </c>
      <c r="D118" t="s">
        <v>343</v>
      </c>
      <c r="E118">
        <v>2600</v>
      </c>
      <c r="F118" t="s">
        <v>35</v>
      </c>
      <c r="G118" t="s">
        <v>516</v>
      </c>
      <c r="H118" s="3" t="d">
        <v>21:00:00.000</v>
      </c>
      <c r="I118" t="s">
        <v>503</v>
      </c>
      <c r="J118" s="1">
        <v>0.377</v>
      </c>
      <c r="K118">
        <v>165</v>
      </c>
      <c r="L118">
        <v>6.5</v>
      </c>
      <c r="M118">
        <v>3.25</v>
      </c>
      <c r="N118">
        <v>4.18</v>
      </c>
      <c r="O118">
        <v>2</v>
      </c>
      <c r="P118">
        <v>2</v>
      </c>
      <c r="Q118" s="4" t="d">
        <v>13:39:59.99999999999786775</v>
      </c>
      <c r="R118">
        <v>4.8</v>
      </c>
      <c r="S118">
        <v>5.01</v>
      </c>
      <c r="T118">
        <v>17.75</v>
      </c>
      <c r="U118">
        <v>7.73</v>
      </c>
      <c r="V118">
        <v>7.73</v>
      </c>
      <c r="W118">
        <v>100</v>
      </c>
      <c r="Y118">
        <v>48</v>
      </c>
      <c r="Z118">
        <v>3</v>
      </c>
      <c r="AA118">
        <v>0</v>
      </c>
      <c r="AB118" s="4" t="d">
        <v>13:50:59.99999999999552025</v>
      </c>
      <c r="AC118">
        <v>16.5</v>
      </c>
      <c r="AD118">
        <v>6.3</v>
      </c>
    </row>
    <row r="119" spans="1:30" x14ac:dyDescent="0.2">
      <c r="A119" t="s">
        <v>609</v>
      </c>
      <c r="C119">
        <v>0</v>
      </c>
      <c r="D119" t="s">
        <v>57</v>
      </c>
      <c r="E119">
        <v>2500</v>
      </c>
      <c r="F119" t="s">
        <v>59</v>
      </c>
      <c r="G119" t="s">
        <v>521</v>
      </c>
      <c r="H119" s="3" t="d">
        <v>21:59:59.9999999999968050</v>
      </c>
      <c r="I119" t="s">
        <v>503</v>
      </c>
      <c r="J119" s="1">
        <v>0.52800000000000002</v>
      </c>
      <c r="K119">
        <v>89.5</v>
      </c>
      <c r="L119">
        <v>6</v>
      </c>
      <c r="M119">
        <v>2.77</v>
      </c>
      <c r="N119">
        <v>3</v>
      </c>
      <c r="Q119" s="4" t="d">
        <v>13:22:00.00000000000170850</v>
      </c>
      <c r="R119">
        <v>6</v>
      </c>
      <c r="S119">
        <v>3.8</v>
      </c>
      <c r="T119">
        <v>0</v>
      </c>
      <c r="U119">
        <v>0</v>
      </c>
      <c r="V119">
        <v>0</v>
      </c>
      <c r="W119">
        <v>100</v>
      </c>
      <c r="Y119">
        <v>68</v>
      </c>
      <c r="Z119">
        <v>0</v>
      </c>
      <c r="AA119">
        <v>0</v>
      </c>
    </row>
    <row r="120" spans="1:30" x14ac:dyDescent="0.2">
      <c r="A120" t="s">
        <v>350</v>
      </c>
      <c r="C120">
        <v>0</v>
      </c>
      <c r="D120" t="s">
        <v>346</v>
      </c>
      <c r="E120">
        <v>7600</v>
      </c>
      <c r="F120" t="s">
        <v>117</v>
      </c>
      <c r="G120" t="s">
        <v>518</v>
      </c>
      <c r="H120" s="3" t="d">
        <v>21:00:00.000</v>
      </c>
      <c r="I120" t="s">
        <v>503</v>
      </c>
      <c r="J120" s="1">
        <v>0.54100000000000004</v>
      </c>
      <c r="K120">
        <v>85</v>
      </c>
      <c r="L120">
        <v>6</v>
      </c>
      <c r="M120">
        <v>2.8</v>
      </c>
      <c r="N120">
        <v>3</v>
      </c>
      <c r="O120" t="s">
        <v>511</v>
      </c>
      <c r="Q120" s="5" t="d">
        <v>PT53H28M0.000S</v>
      </c>
      <c r="R120">
        <v>11.3</v>
      </c>
      <c r="S120">
        <v>9.1999999999999993</v>
      </c>
      <c r="T120">
        <v>29.68</v>
      </c>
      <c r="U120">
        <v>11.28</v>
      </c>
      <c r="V120">
        <v>11.28</v>
      </c>
      <c r="W120">
        <v>100</v>
      </c>
      <c r="Y120">
        <v>59</v>
      </c>
      <c r="Z120">
        <v>1.5</v>
      </c>
      <c r="AA120">
        <v>0</v>
      </c>
      <c r="AB120" s="5" t="d">
        <v>PT58H20M0.000S</v>
      </c>
      <c r="AC120">
        <v>20.5</v>
      </c>
      <c r="AD120">
        <v>2.7</v>
      </c>
    </row>
    <row r="121" spans="1:30" x14ac:dyDescent="0.2">
      <c r="A121" t="s">
        <v>556</v>
      </c>
      <c r="C121">
        <v>0</v>
      </c>
      <c r="D121" t="s">
        <v>57</v>
      </c>
      <c r="E121">
        <v>3400</v>
      </c>
      <c r="F121" t="s">
        <v>48</v>
      </c>
      <c r="G121" t="s">
        <v>498</v>
      </c>
      <c r="H121" s="3" t="d">
        <v>21:00:00.000</v>
      </c>
      <c r="I121" t="s">
        <v>499</v>
      </c>
      <c r="J121" s="1">
        <v>0.623</v>
      </c>
      <c r="K121">
        <v>-165</v>
      </c>
      <c r="L121">
        <v>6.5</v>
      </c>
      <c r="M121">
        <v>4.18</v>
      </c>
      <c r="N121">
        <v>3.25</v>
      </c>
      <c r="Q121" s="4" t="d">
        <v>22:19:00.000000000002344800</v>
      </c>
      <c r="R121">
        <v>7</v>
      </c>
      <c r="S121">
        <v>4.38</v>
      </c>
      <c r="T121">
        <v>0</v>
      </c>
      <c r="U121">
        <v>0</v>
      </c>
      <c r="V121">
        <v>0</v>
      </c>
      <c r="W121">
        <v>100</v>
      </c>
      <c r="Y121">
        <v>69</v>
      </c>
      <c r="Z121">
        <v>0</v>
      </c>
      <c r="AA121">
        <v>0</v>
      </c>
    </row>
    <row r="122" spans="1:30" x14ac:dyDescent="0.2">
      <c r="A122" t="s">
        <v>171</v>
      </c>
      <c r="C122">
        <v>0</v>
      </c>
      <c r="D122" t="s">
        <v>57</v>
      </c>
      <c r="E122">
        <v>2900</v>
      </c>
      <c r="F122" t="s">
        <v>500</v>
      </c>
      <c r="G122" t="s">
        <v>501</v>
      </c>
      <c r="H122" s="3" t="d">
        <v>21:59:59.9999999999968050</v>
      </c>
      <c r="I122" t="s">
        <v>499</v>
      </c>
      <c r="J122" s="1">
        <v>0.44600000000000001</v>
      </c>
      <c r="K122">
        <v>-80.5</v>
      </c>
      <c r="L122">
        <v>6.5</v>
      </c>
      <c r="M122">
        <v>3.38</v>
      </c>
      <c r="N122">
        <v>3.25</v>
      </c>
      <c r="O122">
        <v>1</v>
      </c>
      <c r="P122">
        <v>2</v>
      </c>
      <c r="Q122" s="4" t="d">
        <v>21:29:00.00000000000341025</v>
      </c>
      <c r="R122">
        <v>5.5</v>
      </c>
      <c r="S122">
        <v>3.81</v>
      </c>
      <c r="T122">
        <v>13.36</v>
      </c>
      <c r="U122">
        <v>5.74</v>
      </c>
      <c r="V122">
        <v>5.74</v>
      </c>
      <c r="W122">
        <v>100</v>
      </c>
      <c r="Y122">
        <v>65</v>
      </c>
      <c r="Z122">
        <v>2</v>
      </c>
      <c r="AA122">
        <v>0</v>
      </c>
      <c r="AB122" s="4" t="d">
        <v>20:40:00.00000000000426450</v>
      </c>
      <c r="AC122">
        <v>1.5</v>
      </c>
      <c r="AD122">
        <v>0.5</v>
      </c>
    </row>
    <row r="123" spans="1:30" x14ac:dyDescent="0.2">
      <c r="A123" t="s">
        <v>325</v>
      </c>
      <c r="C123">
        <v>0</v>
      </c>
      <c r="D123" t="s">
        <v>42</v>
      </c>
      <c r="E123">
        <v>2600</v>
      </c>
      <c r="F123" t="s">
        <v>505</v>
      </c>
      <c r="G123" t="s">
        <v>506</v>
      </c>
      <c r="H123" s="3" t="d">
        <v>18:59:59.9999999999968050</v>
      </c>
      <c r="I123" t="s">
        <v>499</v>
      </c>
      <c r="J123" s="1">
        <v>0.61399999999999999</v>
      </c>
      <c r="K123">
        <v>-159</v>
      </c>
      <c r="L123">
        <v>6</v>
      </c>
      <c r="M123">
        <v>3</v>
      </c>
      <c r="N123">
        <v>2.2400000000000002</v>
      </c>
      <c r="O123">
        <v>2</v>
      </c>
      <c r="Q123" s="4" t="d">
        <v>12:25:00.00000000000426450</v>
      </c>
      <c r="R123">
        <v>4.3</v>
      </c>
      <c r="S123">
        <v>5.29</v>
      </c>
      <c r="T123">
        <v>15.34</v>
      </c>
      <c r="U123">
        <v>4.76</v>
      </c>
      <c r="V123">
        <v>4.76</v>
      </c>
      <c r="W123">
        <v>100</v>
      </c>
      <c r="Y123">
        <v>38</v>
      </c>
      <c r="Z123">
        <v>1.8</v>
      </c>
      <c r="AA123">
        <v>0</v>
      </c>
      <c r="AB123" s="4" t="d">
        <v>12:38:00.00000000000149325</v>
      </c>
      <c r="AC123">
        <v>4.3</v>
      </c>
      <c r="AD123">
        <v>1.7</v>
      </c>
    </row>
    <row r="124" spans="1:30" x14ac:dyDescent="0.2">
      <c r="A124" t="s">
        <v>439</v>
      </c>
      <c r="C124">
        <v>0</v>
      </c>
      <c r="D124" t="s">
        <v>42</v>
      </c>
      <c r="E124">
        <v>2500</v>
      </c>
      <c r="F124" t="s">
        <v>148</v>
      </c>
      <c r="G124" t="s">
        <v>512</v>
      </c>
      <c r="H124" s="3" t="d">
        <v>18:59:59.9999999999968050</v>
      </c>
      <c r="I124" t="s">
        <v>503</v>
      </c>
      <c r="J124" s="1">
        <v>0.38600000000000001</v>
      </c>
      <c r="K124">
        <v>159</v>
      </c>
      <c r="L124">
        <v>6</v>
      </c>
      <c r="M124">
        <v>2.2400000000000002</v>
      </c>
      <c r="N124">
        <v>3</v>
      </c>
      <c r="Q124" s="4" t="d">
        <v>09:49:59.99999999999893725</v>
      </c>
      <c r="R124">
        <v>2.6</v>
      </c>
      <c r="S124">
        <v>2.21</v>
      </c>
      <c r="T124">
        <v>0</v>
      </c>
      <c r="U124">
        <v>0</v>
      </c>
      <c r="V124">
        <v>0</v>
      </c>
      <c r="W124">
        <v>100</v>
      </c>
      <c r="Y124">
        <v>58</v>
      </c>
      <c r="Z124">
        <v>0</v>
      </c>
      <c r="AA124">
        <v>0</v>
      </c>
    </row>
    <row r="125" spans="1:30" x14ac:dyDescent="0.2">
      <c r="A125" t="s">
        <v>89</v>
      </c>
      <c r="C125">
        <v>0</v>
      </c>
      <c r="D125" t="s">
        <v>57</v>
      </c>
      <c r="E125">
        <v>4300</v>
      </c>
      <c r="F125" t="s">
        <v>509</v>
      </c>
      <c r="G125" t="s">
        <v>510</v>
      </c>
      <c r="H125" s="3" t="d">
        <v>21:59:59.9999999999968050</v>
      </c>
      <c r="I125" t="s">
        <v>499</v>
      </c>
      <c r="J125" s="1">
        <v>0.47199999999999998</v>
      </c>
      <c r="K125">
        <v>-89.5</v>
      </c>
      <c r="L125">
        <v>6</v>
      </c>
      <c r="M125">
        <v>3</v>
      </c>
      <c r="N125">
        <v>2.77</v>
      </c>
      <c r="O125">
        <v>2</v>
      </c>
      <c r="P125">
        <v>1</v>
      </c>
      <c r="Q125" s="4" t="d">
        <v>21:31:00.00000000000298650</v>
      </c>
      <c r="R125">
        <v>8.3000000000000007</v>
      </c>
      <c r="S125">
        <v>6.95</v>
      </c>
      <c r="T125">
        <v>21.82</v>
      </c>
      <c r="U125">
        <v>7.92</v>
      </c>
      <c r="V125">
        <v>7.92</v>
      </c>
      <c r="W125">
        <v>100</v>
      </c>
      <c r="Y125">
        <v>58</v>
      </c>
      <c r="Z125">
        <v>1.8</v>
      </c>
      <c r="AA125">
        <v>0</v>
      </c>
      <c r="AB125" s="4" t="d">
        <v>21:21:59.99999999999531175</v>
      </c>
      <c r="AC125">
        <v>7.8</v>
      </c>
      <c r="AD125">
        <v>1.8</v>
      </c>
    </row>
    <row r="126" spans="1:30" x14ac:dyDescent="0.2">
      <c r="A126" t="s">
        <v>129</v>
      </c>
      <c r="C126">
        <v>0</v>
      </c>
      <c r="D126" t="s">
        <v>57</v>
      </c>
      <c r="E126">
        <v>2500</v>
      </c>
      <c r="F126" t="s">
        <v>64</v>
      </c>
      <c r="G126" t="s">
        <v>517</v>
      </c>
      <c r="H126" s="3" t="d">
        <v>21:59:59.9999999999968050</v>
      </c>
      <c r="I126" t="s">
        <v>503</v>
      </c>
      <c r="J126" s="1">
        <v>0.52900000000000003</v>
      </c>
      <c r="K126">
        <v>89</v>
      </c>
      <c r="L126">
        <v>6</v>
      </c>
      <c r="M126">
        <v>3</v>
      </c>
      <c r="N126">
        <v>3.14</v>
      </c>
      <c r="O126">
        <v>2</v>
      </c>
      <c r="Q126" s="4" t="d">
        <v>17:46:00.00000000000298650</v>
      </c>
      <c r="R126">
        <v>4.9000000000000004</v>
      </c>
      <c r="S126">
        <v>3.31</v>
      </c>
      <c r="T126">
        <v>11.73</v>
      </c>
      <c r="U126">
        <v>5.1100000000000003</v>
      </c>
      <c r="V126">
        <v>5.1100000000000003</v>
      </c>
      <c r="W126">
        <v>100</v>
      </c>
      <c r="Y126">
        <v>66</v>
      </c>
      <c r="Z126">
        <v>2</v>
      </c>
      <c r="AA126">
        <v>0</v>
      </c>
      <c r="AB126" s="4" t="d">
        <v>18:46:59.99999999999957625</v>
      </c>
      <c r="AC126">
        <v>7.8</v>
      </c>
      <c r="AD126">
        <v>3.1</v>
      </c>
    </row>
    <row r="127" spans="1:30" x14ac:dyDescent="0.2">
      <c r="A127" t="s">
        <v>135</v>
      </c>
      <c r="C127">
        <v>0</v>
      </c>
      <c r="D127" t="s">
        <v>343</v>
      </c>
      <c r="E127">
        <v>2700</v>
      </c>
      <c r="F127" t="s">
        <v>59</v>
      </c>
      <c r="G127" t="s">
        <v>521</v>
      </c>
      <c r="H127" s="3" t="d">
        <v>21:59:59.9999999999968050</v>
      </c>
      <c r="I127" t="s">
        <v>503</v>
      </c>
      <c r="J127" s="1">
        <v>0.52800000000000002</v>
      </c>
      <c r="K127">
        <v>89.5</v>
      </c>
      <c r="L127">
        <v>6</v>
      </c>
      <c r="M127">
        <v>2.77</v>
      </c>
      <c r="N127">
        <v>3</v>
      </c>
      <c r="O127">
        <v>2</v>
      </c>
      <c r="Q127" s="4" t="d">
        <v>13:45:59.99999999999658975</v>
      </c>
      <c r="R127">
        <v>5.2</v>
      </c>
      <c r="S127">
        <v>4.99</v>
      </c>
      <c r="T127">
        <v>15.17</v>
      </c>
      <c r="U127">
        <v>5.19</v>
      </c>
      <c r="V127">
        <v>5.19</v>
      </c>
      <c r="W127">
        <v>100</v>
      </c>
      <c r="Y127">
        <v>52</v>
      </c>
      <c r="Z127">
        <v>1.9</v>
      </c>
      <c r="AA127">
        <v>0</v>
      </c>
      <c r="AB127" s="4" t="d">
        <v>18:10:59.9999999999976525</v>
      </c>
      <c r="AC127">
        <v>8</v>
      </c>
      <c r="AD127">
        <v>3</v>
      </c>
    </row>
    <row r="128" spans="1:30" x14ac:dyDescent="0.2">
      <c r="A128" t="s">
        <v>601</v>
      </c>
      <c r="C128">
        <v>0</v>
      </c>
      <c r="D128" t="s">
        <v>343</v>
      </c>
      <c r="E128">
        <v>2500</v>
      </c>
      <c r="F128" t="s">
        <v>117</v>
      </c>
      <c r="G128" t="s">
        <v>518</v>
      </c>
      <c r="H128" s="3" t="d">
        <v>21:00:00.000</v>
      </c>
      <c r="I128" t="s">
        <v>503</v>
      </c>
      <c r="J128" s="1">
        <v>0.54100000000000004</v>
      </c>
      <c r="K128">
        <v>85</v>
      </c>
      <c r="L128">
        <v>6</v>
      </c>
      <c r="M128">
        <v>2.8</v>
      </c>
      <c r="N128">
        <v>3</v>
      </c>
      <c r="Q128" s="4" t="d">
        <v>08:56:00.00000000000085425</v>
      </c>
      <c r="R128">
        <v>3.7</v>
      </c>
      <c r="S128">
        <v>1.69</v>
      </c>
      <c r="T128">
        <v>0</v>
      </c>
      <c r="U128">
        <v>0</v>
      </c>
      <c r="V128">
        <v>0</v>
      </c>
      <c r="W128">
        <v>100</v>
      </c>
      <c r="Y128">
        <v>77</v>
      </c>
      <c r="Z128">
        <v>0</v>
      </c>
      <c r="AA128">
        <v>0</v>
      </c>
    </row>
    <row r="129" spans="1:30" x14ac:dyDescent="0.2">
      <c r="A129" t="s">
        <v>366</v>
      </c>
      <c r="C129">
        <v>0</v>
      </c>
      <c r="D129" t="s">
        <v>346</v>
      </c>
      <c r="E129">
        <v>7600</v>
      </c>
      <c r="F129" t="s">
        <v>117</v>
      </c>
      <c r="G129" t="s">
        <v>518</v>
      </c>
      <c r="H129" s="3" t="d">
        <v>21:00:00.000</v>
      </c>
      <c r="I129" t="s">
        <v>503</v>
      </c>
      <c r="J129" s="1">
        <v>0.54100000000000004</v>
      </c>
      <c r="K129">
        <v>85</v>
      </c>
      <c r="L129">
        <v>6</v>
      </c>
      <c r="M129">
        <v>2.8</v>
      </c>
      <c r="N129">
        <v>3</v>
      </c>
      <c r="O129" t="s">
        <v>528</v>
      </c>
      <c r="Q129" s="5" t="d">
        <v>PT55H55M0.000S</v>
      </c>
      <c r="R129">
        <v>10.1</v>
      </c>
      <c r="S129">
        <v>9.91</v>
      </c>
      <c r="T129">
        <v>0</v>
      </c>
      <c r="U129">
        <v>0</v>
      </c>
      <c r="V129">
        <v>0</v>
      </c>
      <c r="W129">
        <v>100</v>
      </c>
      <c r="Y129">
        <v>51</v>
      </c>
      <c r="Z129">
        <v>0</v>
      </c>
      <c r="AA129">
        <v>0</v>
      </c>
      <c r="AB129" s="4" t="d">
        <v>1899-12-30</v>
      </c>
      <c r="AC129">
        <v>0</v>
      </c>
    </row>
    <row r="130" spans="1:30" x14ac:dyDescent="0.2">
      <c r="A130" t="s">
        <v>526</v>
      </c>
      <c r="C130">
        <v>0</v>
      </c>
      <c r="D130" t="s">
        <v>57</v>
      </c>
      <c r="E130">
        <v>2500</v>
      </c>
      <c r="F130" t="s">
        <v>39</v>
      </c>
      <c r="G130" t="s">
        <v>504</v>
      </c>
      <c r="H130" s="3" t="d">
        <v>18:59:59.9999999999968050</v>
      </c>
      <c r="I130" t="s">
        <v>499</v>
      </c>
      <c r="J130" s="1">
        <v>0.41699999999999998</v>
      </c>
      <c r="K130">
        <v>-71.5</v>
      </c>
      <c r="L130">
        <v>6.5</v>
      </c>
      <c r="M130">
        <v>3.25</v>
      </c>
      <c r="N130">
        <v>3.2</v>
      </c>
      <c r="O130">
        <v>3</v>
      </c>
      <c r="Q130" s="4" t="d">
        <v>14:22:59.99999999999829150</v>
      </c>
      <c r="R130">
        <v>4.5999999999999996</v>
      </c>
      <c r="S130">
        <v>1.71</v>
      </c>
      <c r="T130">
        <v>10.24</v>
      </c>
      <c r="U130">
        <v>6.82</v>
      </c>
      <c r="V130">
        <v>6.82</v>
      </c>
      <c r="W130">
        <v>100</v>
      </c>
      <c r="Y130">
        <v>81</v>
      </c>
      <c r="Z130">
        <v>2.7</v>
      </c>
      <c r="AA130">
        <v>0</v>
      </c>
    </row>
    <row r="131" spans="1:30" x14ac:dyDescent="0.2">
      <c r="A131" t="s">
        <v>380</v>
      </c>
      <c r="C131">
        <v>0</v>
      </c>
      <c r="D131" t="s">
        <v>343</v>
      </c>
      <c r="E131">
        <v>4200</v>
      </c>
      <c r="F131" t="s">
        <v>45</v>
      </c>
      <c r="G131" t="s">
        <v>523</v>
      </c>
      <c r="H131" s="3" t="d">
        <v>20:00:00.0000000000031950</v>
      </c>
      <c r="I131" t="s">
        <v>503</v>
      </c>
      <c r="J131" s="1">
        <v>0.51400000000000001</v>
      </c>
      <c r="K131">
        <v>94.5</v>
      </c>
      <c r="L131">
        <v>5.5</v>
      </c>
      <c r="M131">
        <v>2.75</v>
      </c>
      <c r="N131">
        <v>3.07</v>
      </c>
      <c r="Q131" s="4" t="d">
        <v>17:39:00.00000000000447975</v>
      </c>
      <c r="R131">
        <v>8.5</v>
      </c>
      <c r="S131">
        <v>6.74</v>
      </c>
      <c r="T131">
        <v>0</v>
      </c>
      <c r="U131">
        <v>0</v>
      </c>
      <c r="V131">
        <v>0</v>
      </c>
      <c r="W131">
        <v>100</v>
      </c>
      <c r="Y131">
        <v>60</v>
      </c>
      <c r="Z131">
        <v>0</v>
      </c>
      <c r="AA131">
        <v>0</v>
      </c>
    </row>
    <row r="132" spans="1:30" x14ac:dyDescent="0.2">
      <c r="A132" t="s">
        <v>455</v>
      </c>
      <c r="C132">
        <v>0</v>
      </c>
      <c r="D132" t="s">
        <v>57</v>
      </c>
      <c r="E132">
        <v>2500</v>
      </c>
      <c r="F132" t="s">
        <v>56</v>
      </c>
      <c r="G132" t="s">
        <v>513</v>
      </c>
      <c r="H132" s="3" t="d">
        <v>21:00:00.000</v>
      </c>
      <c r="I132" t="s">
        <v>499</v>
      </c>
      <c r="J132" s="1">
        <v>0.45900000000000002</v>
      </c>
      <c r="K132">
        <v>-85</v>
      </c>
      <c r="L132">
        <v>6</v>
      </c>
      <c r="M132">
        <v>3</v>
      </c>
      <c r="N132">
        <v>2.8</v>
      </c>
      <c r="Q132" s="4" t="d">
        <v>09:13:00.00000000000202800</v>
      </c>
      <c r="R132">
        <v>1.6</v>
      </c>
      <c r="S132">
        <v>1.97</v>
      </c>
      <c r="T132">
        <v>0</v>
      </c>
      <c r="U132">
        <v>0</v>
      </c>
      <c r="V132">
        <v>0</v>
      </c>
      <c r="W132">
        <v>100</v>
      </c>
      <c r="Y132">
        <v>38</v>
      </c>
      <c r="Z132">
        <v>0</v>
      </c>
      <c r="AA132">
        <v>0</v>
      </c>
    </row>
    <row r="133" spans="1:30" x14ac:dyDescent="0.2">
      <c r="A133" t="s">
        <v>106</v>
      </c>
      <c r="C133">
        <v>0</v>
      </c>
      <c r="D133" t="s">
        <v>42</v>
      </c>
      <c r="E133">
        <v>6500</v>
      </c>
      <c r="F133" t="s">
        <v>56</v>
      </c>
      <c r="G133" t="s">
        <v>513</v>
      </c>
      <c r="H133" s="3" t="d">
        <v>21:00:00.000</v>
      </c>
      <c r="I133" t="s">
        <v>499</v>
      </c>
      <c r="J133" s="1">
        <v>0.45900000000000002</v>
      </c>
      <c r="K133">
        <v>-85</v>
      </c>
      <c r="L133">
        <v>6</v>
      </c>
      <c r="M133">
        <v>3</v>
      </c>
      <c r="N133">
        <v>2.8</v>
      </c>
      <c r="O133">
        <v>1</v>
      </c>
      <c r="P133">
        <v>1</v>
      </c>
      <c r="Q133" s="4" t="d">
        <v>18:29:00.00000000000341025</v>
      </c>
      <c r="R133">
        <v>9.3000000000000007</v>
      </c>
      <c r="S133">
        <v>8.64</v>
      </c>
      <c r="T133">
        <v>27.07</v>
      </c>
      <c r="U133">
        <v>9.7899999999999991</v>
      </c>
      <c r="V133">
        <v>9.7899999999999991</v>
      </c>
      <c r="W133">
        <v>100</v>
      </c>
      <c r="Y133">
        <v>54</v>
      </c>
      <c r="Z133">
        <v>1.5</v>
      </c>
      <c r="AA133">
        <v>0</v>
      </c>
      <c r="AB133" s="4" t="d">
        <v>18:06:59.99999999999850675</v>
      </c>
      <c r="AC133">
        <v>12.3</v>
      </c>
      <c r="AD133">
        <v>1.9</v>
      </c>
    </row>
    <row r="134" spans="1:30" x14ac:dyDescent="0.2">
      <c r="A134" t="s">
        <v>328</v>
      </c>
      <c r="C134">
        <v>0</v>
      </c>
      <c r="D134" t="s">
        <v>343</v>
      </c>
      <c r="E134">
        <v>2600</v>
      </c>
      <c r="F134" t="s">
        <v>61</v>
      </c>
      <c r="G134" t="s">
        <v>502</v>
      </c>
      <c r="H134" s="3" t="d">
        <v>18:59:59.9999999999968050</v>
      </c>
      <c r="I134" t="s">
        <v>503</v>
      </c>
      <c r="J134" s="1">
        <v>0.58299999999999996</v>
      </c>
      <c r="K134">
        <v>71.5</v>
      </c>
      <c r="L134">
        <v>6.5</v>
      </c>
      <c r="M134">
        <v>3.2</v>
      </c>
      <c r="N134">
        <v>3.25</v>
      </c>
      <c r="O134">
        <v>3</v>
      </c>
      <c r="P134">
        <v>2</v>
      </c>
      <c r="Q134" s="4" t="d">
        <v>13:50:59.99999999999552025</v>
      </c>
      <c r="R134">
        <v>5.5</v>
      </c>
      <c r="S134">
        <v>4.1399999999999997</v>
      </c>
      <c r="T134">
        <v>15.22</v>
      </c>
      <c r="U134">
        <v>6.94</v>
      </c>
      <c r="V134">
        <v>6.94</v>
      </c>
      <c r="W134">
        <v>100</v>
      </c>
      <c r="Y134">
        <v>62</v>
      </c>
      <c r="Z134">
        <v>2.7</v>
      </c>
      <c r="AA134">
        <v>0</v>
      </c>
      <c r="AB134" s="4" t="d">
        <v>10:51:00.00000000000031950</v>
      </c>
      <c r="AC134">
        <v>2.8</v>
      </c>
      <c r="AD134">
        <v>1.1000000000000001</v>
      </c>
    </row>
    <row r="135" spans="1:30" x14ac:dyDescent="0.2">
      <c r="A135" t="s">
        <v>261</v>
      </c>
      <c r="C135">
        <v>0</v>
      </c>
      <c r="D135" t="s">
        <v>343</v>
      </c>
      <c r="E135">
        <v>4400</v>
      </c>
      <c r="F135" t="s">
        <v>74</v>
      </c>
      <c r="G135" t="s">
        <v>514</v>
      </c>
      <c r="H135" s="3" t="d">
        <v>21:59:59.9999999999968050</v>
      </c>
      <c r="I135" t="s">
        <v>499</v>
      </c>
      <c r="J135" s="1">
        <v>0.47099999999999997</v>
      </c>
      <c r="K135">
        <v>-89</v>
      </c>
      <c r="L135">
        <v>6</v>
      </c>
      <c r="M135">
        <v>3.14</v>
      </c>
      <c r="N135">
        <v>3</v>
      </c>
      <c r="O135">
        <v>3</v>
      </c>
      <c r="P135">
        <v>2</v>
      </c>
      <c r="Q135" s="4" t="d">
        <v>16:19:00.000000000002344800</v>
      </c>
      <c r="R135">
        <v>8.4</v>
      </c>
      <c r="S135">
        <v>7.02</v>
      </c>
      <c r="T135">
        <v>25.44</v>
      </c>
      <c r="U135">
        <v>11.4</v>
      </c>
      <c r="V135">
        <v>11.4</v>
      </c>
      <c r="W135">
        <v>100</v>
      </c>
      <c r="Y135">
        <v>58</v>
      </c>
      <c r="Z135">
        <v>2.6</v>
      </c>
      <c r="AA135">
        <v>0</v>
      </c>
      <c r="AB135" s="4" t="d">
        <v>15:34:00.000000000002344800</v>
      </c>
      <c r="AC135">
        <v>5.8</v>
      </c>
      <c r="AD135">
        <v>1.3</v>
      </c>
    </row>
    <row r="136" spans="1:30" x14ac:dyDescent="0.2">
      <c r="A136" t="s">
        <v>525</v>
      </c>
      <c r="C136">
        <v>0</v>
      </c>
      <c r="D136" t="s">
        <v>57</v>
      </c>
      <c r="E136">
        <v>2600</v>
      </c>
      <c r="F136" t="s">
        <v>59</v>
      </c>
      <c r="G136" t="s">
        <v>521</v>
      </c>
      <c r="H136" s="3" t="d">
        <v>21:59:59.9999999999968050</v>
      </c>
      <c r="I136" t="s">
        <v>503</v>
      </c>
      <c r="J136" s="1">
        <v>0.52800000000000002</v>
      </c>
      <c r="K136">
        <v>89.5</v>
      </c>
      <c r="L136">
        <v>6</v>
      </c>
      <c r="M136">
        <v>2.77</v>
      </c>
      <c r="N136">
        <v>3</v>
      </c>
      <c r="O136">
        <v>2</v>
      </c>
      <c r="T136">
        <v>6.82</v>
      </c>
      <c r="U136">
        <v>6.82</v>
      </c>
      <c r="V136">
        <v>6.82</v>
      </c>
      <c r="W136">
        <v>100</v>
      </c>
      <c r="Y136">
        <v>0</v>
      </c>
      <c r="Z136">
        <v>2.6</v>
      </c>
      <c r="AA136">
        <v>0</v>
      </c>
    </row>
    <row r="137" spans="1:30" x14ac:dyDescent="0.2">
      <c r="A137" t="s">
        <v>115</v>
      </c>
      <c r="C137">
        <v>0</v>
      </c>
      <c r="D137" t="s">
        <v>42</v>
      </c>
      <c r="E137">
        <v>5200</v>
      </c>
      <c r="F137" t="s">
        <v>59</v>
      </c>
      <c r="G137" t="s">
        <v>521</v>
      </c>
      <c r="H137" s="3" t="d">
        <v>21:59:59.9999999999968050</v>
      </c>
      <c r="I137" t="s">
        <v>503</v>
      </c>
      <c r="J137" s="1">
        <v>0.52800000000000002</v>
      </c>
      <c r="K137">
        <v>89.5</v>
      </c>
      <c r="L137">
        <v>6</v>
      </c>
      <c r="M137">
        <v>2.77</v>
      </c>
      <c r="N137">
        <v>3</v>
      </c>
      <c r="O137">
        <v>1</v>
      </c>
      <c r="P137">
        <v>1</v>
      </c>
      <c r="Q137" s="4" t="d">
        <v>14:36:59.99999999999531175</v>
      </c>
      <c r="R137">
        <v>4.7</v>
      </c>
      <c r="S137">
        <v>4.88</v>
      </c>
      <c r="T137">
        <v>14.79</v>
      </c>
      <c r="U137">
        <v>5.03</v>
      </c>
      <c r="V137">
        <v>5.03</v>
      </c>
      <c r="W137">
        <v>100</v>
      </c>
      <c r="Y137">
        <v>48</v>
      </c>
      <c r="Z137">
        <v>1</v>
      </c>
      <c r="AA137">
        <v>0</v>
      </c>
      <c r="AB137" s="4" t="d">
        <v>16:08:00.000000000004689600</v>
      </c>
      <c r="AC137">
        <v>8.1999999999999993</v>
      </c>
      <c r="AD137">
        <v>1.6</v>
      </c>
    </row>
    <row r="138" spans="1:30" x14ac:dyDescent="0.2">
      <c r="A138" t="s">
        <v>141</v>
      </c>
      <c r="C138">
        <v>0</v>
      </c>
      <c r="D138" t="s">
        <v>57</v>
      </c>
      <c r="E138">
        <v>2500</v>
      </c>
      <c r="F138" t="s">
        <v>35</v>
      </c>
      <c r="G138" t="s">
        <v>516</v>
      </c>
      <c r="H138" s="3" t="d">
        <v>21:00:00.000</v>
      </c>
      <c r="I138" t="s">
        <v>503</v>
      </c>
      <c r="J138" s="1">
        <v>0.377</v>
      </c>
      <c r="K138">
        <v>165</v>
      </c>
      <c r="L138">
        <v>6.5</v>
      </c>
      <c r="M138">
        <v>3.25</v>
      </c>
      <c r="N138">
        <v>4.18</v>
      </c>
      <c r="O138">
        <v>3</v>
      </c>
      <c r="Q138" s="4" t="d">
        <v>17:06:00.00000000000191700</v>
      </c>
      <c r="R138">
        <v>4</v>
      </c>
      <c r="S138">
        <v>4.0199999999999996</v>
      </c>
      <c r="T138">
        <v>13.28</v>
      </c>
      <c r="U138">
        <v>5.24</v>
      </c>
      <c r="V138">
        <v>5.24</v>
      </c>
      <c r="W138">
        <v>100</v>
      </c>
      <c r="Y138">
        <v>50</v>
      </c>
      <c r="Z138">
        <v>2.1</v>
      </c>
      <c r="AA138">
        <v>0</v>
      </c>
      <c r="AB138" s="4" t="d">
        <v>13:20:00.00000000000213225</v>
      </c>
      <c r="AC138">
        <v>5</v>
      </c>
      <c r="AD138">
        <v>2</v>
      </c>
    </row>
    <row r="139" spans="1:30" x14ac:dyDescent="0.2">
      <c r="A139" t="s">
        <v>575</v>
      </c>
      <c r="C139">
        <v>0</v>
      </c>
      <c r="D139" t="s">
        <v>57</v>
      </c>
      <c r="E139">
        <v>2500</v>
      </c>
      <c r="F139" t="s">
        <v>505</v>
      </c>
      <c r="G139" t="s">
        <v>506</v>
      </c>
      <c r="H139" s="3" t="d">
        <v>18:59:59.9999999999968050</v>
      </c>
      <c r="I139" t="s">
        <v>499</v>
      </c>
      <c r="J139" s="1">
        <v>0.61399999999999999</v>
      </c>
      <c r="K139">
        <v>-159</v>
      </c>
      <c r="L139">
        <v>6</v>
      </c>
      <c r="M139">
        <v>3</v>
      </c>
      <c r="N139">
        <v>2.2400000000000002</v>
      </c>
      <c r="Q139" s="4" t="d">
        <v>17:27:59.99999999999722875</v>
      </c>
      <c r="R139">
        <v>4.0999999999999996</v>
      </c>
      <c r="S139">
        <v>4.2</v>
      </c>
      <c r="T139">
        <v>0</v>
      </c>
      <c r="U139">
        <v>0</v>
      </c>
      <c r="V139">
        <v>0</v>
      </c>
      <c r="W139">
        <v>100</v>
      </c>
      <c r="Y139">
        <v>49</v>
      </c>
      <c r="Z139">
        <v>0</v>
      </c>
      <c r="AA139">
        <v>0</v>
      </c>
    </row>
    <row r="140" spans="1:30" x14ac:dyDescent="0.2">
      <c r="A140" t="s">
        <v>228</v>
      </c>
      <c r="C140">
        <v>0</v>
      </c>
      <c r="D140" t="s">
        <v>57</v>
      </c>
      <c r="E140">
        <v>2700</v>
      </c>
      <c r="F140" t="s">
        <v>505</v>
      </c>
      <c r="G140" t="s">
        <v>506</v>
      </c>
      <c r="H140" s="3" t="d">
        <v>18:59:59.9999999999968050</v>
      </c>
      <c r="I140" t="s">
        <v>499</v>
      </c>
      <c r="J140" s="1">
        <v>0.61399999999999999</v>
      </c>
      <c r="K140">
        <v>-159</v>
      </c>
      <c r="L140">
        <v>6</v>
      </c>
      <c r="M140">
        <v>3</v>
      </c>
      <c r="N140">
        <v>2.2400000000000002</v>
      </c>
      <c r="O140">
        <v>2</v>
      </c>
      <c r="Q140" s="4" t="d">
        <v>18:45:00.000</v>
      </c>
      <c r="R140">
        <v>5.9</v>
      </c>
      <c r="S140">
        <v>3.76</v>
      </c>
      <c r="T140">
        <v>14.1</v>
      </c>
      <c r="U140">
        <v>6.58</v>
      </c>
      <c r="V140">
        <v>6.58</v>
      </c>
      <c r="W140">
        <v>100</v>
      </c>
      <c r="Y140">
        <v>68</v>
      </c>
      <c r="Z140">
        <v>2.4</v>
      </c>
      <c r="AA140">
        <v>0</v>
      </c>
      <c r="AB140" s="4" t="d">
        <v>19:32:59.99999999999936100</v>
      </c>
      <c r="AC140">
        <v>1.5</v>
      </c>
      <c r="AD140">
        <v>0.6</v>
      </c>
    </row>
    <row r="141" spans="1:30" x14ac:dyDescent="0.2">
      <c r="A141" t="s">
        <v>200</v>
      </c>
      <c r="C141">
        <v>0</v>
      </c>
      <c r="D141" t="s">
        <v>57</v>
      </c>
      <c r="E141">
        <v>3400</v>
      </c>
      <c r="F141" t="s">
        <v>52</v>
      </c>
      <c r="G141" t="s">
        <v>508</v>
      </c>
      <c r="H141" s="3" t="d">
        <v>20:00:00.0000000000031950</v>
      </c>
      <c r="I141" t="s">
        <v>499</v>
      </c>
      <c r="J141" s="1">
        <v>0.48599999999999999</v>
      </c>
      <c r="K141">
        <v>-94.5</v>
      </c>
      <c r="L141">
        <v>5.5</v>
      </c>
      <c r="M141">
        <v>3.07</v>
      </c>
      <c r="N141">
        <v>2.75</v>
      </c>
      <c r="O141">
        <v>1</v>
      </c>
      <c r="P141">
        <v>2</v>
      </c>
      <c r="Q141" s="4" t="d">
        <v>23:35:59.99999999999552025</v>
      </c>
      <c r="R141">
        <v>7.6</v>
      </c>
      <c r="S141">
        <v>6.04</v>
      </c>
      <c r="T141">
        <v>21.29</v>
      </c>
      <c r="U141">
        <v>9.2100000000000009</v>
      </c>
      <c r="V141">
        <v>9.2100000000000009</v>
      </c>
      <c r="W141">
        <v>100</v>
      </c>
      <c r="Y141">
        <v>60</v>
      </c>
      <c r="Z141">
        <v>2.7</v>
      </c>
      <c r="AA141">
        <v>0</v>
      </c>
      <c r="AB141" s="4" t="d">
        <v>22:16:00.00000000000298650</v>
      </c>
      <c r="AC141">
        <v>12.5</v>
      </c>
      <c r="AD141">
        <v>3.7</v>
      </c>
    </row>
    <row r="142" spans="1:30" x14ac:dyDescent="0.2">
      <c r="A142" t="s">
        <v>441</v>
      </c>
      <c r="C142">
        <v>0</v>
      </c>
      <c r="D142" t="s">
        <v>343</v>
      </c>
      <c r="E142">
        <v>2500</v>
      </c>
      <c r="F142" t="s">
        <v>500</v>
      </c>
      <c r="G142" t="s">
        <v>501</v>
      </c>
      <c r="H142" s="3" t="d">
        <v>21:59:59.9999999999968050</v>
      </c>
      <c r="I142" t="s">
        <v>499</v>
      </c>
      <c r="J142" s="1">
        <v>0.44600000000000001</v>
      </c>
      <c r="K142">
        <v>-80.5</v>
      </c>
      <c r="L142">
        <v>6.5</v>
      </c>
      <c r="M142">
        <v>3.38</v>
      </c>
      <c r="N142">
        <v>3.25</v>
      </c>
      <c r="Q142" s="4" t="d">
        <v>12:37:00.00000000000170850</v>
      </c>
      <c r="R142">
        <v>7.8</v>
      </c>
      <c r="S142">
        <v>15.18</v>
      </c>
      <c r="T142">
        <v>0</v>
      </c>
      <c r="U142">
        <v>0</v>
      </c>
      <c r="V142">
        <v>0</v>
      </c>
      <c r="W142">
        <v>100</v>
      </c>
      <c r="Y142">
        <v>3</v>
      </c>
      <c r="Z142">
        <v>0</v>
      </c>
      <c r="AA142">
        <v>0</v>
      </c>
    </row>
    <row r="143" spans="1:30" x14ac:dyDescent="0.2">
      <c r="A143" t="s">
        <v>577</v>
      </c>
      <c r="C143">
        <v>0</v>
      </c>
      <c r="D143" t="s">
        <v>57</v>
      </c>
      <c r="E143">
        <v>2500</v>
      </c>
      <c r="F143" t="s">
        <v>148</v>
      </c>
      <c r="G143" t="s">
        <v>512</v>
      </c>
      <c r="H143" s="3" t="d">
        <v>18:59:59.9999999999968050</v>
      </c>
      <c r="I143" t="s">
        <v>503</v>
      </c>
      <c r="J143" s="1">
        <v>0.38600000000000001</v>
      </c>
      <c r="K143">
        <v>159</v>
      </c>
      <c r="L143">
        <v>6</v>
      </c>
      <c r="M143">
        <v>2.2400000000000002</v>
      </c>
      <c r="N143">
        <v>3</v>
      </c>
      <c r="Q143" s="4" t="d">
        <v>18:06:59.99999999999850675</v>
      </c>
      <c r="R143">
        <v>3.2</v>
      </c>
      <c r="S143">
        <v>1.37</v>
      </c>
      <c r="T143">
        <v>0</v>
      </c>
      <c r="U143">
        <v>0</v>
      </c>
      <c r="V143">
        <v>0</v>
      </c>
      <c r="W143">
        <v>100</v>
      </c>
      <c r="Y143">
        <v>79</v>
      </c>
      <c r="Z143">
        <v>0</v>
      </c>
      <c r="AA143">
        <v>0</v>
      </c>
    </row>
    <row r="144" spans="1:30" x14ac:dyDescent="0.2">
      <c r="A144" t="s">
        <v>322</v>
      </c>
      <c r="C144">
        <v>0</v>
      </c>
      <c r="D144" t="s">
        <v>343</v>
      </c>
      <c r="E144">
        <v>4000</v>
      </c>
      <c r="F144" t="s">
        <v>56</v>
      </c>
      <c r="G144" t="s">
        <v>513</v>
      </c>
      <c r="H144" s="3" t="d">
        <v>21:00:00.000</v>
      </c>
      <c r="I144" t="s">
        <v>499</v>
      </c>
      <c r="J144" s="1">
        <v>0.45900000000000002</v>
      </c>
      <c r="K144">
        <v>-85</v>
      </c>
      <c r="L144">
        <v>6</v>
      </c>
      <c r="M144">
        <v>3</v>
      </c>
      <c r="N144">
        <v>2.8</v>
      </c>
      <c r="O144">
        <v>3</v>
      </c>
      <c r="P144">
        <v>2</v>
      </c>
      <c r="Q144" s="4" t="d">
        <v>12:44:00.00000000000021525</v>
      </c>
      <c r="R144">
        <v>6.9</v>
      </c>
      <c r="S144">
        <v>7.98</v>
      </c>
      <c r="T144">
        <v>23.55</v>
      </c>
      <c r="U144">
        <v>7.59</v>
      </c>
      <c r="V144">
        <v>7.59</v>
      </c>
      <c r="W144">
        <v>100</v>
      </c>
      <c r="Y144">
        <v>42</v>
      </c>
      <c r="Z144">
        <v>1.9</v>
      </c>
      <c r="AA144">
        <v>0</v>
      </c>
      <c r="AB144" s="4" t="d">
        <v>13:49:59.99999999999573550</v>
      </c>
      <c r="AC144">
        <v>2.6</v>
      </c>
      <c r="AD144">
        <v>0.7</v>
      </c>
    </row>
    <row r="145" spans="1:30" x14ac:dyDescent="0.2">
      <c r="A145" t="s">
        <v>167</v>
      </c>
      <c r="C145">
        <v>0</v>
      </c>
      <c r="D145" t="s">
        <v>343</v>
      </c>
      <c r="E145">
        <v>4300</v>
      </c>
      <c r="F145" t="s">
        <v>59</v>
      </c>
      <c r="G145" t="s">
        <v>521</v>
      </c>
      <c r="H145" s="3" t="d">
        <v>21:59:59.9999999999968050</v>
      </c>
      <c r="I145" t="s">
        <v>503</v>
      </c>
      <c r="J145" s="1">
        <v>0.52800000000000002</v>
      </c>
      <c r="K145">
        <v>89.5</v>
      </c>
      <c r="L145">
        <v>6</v>
      </c>
      <c r="M145">
        <v>2.77</v>
      </c>
      <c r="N145">
        <v>3</v>
      </c>
      <c r="O145">
        <v>1</v>
      </c>
      <c r="P145">
        <v>2</v>
      </c>
      <c r="Q145" s="4" t="d">
        <v>16:55:00.00000000000426450</v>
      </c>
      <c r="R145">
        <v>7.2</v>
      </c>
      <c r="S145">
        <v>5.76</v>
      </c>
      <c r="T145">
        <v>17.97</v>
      </c>
      <c r="U145">
        <v>6.45</v>
      </c>
      <c r="V145">
        <v>6.45</v>
      </c>
      <c r="W145">
        <v>100</v>
      </c>
      <c r="Y145">
        <v>60</v>
      </c>
      <c r="Z145">
        <v>1.5</v>
      </c>
      <c r="AA145">
        <v>0</v>
      </c>
      <c r="AB145" s="4" t="d">
        <v>15:33:00.00000000000255600</v>
      </c>
      <c r="AC145">
        <v>2.8</v>
      </c>
      <c r="AD145">
        <v>0.7</v>
      </c>
    </row>
    <row r="146" spans="1:30" x14ac:dyDescent="0.2">
      <c r="A146" t="s">
        <v>164</v>
      </c>
      <c r="C146">
        <v>0</v>
      </c>
      <c r="D146" t="s">
        <v>343</v>
      </c>
      <c r="E146">
        <v>2500</v>
      </c>
      <c r="F146" t="s">
        <v>509</v>
      </c>
      <c r="G146" t="s">
        <v>510</v>
      </c>
      <c r="H146" s="3" t="d">
        <v>21:59:59.9999999999968050</v>
      </c>
      <c r="I146" t="s">
        <v>499</v>
      </c>
      <c r="J146" s="1">
        <v>0.47199999999999998</v>
      </c>
      <c r="K146">
        <v>-89.5</v>
      </c>
      <c r="L146">
        <v>6</v>
      </c>
      <c r="M146">
        <v>3</v>
      </c>
      <c r="N146">
        <v>2.77</v>
      </c>
      <c r="O146">
        <v>4</v>
      </c>
      <c r="P146">
        <v>2</v>
      </c>
      <c r="Q146" s="4" t="d">
        <v>10:29:00.00000000000021525</v>
      </c>
      <c r="R146">
        <v>1.7</v>
      </c>
      <c r="S146">
        <v>1.71</v>
      </c>
      <c r="T146">
        <v>6.72</v>
      </c>
      <c r="U146">
        <v>3.3</v>
      </c>
      <c r="V146">
        <v>3.3</v>
      </c>
      <c r="W146">
        <v>100</v>
      </c>
      <c r="Y146">
        <v>50</v>
      </c>
      <c r="Z146">
        <v>1.3</v>
      </c>
      <c r="AA146">
        <v>0</v>
      </c>
      <c r="AB146" s="4" t="d">
        <v>11:32:00.00000000000117375</v>
      </c>
      <c r="AC146">
        <v>1.3</v>
      </c>
      <c r="AD146">
        <v>0.5</v>
      </c>
    </row>
    <row r="147" spans="1:30" x14ac:dyDescent="0.2">
      <c r="A147" t="s">
        <v>263</v>
      </c>
      <c r="C147">
        <v>0</v>
      </c>
      <c r="D147" t="s">
        <v>42</v>
      </c>
      <c r="E147">
        <v>4200</v>
      </c>
      <c r="F147" t="s">
        <v>59</v>
      </c>
      <c r="G147" t="s">
        <v>521</v>
      </c>
      <c r="H147" s="3" t="d">
        <v>21:59:59.9999999999968050</v>
      </c>
      <c r="I147" t="s">
        <v>503</v>
      </c>
      <c r="J147" s="1">
        <v>0.52800000000000002</v>
      </c>
      <c r="K147">
        <v>89.5</v>
      </c>
      <c r="L147">
        <v>6</v>
      </c>
      <c r="M147">
        <v>2.77</v>
      </c>
      <c r="N147">
        <v>3</v>
      </c>
      <c r="O147">
        <v>2</v>
      </c>
      <c r="P147">
        <v>2</v>
      </c>
      <c r="Q147" s="4" t="d">
        <v>15:32:00.00000000000277125</v>
      </c>
      <c r="R147">
        <v>8.1999999999999993</v>
      </c>
      <c r="S147">
        <v>9.4499999999999993</v>
      </c>
      <c r="T147">
        <v>26.2</v>
      </c>
      <c r="U147">
        <v>7.3</v>
      </c>
      <c r="V147">
        <v>7.3</v>
      </c>
      <c r="W147">
        <v>100</v>
      </c>
      <c r="Y147">
        <v>42</v>
      </c>
      <c r="Z147">
        <v>1.7</v>
      </c>
      <c r="AA147">
        <v>0</v>
      </c>
      <c r="AB147" s="4" t="d">
        <v>18:29:00.00000000000341025</v>
      </c>
      <c r="AC147">
        <v>3</v>
      </c>
      <c r="AD147">
        <v>0.7</v>
      </c>
    </row>
    <row r="148" spans="1:30" x14ac:dyDescent="0.2">
      <c r="A148" t="s">
        <v>256</v>
      </c>
      <c r="C148">
        <v>0</v>
      </c>
      <c r="D148" t="s">
        <v>57</v>
      </c>
      <c r="E148">
        <v>3600</v>
      </c>
      <c r="F148" t="s">
        <v>59</v>
      </c>
      <c r="G148" t="s">
        <v>521</v>
      </c>
      <c r="H148" s="3" t="d">
        <v>21:59:59.9999999999968050</v>
      </c>
      <c r="I148" t="s">
        <v>503</v>
      </c>
      <c r="J148" s="1">
        <v>0.52800000000000002</v>
      </c>
      <c r="K148">
        <v>89.5</v>
      </c>
      <c r="L148">
        <v>6</v>
      </c>
      <c r="M148">
        <v>2.77</v>
      </c>
      <c r="N148">
        <v>3</v>
      </c>
      <c r="O148">
        <v>1</v>
      </c>
      <c r="P148">
        <v>2</v>
      </c>
      <c r="Q148" s="5" t="d">
        <v>PT24H22M0.000S</v>
      </c>
      <c r="R148">
        <v>7.5</v>
      </c>
      <c r="S148">
        <v>4.16</v>
      </c>
      <c r="T148">
        <v>16.48</v>
      </c>
      <c r="U148">
        <v>8.16</v>
      </c>
      <c r="V148">
        <v>8.16</v>
      </c>
      <c r="W148">
        <v>100</v>
      </c>
      <c r="Y148">
        <v>72</v>
      </c>
      <c r="Z148">
        <v>2.2999999999999998</v>
      </c>
      <c r="AA148">
        <v>0</v>
      </c>
      <c r="AB148" s="5" t="d">
        <v>PT27H27M0.000S</v>
      </c>
      <c r="AC148">
        <v>4.0999999999999996</v>
      </c>
      <c r="AD148">
        <v>1.1000000000000001</v>
      </c>
    </row>
    <row r="149" spans="1:30" x14ac:dyDescent="0.2">
      <c r="A149" t="s">
        <v>319</v>
      </c>
      <c r="C149">
        <v>0</v>
      </c>
      <c r="D149" t="s">
        <v>42</v>
      </c>
      <c r="E149">
        <v>4300</v>
      </c>
      <c r="F149" t="s">
        <v>148</v>
      </c>
      <c r="G149" t="s">
        <v>512</v>
      </c>
      <c r="H149" s="3" t="d">
        <v>18:59:59.9999999999968050</v>
      </c>
      <c r="I149" t="s">
        <v>503</v>
      </c>
      <c r="J149" s="1">
        <v>0.38600000000000001</v>
      </c>
      <c r="K149">
        <v>159</v>
      </c>
      <c r="L149">
        <v>6</v>
      </c>
      <c r="M149">
        <v>2.2400000000000002</v>
      </c>
      <c r="N149">
        <v>3</v>
      </c>
      <c r="O149">
        <v>2</v>
      </c>
      <c r="P149">
        <v>2</v>
      </c>
      <c r="Q149" s="4" t="d">
        <v>18:17:59.99999999999616600</v>
      </c>
      <c r="R149">
        <v>8.1999999999999993</v>
      </c>
      <c r="S149">
        <v>5.86</v>
      </c>
      <c r="T149">
        <v>18.12</v>
      </c>
      <c r="U149">
        <v>6.4</v>
      </c>
      <c r="V149">
        <v>6.4</v>
      </c>
      <c r="W149">
        <v>100</v>
      </c>
      <c r="Y149">
        <v>64</v>
      </c>
      <c r="Z149">
        <v>1.5</v>
      </c>
      <c r="AA149">
        <v>0</v>
      </c>
      <c r="AB149" s="4" t="d">
        <v>20:36:59.99999999999531175</v>
      </c>
      <c r="AC149">
        <v>4.5</v>
      </c>
      <c r="AD149">
        <v>1</v>
      </c>
    </row>
    <row r="150" spans="1:30" x14ac:dyDescent="0.2">
      <c r="A150" t="s">
        <v>559</v>
      </c>
      <c r="C150">
        <v>0</v>
      </c>
      <c r="D150" t="s">
        <v>343</v>
      </c>
      <c r="E150">
        <v>3100</v>
      </c>
      <c r="F150" t="s">
        <v>64</v>
      </c>
      <c r="G150" t="s">
        <v>517</v>
      </c>
      <c r="H150" s="3" t="d">
        <v>21:59:59.9999999999968050</v>
      </c>
      <c r="I150" t="s">
        <v>503</v>
      </c>
      <c r="J150" s="1">
        <v>0.52900000000000003</v>
      </c>
      <c r="K150">
        <v>89</v>
      </c>
      <c r="L150">
        <v>6</v>
      </c>
      <c r="M150">
        <v>3</v>
      </c>
      <c r="N150">
        <v>3.14</v>
      </c>
      <c r="Q150" s="4" t="d">
        <v>12:27:00.00000000000383400</v>
      </c>
      <c r="R150">
        <v>4.8</v>
      </c>
      <c r="S150">
        <v>4.24</v>
      </c>
      <c r="T150">
        <v>0</v>
      </c>
      <c r="U150">
        <v>0</v>
      </c>
      <c r="V150">
        <v>0</v>
      </c>
      <c r="W150">
        <v>100</v>
      </c>
      <c r="Y150">
        <v>56</v>
      </c>
      <c r="Z150">
        <v>0</v>
      </c>
      <c r="AA150">
        <v>0</v>
      </c>
    </row>
    <row r="151" spans="1:30" x14ac:dyDescent="0.2">
      <c r="A151" t="s">
        <v>373</v>
      </c>
      <c r="C151">
        <v>0</v>
      </c>
      <c r="D151" t="s">
        <v>343</v>
      </c>
      <c r="E151">
        <v>2900</v>
      </c>
      <c r="F151" t="s">
        <v>74</v>
      </c>
      <c r="G151" t="s">
        <v>514</v>
      </c>
      <c r="H151" s="3" t="d">
        <v>21:59:59.9999999999968050</v>
      </c>
      <c r="I151" t="s">
        <v>499</v>
      </c>
      <c r="J151" s="1">
        <v>0.47099999999999997</v>
      </c>
      <c r="K151">
        <v>-89</v>
      </c>
      <c r="L151">
        <v>6</v>
      </c>
      <c r="M151">
        <v>3.14</v>
      </c>
      <c r="N151">
        <v>3</v>
      </c>
      <c r="T151">
        <v>0</v>
      </c>
      <c r="U151">
        <v>0</v>
      </c>
      <c r="V151">
        <v>0</v>
      </c>
      <c r="W151">
        <v>100</v>
      </c>
      <c r="Y151">
        <v>0</v>
      </c>
      <c r="Z151">
        <v>0</v>
      </c>
      <c r="AA151">
        <v>0</v>
      </c>
    </row>
    <row r="152" spans="1:30" x14ac:dyDescent="0.2">
      <c r="A152" t="s">
        <v>330</v>
      </c>
      <c r="C152">
        <v>0</v>
      </c>
      <c r="D152" t="s">
        <v>343</v>
      </c>
      <c r="E152">
        <v>2900</v>
      </c>
      <c r="F152" t="s">
        <v>85</v>
      </c>
      <c r="G152" t="s">
        <v>507</v>
      </c>
      <c r="H152" s="3" t="d">
        <v>21:59:59.9999999999968050</v>
      </c>
      <c r="I152" t="s">
        <v>503</v>
      </c>
      <c r="J152" s="1">
        <v>0.55400000000000005</v>
      </c>
      <c r="K152">
        <v>80.5</v>
      </c>
      <c r="L152">
        <v>6.5</v>
      </c>
      <c r="M152">
        <v>3.25</v>
      </c>
      <c r="N152">
        <v>3.38</v>
      </c>
      <c r="Q152" s="4" t="d">
        <v>14:35:59.99999999999552025</v>
      </c>
      <c r="R152">
        <v>4.5999999999999996</v>
      </c>
      <c r="S152">
        <v>4.78</v>
      </c>
      <c r="T152">
        <v>0</v>
      </c>
      <c r="U152">
        <v>0</v>
      </c>
      <c r="V152">
        <v>0</v>
      </c>
      <c r="W152">
        <v>100</v>
      </c>
      <c r="Y152">
        <v>48</v>
      </c>
      <c r="Z152">
        <v>0</v>
      </c>
      <c r="AA152">
        <v>0</v>
      </c>
      <c r="AB152" s="4" t="d">
        <v>13:39:59.99999999999786775</v>
      </c>
      <c r="AC152">
        <v>2.8</v>
      </c>
      <c r="AD152">
        <v>1</v>
      </c>
    </row>
    <row r="153" spans="1:30" x14ac:dyDescent="0.2">
      <c r="A153" t="s">
        <v>545</v>
      </c>
      <c r="C153">
        <v>0</v>
      </c>
      <c r="D153" t="s">
        <v>343</v>
      </c>
      <c r="E153">
        <v>5300</v>
      </c>
      <c r="F153" t="s">
        <v>48</v>
      </c>
      <c r="G153" t="s">
        <v>498</v>
      </c>
      <c r="H153" s="3" t="d">
        <v>21:00:00.000</v>
      </c>
      <c r="I153" t="s">
        <v>499</v>
      </c>
      <c r="J153" s="1">
        <v>0.623</v>
      </c>
      <c r="K153">
        <v>-165</v>
      </c>
      <c r="L153">
        <v>6.5</v>
      </c>
      <c r="M153">
        <v>4.18</v>
      </c>
      <c r="N153">
        <v>3.25</v>
      </c>
      <c r="Q153" s="4" t="d">
        <v>15:50:59.99999999999872200</v>
      </c>
      <c r="R153">
        <v>7.6</v>
      </c>
      <c r="S153">
        <v>6.78</v>
      </c>
      <c r="T153">
        <v>0</v>
      </c>
      <c r="U153">
        <v>0</v>
      </c>
      <c r="V153">
        <v>0</v>
      </c>
      <c r="W153">
        <v>100</v>
      </c>
      <c r="Y153">
        <v>55</v>
      </c>
      <c r="Z153">
        <v>0</v>
      </c>
      <c r="AA153">
        <v>0</v>
      </c>
    </row>
    <row r="154" spans="1:30" x14ac:dyDescent="0.2">
      <c r="A154" t="s">
        <v>305</v>
      </c>
      <c r="C154">
        <v>0</v>
      </c>
      <c r="D154" t="s">
        <v>343</v>
      </c>
      <c r="E154">
        <v>3200</v>
      </c>
      <c r="F154" t="s">
        <v>505</v>
      </c>
      <c r="G154" t="s">
        <v>506</v>
      </c>
      <c r="H154" s="3" t="d">
        <v>18:59:59.9999999999968050</v>
      </c>
      <c r="I154" t="s">
        <v>499</v>
      </c>
      <c r="J154" s="1">
        <v>0.61399999999999999</v>
      </c>
      <c r="K154">
        <v>-159</v>
      </c>
      <c r="L154">
        <v>6</v>
      </c>
      <c r="M154">
        <v>3</v>
      </c>
      <c r="N154">
        <v>2.2400000000000002</v>
      </c>
      <c r="O154">
        <v>2</v>
      </c>
      <c r="P154">
        <v>2</v>
      </c>
      <c r="Q154" s="4" t="d">
        <v>12:14:59.9999999999968050</v>
      </c>
      <c r="R154">
        <v>4.0999999999999996</v>
      </c>
      <c r="S154">
        <v>4.6500000000000004</v>
      </c>
      <c r="T154">
        <v>13.93</v>
      </c>
      <c r="U154">
        <v>4.63</v>
      </c>
      <c r="V154">
        <v>4.63</v>
      </c>
      <c r="W154">
        <v>100</v>
      </c>
      <c r="Y154">
        <v>43</v>
      </c>
      <c r="Z154">
        <v>1.4</v>
      </c>
      <c r="AA154">
        <v>0</v>
      </c>
      <c r="AB154" s="4" t="d">
        <v>15:15:59.99999999999658975</v>
      </c>
      <c r="AC154">
        <v>3</v>
      </c>
      <c r="AD154">
        <v>0.9</v>
      </c>
    </row>
    <row r="155" spans="1:30" x14ac:dyDescent="0.2">
      <c r="A155" t="s">
        <v>97</v>
      </c>
      <c r="C155">
        <v>0</v>
      </c>
      <c r="D155" t="s">
        <v>343</v>
      </c>
      <c r="E155">
        <v>2500</v>
      </c>
      <c r="F155" t="s">
        <v>35</v>
      </c>
      <c r="G155" t="s">
        <v>516</v>
      </c>
      <c r="H155" s="3" t="d">
        <v>21:00:00.000</v>
      </c>
      <c r="I155" t="s">
        <v>503</v>
      </c>
      <c r="J155" s="1">
        <v>0.377</v>
      </c>
      <c r="K155">
        <v>165</v>
      </c>
      <c r="L155">
        <v>6.5</v>
      </c>
      <c r="M155">
        <v>3.25</v>
      </c>
      <c r="N155">
        <v>4.18</v>
      </c>
      <c r="O155">
        <v>4</v>
      </c>
      <c r="Q155" s="4" t="d">
        <v>10:22:00.00000000000170850</v>
      </c>
      <c r="R155">
        <v>1.9</v>
      </c>
      <c r="S155">
        <v>2.61</v>
      </c>
      <c r="T155">
        <v>7.72</v>
      </c>
      <c r="U155">
        <v>2.5</v>
      </c>
      <c r="V155">
        <v>2.5</v>
      </c>
      <c r="W155">
        <v>100</v>
      </c>
      <c r="Y155">
        <v>31</v>
      </c>
      <c r="Z155">
        <v>1</v>
      </c>
      <c r="AA155">
        <v>0</v>
      </c>
      <c r="AB155" s="4" t="d">
        <v>08:10:00.00000000000106275</v>
      </c>
      <c r="AC155">
        <v>6.3</v>
      </c>
      <c r="AD155">
        <v>2.5</v>
      </c>
    </row>
    <row r="156" spans="1:30" x14ac:dyDescent="0.2">
      <c r="A156" t="s">
        <v>327</v>
      </c>
      <c r="C156">
        <v>0</v>
      </c>
      <c r="D156" t="s">
        <v>343</v>
      </c>
      <c r="E156">
        <v>2600</v>
      </c>
      <c r="F156" t="s">
        <v>48</v>
      </c>
      <c r="G156" t="s">
        <v>498</v>
      </c>
      <c r="H156" s="3" t="d">
        <v>21:00:00.000</v>
      </c>
      <c r="I156" t="s">
        <v>499</v>
      </c>
      <c r="J156" s="1">
        <v>0.623</v>
      </c>
      <c r="K156">
        <v>-165</v>
      </c>
      <c r="L156">
        <v>6.5</v>
      </c>
      <c r="M156">
        <v>4.18</v>
      </c>
      <c r="N156">
        <v>3.25</v>
      </c>
      <c r="O156">
        <v>3</v>
      </c>
      <c r="Q156" s="4" t="d">
        <v>10:28:00.00000000000042375</v>
      </c>
      <c r="R156">
        <v>4.2</v>
      </c>
      <c r="S156">
        <v>5.14</v>
      </c>
      <c r="T156">
        <v>16.899999999999999</v>
      </c>
      <c r="U156">
        <v>6.62</v>
      </c>
      <c r="V156">
        <v>6.62</v>
      </c>
      <c r="W156">
        <v>100</v>
      </c>
      <c r="Y156">
        <v>39</v>
      </c>
      <c r="Z156">
        <v>2.5</v>
      </c>
      <c r="AA156">
        <v>0</v>
      </c>
      <c r="AB156" s="4" t="d">
        <v>10:59:59.9999999999984025</v>
      </c>
      <c r="AC156">
        <v>5.8</v>
      </c>
      <c r="AD156">
        <v>2.2000000000000002</v>
      </c>
    </row>
    <row r="157" spans="1:30" x14ac:dyDescent="0.2">
      <c r="A157" t="s">
        <v>608</v>
      </c>
      <c r="C157">
        <v>0</v>
      </c>
      <c r="D157" t="s">
        <v>57</v>
      </c>
      <c r="E157">
        <v>2500</v>
      </c>
      <c r="F157" t="s">
        <v>59</v>
      </c>
      <c r="G157" t="s">
        <v>521</v>
      </c>
      <c r="H157" s="3" t="d">
        <v>21:59:59.9999999999968050</v>
      </c>
      <c r="I157" t="s">
        <v>503</v>
      </c>
      <c r="J157" s="1">
        <v>0.52800000000000002</v>
      </c>
      <c r="K157">
        <v>89.5</v>
      </c>
      <c r="L157">
        <v>6</v>
      </c>
      <c r="M157">
        <v>2.77</v>
      </c>
      <c r="N157">
        <v>3</v>
      </c>
      <c r="T157">
        <v>0</v>
      </c>
      <c r="U157">
        <v>0</v>
      </c>
      <c r="V157">
        <v>0</v>
      </c>
      <c r="W157">
        <v>100</v>
      </c>
      <c r="Y157">
        <v>0</v>
      </c>
      <c r="Z157">
        <v>0</v>
      </c>
      <c r="AA157">
        <v>0</v>
      </c>
    </row>
    <row r="158" spans="1:30" x14ac:dyDescent="0.2">
      <c r="A158" t="s">
        <v>142</v>
      </c>
      <c r="C158">
        <v>0</v>
      </c>
      <c r="D158" t="s">
        <v>42</v>
      </c>
      <c r="E158">
        <v>2500</v>
      </c>
      <c r="F158" t="s">
        <v>56</v>
      </c>
      <c r="G158" t="s">
        <v>513</v>
      </c>
      <c r="H158" s="3" t="d">
        <v>21:00:00.000</v>
      </c>
      <c r="I158" t="s">
        <v>499</v>
      </c>
      <c r="J158" s="1">
        <v>0.45900000000000002</v>
      </c>
      <c r="K158">
        <v>-85</v>
      </c>
      <c r="L158">
        <v>6</v>
      </c>
      <c r="M158">
        <v>3</v>
      </c>
      <c r="N158">
        <v>2.8</v>
      </c>
      <c r="O158">
        <v>4</v>
      </c>
      <c r="Q158" s="4" t="d">
        <v>08:53:00.00000000000149325</v>
      </c>
      <c r="R158">
        <v>2.2000000000000002</v>
      </c>
      <c r="S158">
        <v>3.01</v>
      </c>
      <c r="T158">
        <v>8.26</v>
      </c>
      <c r="U158">
        <v>2.2400000000000002</v>
      </c>
      <c r="V158">
        <v>2.2400000000000002</v>
      </c>
      <c r="W158">
        <v>100</v>
      </c>
      <c r="Y158">
        <v>32</v>
      </c>
      <c r="Z158">
        <v>0.9</v>
      </c>
      <c r="AA158">
        <v>0</v>
      </c>
      <c r="AB158" s="4" t="d">
        <v>09:31:59.99999999999797200</v>
      </c>
      <c r="AC158">
        <v>13</v>
      </c>
      <c r="AD158">
        <v>5.2</v>
      </c>
    </row>
    <row r="159" spans="1:30" x14ac:dyDescent="0.2">
      <c r="A159" t="s">
        <v>564</v>
      </c>
      <c r="C159">
        <v>0</v>
      </c>
      <c r="D159" t="s">
        <v>57</v>
      </c>
      <c r="E159">
        <v>2500</v>
      </c>
      <c r="F159" t="s">
        <v>61</v>
      </c>
      <c r="G159" t="s">
        <v>502</v>
      </c>
      <c r="H159" s="3" t="d">
        <v>18:59:59.9999999999968050</v>
      </c>
      <c r="I159" t="s">
        <v>503</v>
      </c>
      <c r="J159" s="1">
        <v>0.58299999999999996</v>
      </c>
      <c r="K159">
        <v>71.5</v>
      </c>
      <c r="L159">
        <v>6.5</v>
      </c>
      <c r="M159">
        <v>3.2</v>
      </c>
      <c r="N159">
        <v>3.25</v>
      </c>
      <c r="Q159" s="4" t="d">
        <v>15:26:00.00000000000404925</v>
      </c>
      <c r="R159">
        <v>4.4000000000000004</v>
      </c>
      <c r="S159">
        <v>3.82</v>
      </c>
      <c r="T159">
        <v>0</v>
      </c>
      <c r="U159">
        <v>0</v>
      </c>
      <c r="V159">
        <v>0</v>
      </c>
      <c r="W159">
        <v>100</v>
      </c>
      <c r="Y159">
        <v>57</v>
      </c>
      <c r="Z159">
        <v>0</v>
      </c>
      <c r="AA159">
        <v>0</v>
      </c>
    </row>
    <row r="160" spans="1:30" x14ac:dyDescent="0.2">
      <c r="A160" t="s">
        <v>586</v>
      </c>
      <c r="C160">
        <v>0</v>
      </c>
      <c r="D160" t="s">
        <v>343</v>
      </c>
      <c r="E160">
        <v>2500</v>
      </c>
      <c r="F160" t="s">
        <v>45</v>
      </c>
      <c r="G160" t="s">
        <v>523</v>
      </c>
      <c r="H160" s="3" t="d">
        <v>20:00:00.0000000000031950</v>
      </c>
      <c r="I160" t="s">
        <v>503</v>
      </c>
      <c r="J160" s="1">
        <v>0.51400000000000001</v>
      </c>
      <c r="K160">
        <v>94.5</v>
      </c>
      <c r="L160">
        <v>5.5</v>
      </c>
      <c r="M160">
        <v>2.75</v>
      </c>
      <c r="N160">
        <v>3.07</v>
      </c>
      <c r="Q160" s="4" t="d">
        <v>10:52:00.00000000000010425</v>
      </c>
      <c r="R160">
        <v>7.4</v>
      </c>
      <c r="S160">
        <v>3.24</v>
      </c>
      <c r="T160">
        <v>0</v>
      </c>
      <c r="U160">
        <v>0</v>
      </c>
      <c r="V160">
        <v>0</v>
      </c>
      <c r="W160">
        <v>100</v>
      </c>
      <c r="Y160">
        <v>78</v>
      </c>
      <c r="Z160">
        <v>0</v>
      </c>
      <c r="AA160">
        <v>0</v>
      </c>
    </row>
    <row r="161" spans="1:30" x14ac:dyDescent="0.2">
      <c r="A161" t="s">
        <v>376</v>
      </c>
      <c r="C161">
        <v>0</v>
      </c>
      <c r="D161" t="s">
        <v>57</v>
      </c>
      <c r="E161">
        <v>2500</v>
      </c>
      <c r="F161" t="s">
        <v>117</v>
      </c>
      <c r="G161" t="s">
        <v>518</v>
      </c>
      <c r="H161" s="3" t="d">
        <v>21:00:00.000</v>
      </c>
      <c r="I161" t="s">
        <v>503</v>
      </c>
      <c r="J161" s="1">
        <v>0.54100000000000004</v>
      </c>
      <c r="K161">
        <v>85</v>
      </c>
      <c r="L161">
        <v>6</v>
      </c>
      <c r="M161">
        <v>2.8</v>
      </c>
      <c r="N161">
        <v>3</v>
      </c>
      <c r="O161">
        <v>3</v>
      </c>
      <c r="P161">
        <v>2</v>
      </c>
      <c r="Q161" s="4" t="d">
        <v>13:53:00.000000000004689600</v>
      </c>
      <c r="R161">
        <v>2.4</v>
      </c>
      <c r="S161">
        <v>2.16</v>
      </c>
      <c r="T161">
        <v>8.35</v>
      </c>
      <c r="U161">
        <v>4.03</v>
      </c>
      <c r="V161">
        <v>4.03</v>
      </c>
      <c r="W161">
        <v>100</v>
      </c>
      <c r="Y161">
        <v>55</v>
      </c>
      <c r="Z161">
        <v>1.6</v>
      </c>
      <c r="AA161">
        <v>0</v>
      </c>
    </row>
    <row r="162" spans="1:30" x14ac:dyDescent="0.2">
      <c r="A162" t="s">
        <v>590</v>
      </c>
      <c r="C162">
        <v>0</v>
      </c>
      <c r="D162" t="s">
        <v>57</v>
      </c>
      <c r="E162">
        <v>2500</v>
      </c>
      <c r="F162" t="s">
        <v>35</v>
      </c>
      <c r="G162" t="s">
        <v>516</v>
      </c>
      <c r="H162" s="3" t="d">
        <v>21:00:00.000</v>
      </c>
      <c r="I162" t="s">
        <v>503</v>
      </c>
      <c r="J162" s="1">
        <v>0.377</v>
      </c>
      <c r="K162">
        <v>165</v>
      </c>
      <c r="L162">
        <v>6.5</v>
      </c>
      <c r="M162">
        <v>3.25</v>
      </c>
      <c r="N162">
        <v>4.18</v>
      </c>
      <c r="T162">
        <v>0</v>
      </c>
      <c r="U162">
        <v>0</v>
      </c>
      <c r="V162">
        <v>0</v>
      </c>
      <c r="W162">
        <v>100</v>
      </c>
      <c r="Y162">
        <v>0</v>
      </c>
      <c r="Z162">
        <v>0</v>
      </c>
      <c r="AA162">
        <v>0</v>
      </c>
    </row>
    <row r="163" spans="1:30" x14ac:dyDescent="0.2">
      <c r="A163" t="s">
        <v>143</v>
      </c>
      <c r="C163">
        <v>0</v>
      </c>
      <c r="D163" t="s">
        <v>343</v>
      </c>
      <c r="E163">
        <v>2500</v>
      </c>
      <c r="F163" t="s">
        <v>64</v>
      </c>
      <c r="G163" t="s">
        <v>517</v>
      </c>
      <c r="H163" s="3" t="d">
        <v>21:59:59.9999999999968050</v>
      </c>
      <c r="I163" t="s">
        <v>503</v>
      </c>
      <c r="J163" s="1">
        <v>0.52900000000000003</v>
      </c>
      <c r="K163">
        <v>89</v>
      </c>
      <c r="L163">
        <v>6</v>
      </c>
      <c r="M163">
        <v>3</v>
      </c>
      <c r="N163">
        <v>3.14</v>
      </c>
      <c r="O163">
        <v>4</v>
      </c>
      <c r="Q163" s="4" t="d">
        <v>14:17:59.99999999999936100</v>
      </c>
      <c r="R163">
        <v>5.5</v>
      </c>
      <c r="S163">
        <v>4.1500000000000004</v>
      </c>
      <c r="T163">
        <v>15.34</v>
      </c>
      <c r="U163">
        <v>7.04</v>
      </c>
      <c r="V163">
        <v>7.04</v>
      </c>
      <c r="W163">
        <v>100</v>
      </c>
      <c r="Y163">
        <v>62</v>
      </c>
      <c r="Z163">
        <v>2.8</v>
      </c>
      <c r="AA163">
        <v>0</v>
      </c>
      <c r="AB163" s="4" t="d">
        <v>14:18:59.99999999999914575</v>
      </c>
      <c r="AC163">
        <v>7.8</v>
      </c>
      <c r="AD163">
        <v>3.1</v>
      </c>
    </row>
    <row r="164" spans="1:30" x14ac:dyDescent="0.2">
      <c r="A164" t="s">
        <v>363</v>
      </c>
      <c r="C164">
        <v>0</v>
      </c>
      <c r="D164" t="s">
        <v>343</v>
      </c>
      <c r="E164">
        <v>3800</v>
      </c>
      <c r="F164" t="s">
        <v>500</v>
      </c>
      <c r="G164" t="s">
        <v>501</v>
      </c>
      <c r="H164" s="3" t="d">
        <v>21:59:59.9999999999968050</v>
      </c>
      <c r="I164" t="s">
        <v>499</v>
      </c>
      <c r="J164" s="1">
        <v>0.44600000000000001</v>
      </c>
      <c r="K164">
        <v>-80.5</v>
      </c>
      <c r="L164">
        <v>6.5</v>
      </c>
      <c r="M164">
        <v>3.38</v>
      </c>
      <c r="N164">
        <v>3.25</v>
      </c>
      <c r="P164">
        <v>2</v>
      </c>
      <c r="Q164" s="4" t="d">
        <v>15:46:59.99999999999957625</v>
      </c>
      <c r="R164">
        <v>7.6</v>
      </c>
      <c r="S164">
        <v>5.96</v>
      </c>
      <c r="T164">
        <v>0</v>
      </c>
      <c r="U164">
        <v>0</v>
      </c>
      <c r="V164">
        <v>0</v>
      </c>
      <c r="W164">
        <v>100</v>
      </c>
      <c r="Y164">
        <v>61</v>
      </c>
      <c r="Z164">
        <v>0</v>
      </c>
      <c r="AA164">
        <v>0</v>
      </c>
    </row>
    <row r="165" spans="1:30" x14ac:dyDescent="0.2">
      <c r="A165" t="s">
        <v>535</v>
      </c>
      <c r="C165">
        <v>0</v>
      </c>
      <c r="D165" t="s">
        <v>346</v>
      </c>
      <c r="E165">
        <v>7200</v>
      </c>
      <c r="F165" t="s">
        <v>85</v>
      </c>
      <c r="G165" t="s">
        <v>507</v>
      </c>
      <c r="H165" s="3" t="d">
        <v>21:59:59.9999999999968050</v>
      </c>
      <c r="I165" t="s">
        <v>503</v>
      </c>
      <c r="J165" s="1">
        <v>0.55400000000000005</v>
      </c>
      <c r="K165">
        <v>80.5</v>
      </c>
      <c r="L165">
        <v>6.5</v>
      </c>
      <c r="M165">
        <v>3.25</v>
      </c>
      <c r="N165">
        <v>3.38</v>
      </c>
      <c r="O165" t="s">
        <v>528</v>
      </c>
      <c r="Q165" s="5" t="d">
        <v>PT58H53M0.000S</v>
      </c>
      <c r="R165">
        <v>12.7</v>
      </c>
      <c r="S165">
        <v>8.94</v>
      </c>
      <c r="T165">
        <v>0</v>
      </c>
      <c r="U165">
        <v>0</v>
      </c>
      <c r="V165">
        <v>0</v>
      </c>
      <c r="W165">
        <v>100</v>
      </c>
      <c r="Y165">
        <v>65</v>
      </c>
      <c r="Z165">
        <v>0</v>
      </c>
      <c r="AA165">
        <v>0</v>
      </c>
    </row>
    <row r="166" spans="1:30" x14ac:dyDescent="0.2">
      <c r="A166" t="s">
        <v>274</v>
      </c>
      <c r="C166">
        <v>0</v>
      </c>
      <c r="D166" t="s">
        <v>57</v>
      </c>
      <c r="E166">
        <v>2500</v>
      </c>
      <c r="F166" t="s">
        <v>52</v>
      </c>
      <c r="G166" t="s">
        <v>508</v>
      </c>
      <c r="H166" s="3" t="d">
        <v>20:00:00.0000000000031950</v>
      </c>
      <c r="I166" t="s">
        <v>499</v>
      </c>
      <c r="J166" s="1">
        <v>0.48599999999999999</v>
      </c>
      <c r="K166">
        <v>-94.5</v>
      </c>
      <c r="L166">
        <v>5.5</v>
      </c>
      <c r="M166">
        <v>3.07</v>
      </c>
      <c r="N166">
        <v>2.75</v>
      </c>
      <c r="O166">
        <v>3</v>
      </c>
      <c r="Q166" s="4" t="d">
        <v>16:24:00.00000000000127800</v>
      </c>
      <c r="R166">
        <v>4.9000000000000004</v>
      </c>
      <c r="S166">
        <v>3.82</v>
      </c>
      <c r="T166">
        <v>13.69</v>
      </c>
      <c r="U166">
        <v>6.05</v>
      </c>
      <c r="V166">
        <v>6.05</v>
      </c>
      <c r="W166">
        <v>100</v>
      </c>
      <c r="Y166">
        <v>61</v>
      </c>
      <c r="Z166">
        <v>2.4</v>
      </c>
      <c r="AA166">
        <v>0</v>
      </c>
      <c r="AB166" s="4" t="d">
        <v>07:07:00.00000000000010425</v>
      </c>
      <c r="AC166">
        <v>2.6</v>
      </c>
      <c r="AD166">
        <v>1</v>
      </c>
    </row>
    <row r="167" spans="1:30" x14ac:dyDescent="0.2">
      <c r="A167" t="s">
        <v>291</v>
      </c>
      <c r="C167">
        <v>0</v>
      </c>
      <c r="D167" t="s">
        <v>343</v>
      </c>
      <c r="E167">
        <v>2900</v>
      </c>
      <c r="F167" t="s">
        <v>148</v>
      </c>
      <c r="G167" t="s">
        <v>512</v>
      </c>
      <c r="H167" s="3" t="d">
        <v>18:59:59.9999999999968050</v>
      </c>
      <c r="I167" t="s">
        <v>503</v>
      </c>
      <c r="J167" s="1">
        <v>0.38600000000000001</v>
      </c>
      <c r="K167">
        <v>159</v>
      </c>
      <c r="L167">
        <v>6</v>
      </c>
      <c r="M167">
        <v>2.2400000000000002</v>
      </c>
      <c r="N167">
        <v>3</v>
      </c>
      <c r="O167">
        <v>1</v>
      </c>
      <c r="Q167" s="4" t="d">
        <v>17:30:59.99999999999658975</v>
      </c>
      <c r="R167">
        <v>5.4</v>
      </c>
      <c r="S167">
        <v>6.12</v>
      </c>
      <c r="T167">
        <v>16.61</v>
      </c>
      <c r="U167">
        <v>4.37</v>
      </c>
      <c r="V167">
        <v>4.37</v>
      </c>
      <c r="W167">
        <v>100</v>
      </c>
      <c r="Y167">
        <v>43</v>
      </c>
      <c r="Z167">
        <v>1.5</v>
      </c>
      <c r="AA167">
        <v>0</v>
      </c>
      <c r="AB167" s="4" t="d">
        <v>20:15:59.999999999999786775</v>
      </c>
      <c r="AC167">
        <v>3</v>
      </c>
      <c r="AD167">
        <v>1</v>
      </c>
    </row>
    <row r="168" spans="1:30" x14ac:dyDescent="0.2">
      <c r="A168" t="s">
        <v>49</v>
      </c>
      <c r="C168">
        <v>0</v>
      </c>
      <c r="D168" t="s">
        <v>343</v>
      </c>
      <c r="E168">
        <v>4000</v>
      </c>
      <c r="F168" t="s">
        <v>39</v>
      </c>
      <c r="G168" t="s">
        <v>504</v>
      </c>
      <c r="H168" s="3" t="d">
        <v>18:59:59.9999999999968050</v>
      </c>
      <c r="I168" t="s">
        <v>499</v>
      </c>
      <c r="J168" s="1">
        <v>0.41699999999999998</v>
      </c>
      <c r="K168">
        <v>-71.5</v>
      </c>
      <c r="L168">
        <v>6.5</v>
      </c>
      <c r="M168">
        <v>3.25</v>
      </c>
      <c r="N168">
        <v>3.2</v>
      </c>
      <c r="O168">
        <v>1</v>
      </c>
      <c r="P168">
        <v>2</v>
      </c>
      <c r="Q168" s="4" t="d">
        <v>16:02:59.99999999999616600</v>
      </c>
      <c r="R168">
        <v>7.1</v>
      </c>
      <c r="S168">
        <v>5.94</v>
      </c>
      <c r="T168">
        <v>19.420000000000002</v>
      </c>
      <c r="U168">
        <v>7.54</v>
      </c>
      <c r="V168">
        <v>7.54</v>
      </c>
      <c r="W168">
        <v>100</v>
      </c>
      <c r="Y168">
        <v>58</v>
      </c>
      <c r="Z168">
        <v>1.9</v>
      </c>
      <c r="AA168">
        <v>0</v>
      </c>
      <c r="AB168" s="4" t="d">
        <v>17:47:00.00000000000277125</v>
      </c>
      <c r="AC168">
        <v>12.8</v>
      </c>
      <c r="AD168">
        <v>3.2</v>
      </c>
    </row>
    <row r="169" spans="1:30" x14ac:dyDescent="0.2">
      <c r="A169" t="s">
        <v>456</v>
      </c>
      <c r="C169">
        <v>0</v>
      </c>
      <c r="D169" t="s">
        <v>343</v>
      </c>
      <c r="E169">
        <v>2500</v>
      </c>
      <c r="F169" t="s">
        <v>48</v>
      </c>
      <c r="G169" t="s">
        <v>498</v>
      </c>
      <c r="H169" s="3" t="d">
        <v>21:00:00.000</v>
      </c>
      <c r="I169" t="s">
        <v>499</v>
      </c>
      <c r="J169" s="1">
        <v>0.623</v>
      </c>
      <c r="K169">
        <v>-165</v>
      </c>
      <c r="L169">
        <v>6.5</v>
      </c>
      <c r="M169">
        <v>4.18</v>
      </c>
      <c r="N169">
        <v>3.25</v>
      </c>
      <c r="Q169" s="4" t="d">
        <v>07:44:00.00000000000181275</v>
      </c>
      <c r="R169">
        <v>1.8</v>
      </c>
      <c r="S169">
        <v>2.74</v>
      </c>
      <c r="T169">
        <v>0</v>
      </c>
      <c r="U169">
        <v>0</v>
      </c>
      <c r="V169">
        <v>0</v>
      </c>
      <c r="W169">
        <v>100</v>
      </c>
      <c r="Y169">
        <v>24</v>
      </c>
      <c r="Z169">
        <v>0</v>
      </c>
      <c r="AA169">
        <v>0</v>
      </c>
    </row>
    <row r="170" spans="1:30" x14ac:dyDescent="0.2">
      <c r="A170" t="s">
        <v>603</v>
      </c>
      <c r="C170">
        <v>0</v>
      </c>
      <c r="D170" t="s">
        <v>343</v>
      </c>
      <c r="E170">
        <v>2500</v>
      </c>
      <c r="F170" t="s">
        <v>56</v>
      </c>
      <c r="G170" t="s">
        <v>513</v>
      </c>
      <c r="H170" s="3" t="d">
        <v>21:00:00.000</v>
      </c>
      <c r="I170" t="s">
        <v>499</v>
      </c>
      <c r="J170" s="1">
        <v>0.45900000000000002</v>
      </c>
      <c r="K170">
        <v>-85</v>
      </c>
      <c r="L170">
        <v>6</v>
      </c>
      <c r="M170">
        <v>3</v>
      </c>
      <c r="N170">
        <v>2.8</v>
      </c>
      <c r="Q170" s="4" t="d">
        <v>11:19:59.99999999999893725</v>
      </c>
      <c r="R170">
        <v>3.7</v>
      </c>
      <c r="S170">
        <v>1.31</v>
      </c>
      <c r="T170">
        <v>0</v>
      </c>
      <c r="U170">
        <v>0</v>
      </c>
      <c r="V170">
        <v>0</v>
      </c>
      <c r="W170">
        <v>100</v>
      </c>
      <c r="Y170">
        <v>82</v>
      </c>
      <c r="Z170">
        <v>0</v>
      </c>
      <c r="AA170">
        <v>0</v>
      </c>
    </row>
    <row r="171" spans="1:30" x14ac:dyDescent="0.2">
      <c r="A171" t="s">
        <v>306</v>
      </c>
      <c r="C171">
        <v>0</v>
      </c>
      <c r="D171" t="s">
        <v>57</v>
      </c>
      <c r="E171">
        <v>3100</v>
      </c>
      <c r="F171" t="s">
        <v>505</v>
      </c>
      <c r="G171" t="s">
        <v>506</v>
      </c>
      <c r="H171" s="3" t="d">
        <v>18:59:59.9999999999968050</v>
      </c>
      <c r="I171" t="s">
        <v>499</v>
      </c>
      <c r="J171" s="1">
        <v>0.61399999999999999</v>
      </c>
      <c r="K171">
        <v>-159</v>
      </c>
      <c r="L171">
        <v>6</v>
      </c>
      <c r="M171">
        <v>3</v>
      </c>
      <c r="N171">
        <v>2.2400000000000002</v>
      </c>
      <c r="O171">
        <v>1</v>
      </c>
      <c r="Q171" s="4" t="d">
        <v>21:41:00.00000000000085425</v>
      </c>
      <c r="R171">
        <v>6</v>
      </c>
      <c r="S171">
        <v>4.6500000000000004</v>
      </c>
      <c r="T171">
        <v>16.77</v>
      </c>
      <c r="U171">
        <v>7.47</v>
      </c>
      <c r="V171">
        <v>7.47</v>
      </c>
      <c r="W171">
        <v>100</v>
      </c>
      <c r="Y171">
        <v>61</v>
      </c>
      <c r="Z171">
        <v>2.4</v>
      </c>
      <c r="AA171">
        <v>0</v>
      </c>
      <c r="AB171" s="5" t="d">
        <v>PT24H51M0.000S</v>
      </c>
      <c r="AC171">
        <v>5.6</v>
      </c>
      <c r="AD171">
        <v>1.8</v>
      </c>
    </row>
    <row r="172" spans="1:30" x14ac:dyDescent="0.2">
      <c r="A172" t="s">
        <v>190</v>
      </c>
      <c r="C172">
        <v>0</v>
      </c>
      <c r="D172" t="s">
        <v>343</v>
      </c>
      <c r="E172">
        <v>5900</v>
      </c>
      <c r="F172" t="s">
        <v>85</v>
      </c>
      <c r="G172" t="s">
        <v>507</v>
      </c>
      <c r="H172" s="3" t="d">
        <v>21:59:59.9999999999968050</v>
      </c>
      <c r="I172" t="s">
        <v>503</v>
      </c>
      <c r="J172" s="1">
        <v>0.55400000000000005</v>
      </c>
      <c r="K172">
        <v>80.5</v>
      </c>
      <c r="L172">
        <v>6.5</v>
      </c>
      <c r="M172">
        <v>3.25</v>
      </c>
      <c r="N172">
        <v>3.38</v>
      </c>
      <c r="O172">
        <v>2</v>
      </c>
      <c r="P172">
        <v>1</v>
      </c>
      <c r="Q172" s="4" t="d">
        <v>20:31:59.99999999999637450</v>
      </c>
      <c r="R172">
        <v>9.1999999999999993</v>
      </c>
      <c r="S172">
        <v>7.28</v>
      </c>
      <c r="T172">
        <v>26.25</v>
      </c>
      <c r="U172">
        <v>11.69</v>
      </c>
      <c r="V172">
        <v>11.69</v>
      </c>
      <c r="W172">
        <v>100</v>
      </c>
      <c r="Y172">
        <v>60</v>
      </c>
      <c r="Z172">
        <v>2</v>
      </c>
      <c r="AA172">
        <v>0</v>
      </c>
      <c r="AB172" s="4" t="d">
        <v>22:48:59.99999999999595075</v>
      </c>
      <c r="AC172">
        <v>3</v>
      </c>
      <c r="AD172">
        <v>0.5</v>
      </c>
    </row>
    <row r="173" spans="1:30" x14ac:dyDescent="0.2">
      <c r="A173" t="s">
        <v>136</v>
      </c>
      <c r="C173">
        <v>0</v>
      </c>
      <c r="D173" t="s">
        <v>57</v>
      </c>
      <c r="E173">
        <v>2500</v>
      </c>
      <c r="F173" t="s">
        <v>48</v>
      </c>
      <c r="G173" t="s">
        <v>498</v>
      </c>
      <c r="H173" s="3" t="d">
        <v>21:00:00.000</v>
      </c>
      <c r="I173" t="s">
        <v>499</v>
      </c>
      <c r="J173" s="1">
        <v>0.623</v>
      </c>
      <c r="K173">
        <v>-165</v>
      </c>
      <c r="L173">
        <v>6.5</v>
      </c>
      <c r="M173">
        <v>4.18</v>
      </c>
      <c r="N173">
        <v>3.25</v>
      </c>
      <c r="O173">
        <v>3</v>
      </c>
      <c r="Q173" s="4" t="d">
        <v>13:10:00.00000000000426450</v>
      </c>
      <c r="R173">
        <v>1.8</v>
      </c>
      <c r="S173">
        <v>2.2400000000000002</v>
      </c>
      <c r="T173">
        <v>9.48</v>
      </c>
      <c r="U173">
        <v>5</v>
      </c>
      <c r="V173">
        <v>5</v>
      </c>
      <c r="W173">
        <v>100</v>
      </c>
      <c r="Y173">
        <v>38</v>
      </c>
      <c r="Z173">
        <v>2</v>
      </c>
      <c r="AA173">
        <v>0</v>
      </c>
      <c r="AB173" s="4" t="d">
        <v>12:34:00.000000000002344800</v>
      </c>
      <c r="AC173">
        <v>6.5</v>
      </c>
      <c r="AD173">
        <v>2.6</v>
      </c>
    </row>
    <row r="174" spans="1:30" x14ac:dyDescent="0.2">
      <c r="A174" t="s">
        <v>269</v>
      </c>
      <c r="C174">
        <v>0</v>
      </c>
      <c r="D174" t="s">
        <v>42</v>
      </c>
      <c r="E174">
        <v>2900</v>
      </c>
      <c r="F174" t="s">
        <v>48</v>
      </c>
      <c r="G174" t="s">
        <v>498</v>
      </c>
      <c r="H174" s="3" t="d">
        <v>21:00:00.000</v>
      </c>
      <c r="I174" t="s">
        <v>499</v>
      </c>
      <c r="J174" s="1">
        <v>0.623</v>
      </c>
      <c r="K174">
        <v>-165</v>
      </c>
      <c r="L174">
        <v>6.5</v>
      </c>
      <c r="M174">
        <v>4.18</v>
      </c>
      <c r="N174">
        <v>3.25</v>
      </c>
      <c r="O174">
        <v>3</v>
      </c>
      <c r="Q174" s="4" t="d">
        <v>14:41:00.00000000000404925</v>
      </c>
      <c r="R174">
        <v>5.0999999999999996</v>
      </c>
      <c r="S174">
        <v>4.8</v>
      </c>
      <c r="T174">
        <v>16.920000000000002</v>
      </c>
      <c r="U174">
        <v>7.32</v>
      </c>
      <c r="V174">
        <v>7.32</v>
      </c>
      <c r="W174">
        <v>100</v>
      </c>
      <c r="Y174">
        <v>53</v>
      </c>
      <c r="Z174">
        <v>2.5</v>
      </c>
      <c r="AA174">
        <v>0</v>
      </c>
      <c r="AB174" s="4" t="d">
        <v>14:38:00.000000000004689600</v>
      </c>
      <c r="AC174">
        <v>1.3</v>
      </c>
      <c r="AD174">
        <v>0.4</v>
      </c>
    </row>
    <row r="175" spans="1:30" x14ac:dyDescent="0.2">
      <c r="A175" t="s">
        <v>50</v>
      </c>
      <c r="C175">
        <v>0</v>
      </c>
      <c r="D175" t="s">
        <v>42</v>
      </c>
      <c r="E175">
        <v>9500</v>
      </c>
      <c r="F175" t="s">
        <v>39</v>
      </c>
      <c r="G175" t="s">
        <v>504</v>
      </c>
      <c r="H175" s="3" t="d">
        <v>18:59:59.9999999999968050</v>
      </c>
      <c r="I175" t="s">
        <v>499</v>
      </c>
      <c r="J175" s="1">
        <v>0.41699999999999998</v>
      </c>
      <c r="K175">
        <v>-71.5</v>
      </c>
      <c r="L175">
        <v>6.5</v>
      </c>
      <c r="M175">
        <v>3.25</v>
      </c>
      <c r="N175">
        <v>3.2</v>
      </c>
      <c r="O175">
        <v>1</v>
      </c>
      <c r="P175">
        <v>1</v>
      </c>
      <c r="Q175" s="4" t="d">
        <v>21:17:59.99999999999616600</v>
      </c>
      <c r="R175">
        <v>16.3</v>
      </c>
      <c r="S175">
        <v>10.16</v>
      </c>
      <c r="T175">
        <v>39.200000000000003</v>
      </c>
      <c r="U175">
        <v>18.88</v>
      </c>
      <c r="V175">
        <v>18.88</v>
      </c>
      <c r="W175">
        <v>100</v>
      </c>
      <c r="Y175">
        <v>69</v>
      </c>
      <c r="Z175">
        <v>2</v>
      </c>
      <c r="AA175">
        <v>0</v>
      </c>
      <c r="AB175" s="4" t="d">
        <v>19:16:00.00000000000298650</v>
      </c>
      <c r="AC175">
        <v>18</v>
      </c>
      <c r="AD175">
        <v>1.9</v>
      </c>
    </row>
    <row r="176" spans="1:30" x14ac:dyDescent="0.2">
      <c r="A176" t="s">
        <v>296</v>
      </c>
      <c r="C176">
        <v>0</v>
      </c>
      <c r="D176" t="s">
        <v>42</v>
      </c>
      <c r="E176">
        <v>2500</v>
      </c>
      <c r="F176" t="s">
        <v>505</v>
      </c>
      <c r="G176" t="s">
        <v>506</v>
      </c>
      <c r="H176" s="3" t="d">
        <v>18:59:59.9999999999968050</v>
      </c>
      <c r="I176" t="s">
        <v>499</v>
      </c>
      <c r="J176" s="1">
        <v>0.61399999999999999</v>
      </c>
      <c r="K176">
        <v>-159</v>
      </c>
      <c r="L176">
        <v>6</v>
      </c>
      <c r="M176">
        <v>3</v>
      </c>
      <c r="N176">
        <v>2.2400000000000002</v>
      </c>
      <c r="O176">
        <v>4</v>
      </c>
      <c r="Q176" s="4" t="d">
        <v>09:40:00.00000000000106275</v>
      </c>
      <c r="R176">
        <v>2.5</v>
      </c>
      <c r="S176">
        <v>3.74</v>
      </c>
      <c r="T176">
        <v>10.07</v>
      </c>
      <c r="U176">
        <v>2.59</v>
      </c>
      <c r="V176">
        <v>2.59</v>
      </c>
      <c r="W176">
        <v>100</v>
      </c>
      <c r="Y176">
        <v>25</v>
      </c>
      <c r="Z176">
        <v>1</v>
      </c>
      <c r="AA176">
        <v>0</v>
      </c>
      <c r="AB176" s="4" t="d">
        <v>01:01:00.0000000000001875</v>
      </c>
      <c r="AC176">
        <v>0</v>
      </c>
    </row>
    <row r="177" spans="1:30" x14ac:dyDescent="0.2">
      <c r="A177" t="s">
        <v>128</v>
      </c>
      <c r="C177">
        <v>0</v>
      </c>
      <c r="D177" t="s">
        <v>42</v>
      </c>
      <c r="E177">
        <v>8000</v>
      </c>
      <c r="F177" t="s">
        <v>509</v>
      </c>
      <c r="G177" t="s">
        <v>510</v>
      </c>
      <c r="H177" s="3" t="d">
        <v>21:59:59.9999999999968050</v>
      </c>
      <c r="I177" t="s">
        <v>499</v>
      </c>
      <c r="J177" s="1">
        <v>0.47199999999999998</v>
      </c>
      <c r="K177">
        <v>-89.5</v>
      </c>
      <c r="L177">
        <v>6</v>
      </c>
      <c r="M177">
        <v>3</v>
      </c>
      <c r="N177">
        <v>2.77</v>
      </c>
      <c r="O177">
        <v>1</v>
      </c>
      <c r="P177">
        <v>1</v>
      </c>
      <c r="Q177" s="4" t="d">
        <v>21:12:59.99999999999722875</v>
      </c>
      <c r="R177">
        <v>12.9</v>
      </c>
      <c r="S177">
        <v>8.92</v>
      </c>
      <c r="T177">
        <v>33.04</v>
      </c>
      <c r="U177">
        <v>15.2</v>
      </c>
      <c r="V177">
        <v>15.2</v>
      </c>
      <c r="W177">
        <v>100</v>
      </c>
      <c r="Y177">
        <v>65</v>
      </c>
      <c r="Z177">
        <v>1.9</v>
      </c>
      <c r="AA177">
        <v>0</v>
      </c>
      <c r="AB177" s="4" t="d">
        <v>18:53:59.99999999999808300</v>
      </c>
      <c r="AC177">
        <v>10.8</v>
      </c>
      <c r="AD177">
        <v>1.4</v>
      </c>
    </row>
    <row r="178" spans="1:30" x14ac:dyDescent="0.2">
      <c r="A178" t="s">
        <v>131</v>
      </c>
      <c r="C178">
        <v>0</v>
      </c>
      <c r="D178" t="s">
        <v>57</v>
      </c>
      <c r="E178">
        <v>5000</v>
      </c>
      <c r="F178" t="s">
        <v>64</v>
      </c>
      <c r="G178" t="s">
        <v>517</v>
      </c>
      <c r="H178" s="3" t="d">
        <v>21:59:59.9999999999968050</v>
      </c>
      <c r="I178" t="s">
        <v>503</v>
      </c>
      <c r="J178" s="1">
        <v>0.52900000000000003</v>
      </c>
      <c r="K178">
        <v>89</v>
      </c>
      <c r="L178">
        <v>6</v>
      </c>
      <c r="M178">
        <v>3</v>
      </c>
      <c r="N178">
        <v>3.14</v>
      </c>
      <c r="O178">
        <v>1</v>
      </c>
      <c r="P178">
        <v>1</v>
      </c>
      <c r="Q178" s="5" t="d">
        <v>PT24H33M0.000S</v>
      </c>
      <c r="R178">
        <v>10.5</v>
      </c>
      <c r="S178">
        <v>6.44</v>
      </c>
      <c r="T178">
        <v>25.18</v>
      </c>
      <c r="U178">
        <v>12.3</v>
      </c>
      <c r="V178">
        <v>12.3</v>
      </c>
      <c r="W178">
        <v>100</v>
      </c>
      <c r="Y178">
        <v>69</v>
      </c>
      <c r="Z178">
        <v>2.5</v>
      </c>
      <c r="AA178">
        <v>0</v>
      </c>
      <c r="AB178" s="4" t="d">
        <v>22:54:00.00000000000447975</v>
      </c>
      <c r="AC178">
        <v>7.8</v>
      </c>
      <c r="AD178">
        <v>1.6</v>
      </c>
    </row>
    <row r="179" spans="1:30" x14ac:dyDescent="0.2">
      <c r="A179" t="s">
        <v>593</v>
      </c>
      <c r="C179">
        <v>0</v>
      </c>
      <c r="D179" t="s">
        <v>42</v>
      </c>
      <c r="E179">
        <v>2500</v>
      </c>
      <c r="F179" t="s">
        <v>35</v>
      </c>
      <c r="G179" t="s">
        <v>516</v>
      </c>
      <c r="H179" s="3" t="d">
        <v>21:00:00.000</v>
      </c>
      <c r="I179" t="s">
        <v>503</v>
      </c>
      <c r="J179" s="1">
        <v>0.377</v>
      </c>
      <c r="K179">
        <v>165</v>
      </c>
      <c r="L179">
        <v>6.5</v>
      </c>
      <c r="M179">
        <v>3.25</v>
      </c>
      <c r="N179">
        <v>4.18</v>
      </c>
      <c r="Q179" s="4" t="d">
        <v>08:45:59.99999999999818725</v>
      </c>
      <c r="R179">
        <v>1.9</v>
      </c>
      <c r="S179">
        <v>1.37</v>
      </c>
      <c r="T179">
        <v>0</v>
      </c>
      <c r="U179">
        <v>0</v>
      </c>
      <c r="V179">
        <v>0</v>
      </c>
      <c r="W179">
        <v>100</v>
      </c>
      <c r="Y179">
        <v>64</v>
      </c>
      <c r="Z179">
        <v>0</v>
      </c>
      <c r="AA179">
        <v>0</v>
      </c>
    </row>
    <row r="180" spans="1:30" x14ac:dyDescent="0.2">
      <c r="A180" t="s">
        <v>591</v>
      </c>
      <c r="C180">
        <v>0</v>
      </c>
      <c r="D180" t="s">
        <v>57</v>
      </c>
      <c r="E180">
        <v>2500</v>
      </c>
      <c r="F180" t="s">
        <v>48</v>
      </c>
      <c r="G180" t="s">
        <v>498</v>
      </c>
      <c r="H180" s="3" t="d">
        <v>21:00:00.000</v>
      </c>
      <c r="I180" t="s">
        <v>499</v>
      </c>
      <c r="J180" s="1">
        <v>0.623</v>
      </c>
      <c r="K180">
        <v>-165</v>
      </c>
      <c r="L180">
        <v>6.5</v>
      </c>
      <c r="M180">
        <v>4.18</v>
      </c>
      <c r="N180">
        <v>3.25</v>
      </c>
      <c r="T180">
        <v>0</v>
      </c>
      <c r="U180">
        <v>0</v>
      </c>
      <c r="V180">
        <v>0</v>
      </c>
      <c r="W180">
        <v>100</v>
      </c>
      <c r="Y180">
        <v>0</v>
      </c>
      <c r="Z180">
        <v>0</v>
      </c>
      <c r="AA180">
        <v>0</v>
      </c>
    </row>
    <row r="181" spans="1:30" x14ac:dyDescent="0.2">
      <c r="A181" t="s">
        <v>355</v>
      </c>
      <c r="C181">
        <v>0</v>
      </c>
      <c r="D181" t="s">
        <v>346</v>
      </c>
      <c r="E181">
        <v>8100</v>
      </c>
      <c r="F181" t="s">
        <v>509</v>
      </c>
      <c r="G181" t="s">
        <v>510</v>
      </c>
      <c r="H181" s="3" t="d">
        <v>21:59:59.9999999999968050</v>
      </c>
      <c r="I181" t="s">
        <v>499</v>
      </c>
      <c r="J181" s="1">
        <v>0.47199999999999998</v>
      </c>
      <c r="K181">
        <v>-89.5</v>
      </c>
      <c r="L181">
        <v>6</v>
      </c>
      <c r="M181">
        <v>3</v>
      </c>
      <c r="N181">
        <v>2.77</v>
      </c>
      <c r="O181" t="s">
        <v>511</v>
      </c>
      <c r="Q181" s="5" t="d">
        <v>PT56H35M0.000S</v>
      </c>
      <c r="R181">
        <v>8.9</v>
      </c>
      <c r="S181">
        <v>10.38</v>
      </c>
      <c r="T181">
        <v>29.61</v>
      </c>
      <c r="U181">
        <v>8.85</v>
      </c>
      <c r="V181">
        <v>8.85</v>
      </c>
      <c r="W181">
        <v>100</v>
      </c>
      <c r="Y181">
        <v>42</v>
      </c>
      <c r="Z181">
        <v>1.1000000000000001</v>
      </c>
      <c r="AA181">
        <v>0</v>
      </c>
      <c r="AB181" s="5" t="d">
        <v>PT60H0M0.000S</v>
      </c>
      <c r="AC181">
        <v>6.7</v>
      </c>
      <c r="AD181">
        <v>0.8</v>
      </c>
    </row>
    <row r="182" spans="1:30" x14ac:dyDescent="0.2">
      <c r="A182" t="s">
        <v>316</v>
      </c>
      <c r="C182">
        <v>0</v>
      </c>
      <c r="D182" t="s">
        <v>343</v>
      </c>
      <c r="E182">
        <v>2500</v>
      </c>
      <c r="F182" t="s">
        <v>74</v>
      </c>
      <c r="G182" t="s">
        <v>514</v>
      </c>
      <c r="H182" s="3" t="d">
        <v>21:59:59.9999999999968050</v>
      </c>
      <c r="I182" t="s">
        <v>499</v>
      </c>
      <c r="J182" s="1">
        <v>0.47099999999999997</v>
      </c>
      <c r="K182">
        <v>-89</v>
      </c>
      <c r="L182">
        <v>6</v>
      </c>
      <c r="M182">
        <v>3.14</v>
      </c>
      <c r="N182">
        <v>3</v>
      </c>
      <c r="Q182" s="4" t="d">
        <v>09:23:59.99999999999968050</v>
      </c>
      <c r="R182">
        <v>3.3</v>
      </c>
      <c r="S182">
        <v>2.75</v>
      </c>
      <c r="T182">
        <v>0</v>
      </c>
      <c r="U182">
        <v>0</v>
      </c>
      <c r="V182">
        <v>0</v>
      </c>
      <c r="W182">
        <v>100</v>
      </c>
      <c r="Y182">
        <v>58</v>
      </c>
      <c r="Z182">
        <v>0</v>
      </c>
      <c r="AA182">
        <v>0</v>
      </c>
      <c r="AB182" s="4" t="d">
        <v>10:30:00.000</v>
      </c>
      <c r="AC182">
        <v>0</v>
      </c>
    </row>
    <row r="183" spans="1:30" x14ac:dyDescent="0.2">
      <c r="A183" t="s">
        <v>572</v>
      </c>
      <c r="C183">
        <v>0</v>
      </c>
      <c r="D183" t="s">
        <v>42</v>
      </c>
      <c r="E183">
        <v>2500</v>
      </c>
      <c r="F183" t="s">
        <v>61</v>
      </c>
      <c r="G183" t="s">
        <v>502</v>
      </c>
      <c r="H183" s="3" t="d">
        <v>18:59:59.9999999999968050</v>
      </c>
      <c r="I183" t="s">
        <v>503</v>
      </c>
      <c r="J183" s="1">
        <v>0.58299999999999996</v>
      </c>
      <c r="K183">
        <v>71.5</v>
      </c>
      <c r="L183">
        <v>6.5</v>
      </c>
      <c r="M183">
        <v>3.2</v>
      </c>
      <c r="N183">
        <v>3.25</v>
      </c>
      <c r="Q183" s="4" t="d">
        <v>10:11:59.99999999999904150</v>
      </c>
      <c r="R183">
        <v>1.4</v>
      </c>
      <c r="S183">
        <v>1.67</v>
      </c>
      <c r="T183">
        <v>0</v>
      </c>
      <c r="U183">
        <v>0</v>
      </c>
      <c r="V183">
        <v>0</v>
      </c>
      <c r="W183">
        <v>100</v>
      </c>
      <c r="Y183">
        <v>40</v>
      </c>
      <c r="Z183">
        <v>0</v>
      </c>
      <c r="AA183">
        <v>0</v>
      </c>
    </row>
    <row r="184" spans="1:30" x14ac:dyDescent="0.2">
      <c r="A184" t="s">
        <v>196</v>
      </c>
      <c r="C184">
        <v>0</v>
      </c>
      <c r="D184" t="s">
        <v>57</v>
      </c>
      <c r="E184">
        <v>5200</v>
      </c>
      <c r="F184" t="s">
        <v>64</v>
      </c>
      <c r="G184" t="s">
        <v>517</v>
      </c>
      <c r="H184" s="3" t="d">
        <v>21:59:59.9999999999968050</v>
      </c>
      <c r="I184" t="s">
        <v>503</v>
      </c>
      <c r="J184" s="1">
        <v>0.52900000000000003</v>
      </c>
      <c r="K184">
        <v>89</v>
      </c>
      <c r="L184">
        <v>6</v>
      </c>
      <c r="M184">
        <v>3</v>
      </c>
      <c r="N184">
        <v>3.14</v>
      </c>
      <c r="O184">
        <v>1</v>
      </c>
      <c r="P184">
        <v>2</v>
      </c>
      <c r="Q184" s="4" t="d">
        <v>22:21:00.00000000000191700</v>
      </c>
      <c r="R184">
        <v>9.1</v>
      </c>
      <c r="S184">
        <v>6.67</v>
      </c>
      <c r="T184">
        <v>23.15</v>
      </c>
      <c r="U184">
        <v>9.81</v>
      </c>
      <c r="V184">
        <v>9.81</v>
      </c>
      <c r="W184">
        <v>100</v>
      </c>
      <c r="Y184">
        <v>63</v>
      </c>
      <c r="Z184">
        <v>1.9</v>
      </c>
      <c r="AA184">
        <v>0</v>
      </c>
      <c r="AB184" s="4" t="d">
        <v>22:31:59.99999999999957625</v>
      </c>
      <c r="AC184">
        <v>0</v>
      </c>
    </row>
    <row r="185" spans="1:30" x14ac:dyDescent="0.2">
      <c r="A185" t="s">
        <v>82</v>
      </c>
      <c r="C185">
        <v>0</v>
      </c>
      <c r="D185" t="s">
        <v>343</v>
      </c>
      <c r="E185">
        <v>3800</v>
      </c>
      <c r="F185" t="s">
        <v>74</v>
      </c>
      <c r="G185" t="s">
        <v>514</v>
      </c>
      <c r="H185" s="3" t="d">
        <v>21:59:59.9999999999968050</v>
      </c>
      <c r="I185" t="s">
        <v>499</v>
      </c>
      <c r="J185" s="1">
        <v>0.47099999999999997</v>
      </c>
      <c r="K185">
        <v>-89</v>
      </c>
      <c r="L185">
        <v>6</v>
      </c>
      <c r="M185">
        <v>3.14</v>
      </c>
      <c r="N185">
        <v>3</v>
      </c>
      <c r="O185">
        <v>2</v>
      </c>
      <c r="P185">
        <v>2</v>
      </c>
      <c r="Q185" s="4" t="d">
        <v>16:45:59.99999999999658975</v>
      </c>
      <c r="R185">
        <v>8.1999999999999993</v>
      </c>
      <c r="S185">
        <v>6.71</v>
      </c>
      <c r="T185">
        <v>22.99</v>
      </c>
      <c r="U185">
        <v>9.57</v>
      </c>
      <c r="V185">
        <v>9.57</v>
      </c>
      <c r="W185">
        <v>100</v>
      </c>
      <c r="Y185">
        <v>59</v>
      </c>
      <c r="Z185">
        <v>2.5</v>
      </c>
      <c r="AA185">
        <v>0</v>
      </c>
      <c r="AB185" s="4" t="d">
        <v>15:44:00.00000000000021525</v>
      </c>
      <c r="AC185">
        <v>10</v>
      </c>
      <c r="AD185">
        <v>2.6</v>
      </c>
    </row>
    <row r="186" spans="1:30" x14ac:dyDescent="0.2">
      <c r="A186" t="s">
        <v>383</v>
      </c>
      <c r="C186">
        <v>0</v>
      </c>
      <c r="D186" t="s">
        <v>346</v>
      </c>
      <c r="E186">
        <v>8100</v>
      </c>
      <c r="F186" t="s">
        <v>509</v>
      </c>
      <c r="G186" t="s">
        <v>510</v>
      </c>
      <c r="H186" s="3" t="d">
        <v>21:59:59.9999999999968050</v>
      </c>
      <c r="I186" t="s">
        <v>499</v>
      </c>
      <c r="J186" s="1">
        <v>0.47199999999999998</v>
      </c>
      <c r="K186">
        <v>-89.5</v>
      </c>
      <c r="L186">
        <v>6</v>
      </c>
      <c r="M186">
        <v>3</v>
      </c>
      <c r="N186">
        <v>2.77</v>
      </c>
      <c r="O186" t="s">
        <v>528</v>
      </c>
      <c r="Q186" s="5" t="d">
        <v>PT59H7M0.000S</v>
      </c>
      <c r="R186">
        <v>11.9</v>
      </c>
      <c r="S186">
        <v>11.04</v>
      </c>
      <c r="T186">
        <v>0</v>
      </c>
      <c r="U186">
        <v>0</v>
      </c>
      <c r="V186">
        <v>0</v>
      </c>
      <c r="W186">
        <v>100</v>
      </c>
      <c r="Y186">
        <v>54</v>
      </c>
      <c r="Z186">
        <v>0</v>
      </c>
      <c r="AA186">
        <v>0</v>
      </c>
      <c r="AB186" s="4" t="d">
        <v>1899-12-30</v>
      </c>
      <c r="AC186">
        <v>0</v>
      </c>
    </row>
    <row r="187" spans="1:30" x14ac:dyDescent="0.2">
      <c r="A187" t="s">
        <v>597</v>
      </c>
      <c r="C187">
        <v>0</v>
      </c>
      <c r="D187" t="s">
        <v>57</v>
      </c>
      <c r="E187">
        <v>2500</v>
      </c>
      <c r="F187" t="s">
        <v>117</v>
      </c>
      <c r="G187" t="s">
        <v>518</v>
      </c>
      <c r="H187" s="3" t="d">
        <v>21:00:00.000</v>
      </c>
      <c r="I187" t="s">
        <v>503</v>
      </c>
      <c r="J187" s="1">
        <v>0.54100000000000004</v>
      </c>
      <c r="K187">
        <v>85</v>
      </c>
      <c r="L187">
        <v>6</v>
      </c>
      <c r="M187">
        <v>2.8</v>
      </c>
      <c r="N187">
        <v>3</v>
      </c>
      <c r="Q187" s="4" t="d">
        <v>15:44:00.00000000000021525</v>
      </c>
      <c r="R187">
        <v>5.5</v>
      </c>
      <c r="S187">
        <v>4.38</v>
      </c>
      <c r="T187">
        <v>0</v>
      </c>
      <c r="U187">
        <v>0</v>
      </c>
      <c r="V187">
        <v>0</v>
      </c>
      <c r="W187">
        <v>100</v>
      </c>
      <c r="Y187">
        <v>60</v>
      </c>
      <c r="Z187">
        <v>0</v>
      </c>
      <c r="AA187">
        <v>0</v>
      </c>
    </row>
    <row r="188" spans="1:30" x14ac:dyDescent="0.2">
      <c r="A188" t="s">
        <v>239</v>
      </c>
      <c r="C188">
        <v>0</v>
      </c>
      <c r="D188" t="s">
        <v>343</v>
      </c>
      <c r="E188">
        <v>4800</v>
      </c>
      <c r="F188" t="s">
        <v>59</v>
      </c>
      <c r="G188" t="s">
        <v>521</v>
      </c>
      <c r="H188" s="3" t="d">
        <v>21:59:59.9999999999968050</v>
      </c>
      <c r="I188" t="s">
        <v>503</v>
      </c>
      <c r="J188" s="1">
        <v>0.52800000000000002</v>
      </c>
      <c r="K188">
        <v>89.5</v>
      </c>
      <c r="L188">
        <v>6</v>
      </c>
      <c r="M188">
        <v>2.77</v>
      </c>
      <c r="N188">
        <v>3</v>
      </c>
      <c r="O188">
        <v>1</v>
      </c>
      <c r="P188">
        <v>1</v>
      </c>
      <c r="Q188" s="4" t="d">
        <v>17:23:59.99999999999808300</v>
      </c>
      <c r="R188">
        <v>8.3000000000000007</v>
      </c>
      <c r="S188">
        <v>6.74</v>
      </c>
      <c r="T188">
        <v>22.31</v>
      </c>
      <c r="U188">
        <v>8.83</v>
      </c>
      <c r="V188">
        <v>8.83</v>
      </c>
      <c r="W188">
        <v>100</v>
      </c>
      <c r="Y188">
        <v>59</v>
      </c>
      <c r="Z188">
        <v>1.8</v>
      </c>
      <c r="AA188">
        <v>0</v>
      </c>
      <c r="AB188" s="4" t="d">
        <v>12:44:00.00000000000021525</v>
      </c>
      <c r="AC188">
        <v>0</v>
      </c>
    </row>
    <row r="189" spans="1:30" x14ac:dyDescent="0.2">
      <c r="A189" t="s">
        <v>206</v>
      </c>
      <c r="C189">
        <v>0</v>
      </c>
      <c r="D189" t="s">
        <v>343</v>
      </c>
      <c r="E189">
        <v>7200</v>
      </c>
      <c r="F189" t="s">
        <v>505</v>
      </c>
      <c r="G189" t="s">
        <v>506</v>
      </c>
      <c r="H189" s="3" t="d">
        <v>18:59:59.9999999999968050</v>
      </c>
      <c r="I189" t="s">
        <v>499</v>
      </c>
      <c r="J189" s="1">
        <v>0.61399999999999999</v>
      </c>
      <c r="K189">
        <v>-159</v>
      </c>
      <c r="L189">
        <v>6</v>
      </c>
      <c r="M189">
        <v>3</v>
      </c>
      <c r="N189">
        <v>2.2400000000000002</v>
      </c>
      <c r="O189">
        <v>2</v>
      </c>
      <c r="P189">
        <v>1</v>
      </c>
      <c r="Q189" s="4" t="d">
        <v>20:27:59.99999999999722875</v>
      </c>
      <c r="R189">
        <v>12.9</v>
      </c>
      <c r="S189">
        <v>8.59</v>
      </c>
      <c r="T189">
        <v>31.66</v>
      </c>
      <c r="U189">
        <v>14.48</v>
      </c>
      <c r="V189">
        <v>14.48</v>
      </c>
      <c r="W189">
        <v>100</v>
      </c>
      <c r="Y189">
        <v>67</v>
      </c>
      <c r="Z189">
        <v>2</v>
      </c>
      <c r="AA189">
        <v>0</v>
      </c>
      <c r="AB189" s="4" t="d">
        <v>22:22:00.00000000000170850</v>
      </c>
      <c r="AC189">
        <v>5.8</v>
      </c>
      <c r="AD189">
        <v>0.8</v>
      </c>
    </row>
    <row r="190" spans="1:30" x14ac:dyDescent="0.2">
      <c r="A190" t="s">
        <v>202</v>
      </c>
      <c r="C190">
        <v>0</v>
      </c>
      <c r="D190" t="s">
        <v>57</v>
      </c>
      <c r="E190">
        <v>3400</v>
      </c>
      <c r="F190" t="s">
        <v>61</v>
      </c>
      <c r="G190" t="s">
        <v>502</v>
      </c>
      <c r="H190" s="3" t="d">
        <v>18:59:59.9999999999968050</v>
      </c>
      <c r="I190" t="s">
        <v>503</v>
      </c>
      <c r="J190" s="1">
        <v>0.58299999999999996</v>
      </c>
      <c r="K190">
        <v>71.5</v>
      </c>
      <c r="L190">
        <v>6.5</v>
      </c>
      <c r="M190">
        <v>3.2</v>
      </c>
      <c r="N190">
        <v>3.25</v>
      </c>
      <c r="O190">
        <v>1</v>
      </c>
      <c r="P190">
        <v>2</v>
      </c>
      <c r="Q190" s="4" t="d">
        <v>22:09:00.00000000000447975</v>
      </c>
      <c r="R190">
        <v>7.6</v>
      </c>
      <c r="S190">
        <v>4.59</v>
      </c>
      <c r="T190">
        <v>18.239999999999998</v>
      </c>
      <c r="U190">
        <v>9.06</v>
      </c>
      <c r="V190">
        <v>9.06</v>
      </c>
      <c r="W190">
        <v>100</v>
      </c>
      <c r="Y190">
        <v>70</v>
      </c>
      <c r="Z190">
        <v>2.7</v>
      </c>
      <c r="AA190">
        <v>0</v>
      </c>
      <c r="AB190" s="4" t="d">
        <v>22:23:00.00000000000149325</v>
      </c>
      <c r="AC190">
        <v>0</v>
      </c>
    </row>
    <row r="191" spans="1:30" x14ac:dyDescent="0.2">
      <c r="A191" t="s">
        <v>139</v>
      </c>
      <c r="C191">
        <v>0</v>
      </c>
      <c r="D191" t="s">
        <v>343</v>
      </c>
      <c r="E191">
        <v>3700</v>
      </c>
      <c r="F191" t="s">
        <v>45</v>
      </c>
      <c r="G191" t="s">
        <v>523</v>
      </c>
      <c r="H191" s="3" t="d">
        <v>20:00:00.0000000000031950</v>
      </c>
      <c r="I191" t="s">
        <v>503</v>
      </c>
      <c r="J191" s="1">
        <v>0.51400000000000001</v>
      </c>
      <c r="K191">
        <v>94.5</v>
      </c>
      <c r="L191">
        <v>5.5</v>
      </c>
      <c r="M191">
        <v>2.75</v>
      </c>
      <c r="N191">
        <v>3.07</v>
      </c>
      <c r="O191">
        <v>2</v>
      </c>
      <c r="P191">
        <v>1</v>
      </c>
      <c r="Q191" s="4" t="d">
        <v>15:45:59.999999999999786775</v>
      </c>
      <c r="R191">
        <v>6.4</v>
      </c>
      <c r="S191">
        <v>6.35</v>
      </c>
      <c r="T191">
        <v>18.54</v>
      </c>
      <c r="U191">
        <v>5.84</v>
      </c>
      <c r="V191">
        <v>5.84</v>
      </c>
      <c r="W191">
        <v>100</v>
      </c>
      <c r="Y191">
        <v>50</v>
      </c>
      <c r="Z191">
        <v>1.6</v>
      </c>
      <c r="AA191">
        <v>0</v>
      </c>
      <c r="AB191" s="4" t="d">
        <v>17:18:59.99999999999914575</v>
      </c>
      <c r="AC191">
        <v>6.5</v>
      </c>
      <c r="AD191">
        <v>1.8</v>
      </c>
    </row>
    <row r="192" spans="1:30" x14ac:dyDescent="0.2">
      <c r="A192" t="s">
        <v>353</v>
      </c>
      <c r="C192">
        <v>0</v>
      </c>
      <c r="D192" t="s">
        <v>346</v>
      </c>
      <c r="E192">
        <v>8200</v>
      </c>
      <c r="F192" t="s">
        <v>52</v>
      </c>
      <c r="G192" t="s">
        <v>508</v>
      </c>
      <c r="H192" s="3" t="d">
        <v>20:00:00.0000000000031950</v>
      </c>
      <c r="I192" t="s">
        <v>499</v>
      </c>
      <c r="J192" s="1">
        <v>0.48599999999999999</v>
      </c>
      <c r="K192">
        <v>-94.5</v>
      </c>
      <c r="L192">
        <v>5.5</v>
      </c>
      <c r="M192">
        <v>3.07</v>
      </c>
      <c r="N192">
        <v>2.75</v>
      </c>
      <c r="O192" t="s">
        <v>511</v>
      </c>
      <c r="Q192" s="5" t="d">
        <v>PT59H2M0.000S</v>
      </c>
      <c r="R192">
        <v>11.7</v>
      </c>
      <c r="S192">
        <v>9.58</v>
      </c>
      <c r="T192">
        <v>30.92</v>
      </c>
      <c r="U192">
        <v>11.76</v>
      </c>
      <c r="V192">
        <v>11.76</v>
      </c>
      <c r="W192">
        <v>100</v>
      </c>
      <c r="Y192">
        <v>59</v>
      </c>
      <c r="Z192">
        <v>1.4</v>
      </c>
      <c r="AA192">
        <v>0</v>
      </c>
      <c r="AB192" s="5" t="d">
        <v>PT59H48M0.000S</v>
      </c>
      <c r="AC192">
        <v>12.3</v>
      </c>
      <c r="AD192">
        <v>1.5</v>
      </c>
    </row>
    <row r="193" spans="1:30" x14ac:dyDescent="0.2">
      <c r="A193" t="s">
        <v>252</v>
      </c>
      <c r="C193">
        <v>0</v>
      </c>
      <c r="D193" t="s">
        <v>57</v>
      </c>
      <c r="E193">
        <v>6600</v>
      </c>
      <c r="F193" t="s">
        <v>56</v>
      </c>
      <c r="G193" t="s">
        <v>513</v>
      </c>
      <c r="H193" s="3" t="d">
        <v>21:00:00.000</v>
      </c>
      <c r="I193" t="s">
        <v>499</v>
      </c>
      <c r="J193" s="1">
        <v>0.45900000000000002</v>
      </c>
      <c r="K193">
        <v>-85</v>
      </c>
      <c r="L193">
        <v>6</v>
      </c>
      <c r="M193">
        <v>3</v>
      </c>
      <c r="N193">
        <v>2.8</v>
      </c>
      <c r="O193">
        <v>1</v>
      </c>
      <c r="P193">
        <v>1</v>
      </c>
      <c r="Q193" s="4" t="d">
        <v>23:28:59.99999999999701350</v>
      </c>
      <c r="R193">
        <v>12.7</v>
      </c>
      <c r="S193">
        <v>6.51</v>
      </c>
      <c r="T193">
        <v>27.76</v>
      </c>
      <c r="U193">
        <v>14.74</v>
      </c>
      <c r="V193">
        <v>14.74</v>
      </c>
      <c r="W193">
        <v>100</v>
      </c>
      <c r="Y193">
        <v>74</v>
      </c>
      <c r="Z193">
        <v>2.2000000000000002</v>
      </c>
      <c r="AA193">
        <v>0</v>
      </c>
      <c r="AB193" s="4" t="d">
        <v>19:09:00.00000000000447975</v>
      </c>
      <c r="AC193">
        <v>5.6</v>
      </c>
      <c r="AD193">
        <v>0.8</v>
      </c>
    </row>
    <row r="194" spans="1:30" x14ac:dyDescent="0.2">
      <c r="A194" t="s">
        <v>570</v>
      </c>
      <c r="C194">
        <v>0</v>
      </c>
      <c r="D194" t="s">
        <v>343</v>
      </c>
      <c r="E194">
        <v>2500</v>
      </c>
      <c r="F194" t="s">
        <v>39</v>
      </c>
      <c r="G194" t="s">
        <v>504</v>
      </c>
      <c r="H194" s="3" t="d">
        <v>18:59:59.9999999999968050</v>
      </c>
      <c r="I194" t="s">
        <v>499</v>
      </c>
      <c r="J194" s="1">
        <v>0.41699999999999998</v>
      </c>
      <c r="K194">
        <v>-71.5</v>
      </c>
      <c r="L194">
        <v>6.5</v>
      </c>
      <c r="M194">
        <v>3.25</v>
      </c>
      <c r="N194">
        <v>3.2</v>
      </c>
      <c r="T194">
        <v>0</v>
      </c>
      <c r="U194">
        <v>0</v>
      </c>
      <c r="V194">
        <v>0</v>
      </c>
      <c r="W194">
        <v>100</v>
      </c>
      <c r="Y194">
        <v>0</v>
      </c>
      <c r="Z194">
        <v>0</v>
      </c>
      <c r="AA194">
        <v>0</v>
      </c>
    </row>
    <row r="195" spans="1:30" x14ac:dyDescent="0.2">
      <c r="A195" t="s">
        <v>163</v>
      </c>
      <c r="C195">
        <v>0</v>
      </c>
      <c r="D195" t="s">
        <v>343</v>
      </c>
      <c r="E195">
        <v>3000</v>
      </c>
      <c r="F195" t="s">
        <v>52</v>
      </c>
      <c r="G195" t="s">
        <v>508</v>
      </c>
      <c r="H195" s="3" t="d">
        <v>20:00:00.0000000000031950</v>
      </c>
      <c r="I195" t="s">
        <v>499</v>
      </c>
      <c r="J195" s="1">
        <v>0.48599999999999999</v>
      </c>
      <c r="K195">
        <v>-94.5</v>
      </c>
      <c r="L195">
        <v>5.5</v>
      </c>
      <c r="M195">
        <v>3.07</v>
      </c>
      <c r="N195">
        <v>2.75</v>
      </c>
      <c r="O195">
        <v>3</v>
      </c>
      <c r="P195">
        <v>2</v>
      </c>
      <c r="Q195" s="4" t="d">
        <v>12:31:00.00000000000298650</v>
      </c>
      <c r="R195">
        <v>5.8</v>
      </c>
      <c r="S195">
        <v>5.76</v>
      </c>
      <c r="T195">
        <v>18.02</v>
      </c>
      <c r="U195">
        <v>6.5</v>
      </c>
      <c r="V195">
        <v>6.5</v>
      </c>
      <c r="W195">
        <v>100</v>
      </c>
      <c r="Y195">
        <v>50</v>
      </c>
      <c r="Z195">
        <v>2.2000000000000002</v>
      </c>
      <c r="AA195">
        <v>0</v>
      </c>
      <c r="AB195" s="4" t="d">
        <v>11:21:59.99999999999850675</v>
      </c>
      <c r="AC195">
        <v>0</v>
      </c>
    </row>
    <row r="196" spans="1:30" x14ac:dyDescent="0.2">
      <c r="A196" t="s">
        <v>299</v>
      </c>
      <c r="C196">
        <v>0</v>
      </c>
      <c r="D196" t="s">
        <v>57</v>
      </c>
      <c r="E196">
        <v>3300</v>
      </c>
      <c r="F196" t="s">
        <v>35</v>
      </c>
      <c r="G196" t="s">
        <v>516</v>
      </c>
      <c r="H196" s="3" t="d">
        <v>21:00:00.000</v>
      </c>
      <c r="I196" t="s">
        <v>503</v>
      </c>
      <c r="J196" s="1">
        <v>0.377</v>
      </c>
      <c r="K196">
        <v>165</v>
      </c>
      <c r="L196">
        <v>6.5</v>
      </c>
      <c r="M196">
        <v>3.25</v>
      </c>
      <c r="N196">
        <v>4.18</v>
      </c>
      <c r="O196">
        <v>2</v>
      </c>
      <c r="P196">
        <v>1</v>
      </c>
      <c r="Q196" s="4" t="d">
        <v>21:20:59.99999999999552025</v>
      </c>
      <c r="R196">
        <v>5.8</v>
      </c>
      <c r="S196">
        <v>4.54</v>
      </c>
      <c r="T196">
        <v>15.73</v>
      </c>
      <c r="U196">
        <v>6.65</v>
      </c>
      <c r="V196">
        <v>6.65</v>
      </c>
      <c r="W196">
        <v>100</v>
      </c>
      <c r="Y196">
        <v>61</v>
      </c>
      <c r="Z196">
        <v>2</v>
      </c>
      <c r="AA196">
        <v>0</v>
      </c>
      <c r="AB196" s="4" t="d">
        <v>22:30:00.000</v>
      </c>
      <c r="AC196">
        <v>8.1999999999999993</v>
      </c>
      <c r="AD196">
        <v>2.5</v>
      </c>
    </row>
    <row r="197" spans="1:30" x14ac:dyDescent="0.2">
      <c r="A197" t="s">
        <v>189</v>
      </c>
      <c r="C197">
        <v>0</v>
      </c>
      <c r="D197" t="s">
        <v>57</v>
      </c>
      <c r="E197">
        <v>2800</v>
      </c>
      <c r="F197" t="s">
        <v>74</v>
      </c>
      <c r="G197" t="s">
        <v>514</v>
      </c>
      <c r="H197" s="3" t="d">
        <v>21:59:59.9999999999968050</v>
      </c>
      <c r="I197" t="s">
        <v>499</v>
      </c>
      <c r="J197" s="1">
        <v>0.47099999999999997</v>
      </c>
      <c r="K197">
        <v>-89</v>
      </c>
      <c r="L197">
        <v>6</v>
      </c>
      <c r="M197">
        <v>3.14</v>
      </c>
      <c r="N197">
        <v>3</v>
      </c>
      <c r="O197">
        <v>2</v>
      </c>
      <c r="Q197" s="4" t="d">
        <v>16:44:59.9999999999968050</v>
      </c>
      <c r="R197">
        <v>5.2</v>
      </c>
      <c r="S197">
        <v>4.74</v>
      </c>
      <c r="T197">
        <v>15.84</v>
      </c>
      <c r="U197">
        <v>6.36</v>
      </c>
      <c r="V197">
        <v>6.36</v>
      </c>
      <c r="W197">
        <v>100</v>
      </c>
      <c r="Y197">
        <v>54</v>
      </c>
      <c r="Z197">
        <v>2.2999999999999998</v>
      </c>
      <c r="AA197">
        <v>0</v>
      </c>
      <c r="AB197" s="4" t="d">
        <v>16:04:59.99999999999573550</v>
      </c>
      <c r="AC197">
        <v>1.5</v>
      </c>
      <c r="AD197">
        <v>0.5</v>
      </c>
    </row>
    <row r="198" spans="1:30" x14ac:dyDescent="0.2">
      <c r="A198" t="s">
        <v>420</v>
      </c>
      <c r="C198">
        <v>0</v>
      </c>
      <c r="D198" t="s">
        <v>343</v>
      </c>
      <c r="E198">
        <v>2500</v>
      </c>
      <c r="F198" t="s">
        <v>74</v>
      </c>
      <c r="G198" t="s">
        <v>514</v>
      </c>
      <c r="H198" s="3" t="d">
        <v>21:59:59.9999999999968050</v>
      </c>
      <c r="I198" t="s">
        <v>499</v>
      </c>
      <c r="J198" s="1">
        <v>0.47099999999999997</v>
      </c>
      <c r="K198">
        <v>-89</v>
      </c>
      <c r="L198">
        <v>6</v>
      </c>
      <c r="M198">
        <v>3.14</v>
      </c>
      <c r="N198">
        <v>3</v>
      </c>
      <c r="Q198" s="4" t="d">
        <v>10:50:00.00000000000053475</v>
      </c>
      <c r="R198">
        <v>3.9</v>
      </c>
      <c r="S198">
        <v>3.92</v>
      </c>
      <c r="T198">
        <v>0</v>
      </c>
      <c r="U198">
        <v>0</v>
      </c>
      <c r="V198">
        <v>0</v>
      </c>
      <c r="W198">
        <v>100</v>
      </c>
      <c r="Y198">
        <v>50</v>
      </c>
      <c r="Z198">
        <v>0</v>
      </c>
      <c r="AA198">
        <v>0</v>
      </c>
    </row>
    <row r="199" spans="1:30" x14ac:dyDescent="0.2">
      <c r="A199" t="s">
        <v>230</v>
      </c>
      <c r="C199">
        <v>0</v>
      </c>
      <c r="D199" t="s">
        <v>42</v>
      </c>
      <c r="E199">
        <v>2500</v>
      </c>
      <c r="F199" t="s">
        <v>64</v>
      </c>
      <c r="G199" t="s">
        <v>517</v>
      </c>
      <c r="H199" s="3" t="d">
        <v>21:59:59.9999999999968050</v>
      </c>
      <c r="I199" t="s">
        <v>503</v>
      </c>
      <c r="J199" s="1">
        <v>0.52900000000000003</v>
      </c>
      <c r="K199">
        <v>89</v>
      </c>
      <c r="L199">
        <v>6</v>
      </c>
      <c r="M199">
        <v>3</v>
      </c>
      <c r="N199">
        <v>3.14</v>
      </c>
      <c r="O199">
        <v>2</v>
      </c>
      <c r="P199">
        <v>2</v>
      </c>
      <c r="Q199" s="4" t="d">
        <v>09:42:00.00000000000063900</v>
      </c>
      <c r="R199">
        <v>2.9</v>
      </c>
      <c r="S199">
        <v>4.4000000000000004</v>
      </c>
      <c r="T199">
        <v>12.02</v>
      </c>
      <c r="U199">
        <v>3.22</v>
      </c>
      <c r="V199">
        <v>3.22</v>
      </c>
      <c r="W199">
        <v>100</v>
      </c>
      <c r="Y199">
        <v>24</v>
      </c>
      <c r="Z199">
        <v>1.3</v>
      </c>
      <c r="AA199">
        <v>0</v>
      </c>
      <c r="AB199" s="4" t="d">
        <v>10:44:00.00000000000181275</v>
      </c>
      <c r="AC199">
        <v>4.3</v>
      </c>
      <c r="AD199">
        <v>1.7</v>
      </c>
    </row>
    <row r="200" spans="1:30" x14ac:dyDescent="0.2">
      <c r="A200" t="s">
        <v>98</v>
      </c>
      <c r="C200">
        <v>0</v>
      </c>
      <c r="D200" t="s">
        <v>343</v>
      </c>
      <c r="E200">
        <v>5200</v>
      </c>
      <c r="F200" t="s">
        <v>74</v>
      </c>
      <c r="G200" t="s">
        <v>514</v>
      </c>
      <c r="H200" s="3" t="d">
        <v>21:59:59.9999999999968050</v>
      </c>
      <c r="I200" t="s">
        <v>499</v>
      </c>
      <c r="J200" s="1">
        <v>0.47099999999999997</v>
      </c>
      <c r="K200">
        <v>-89</v>
      </c>
      <c r="L200">
        <v>6</v>
      </c>
      <c r="M200">
        <v>3.14</v>
      </c>
      <c r="N200">
        <v>3</v>
      </c>
      <c r="O200">
        <v>1</v>
      </c>
      <c r="P200">
        <v>1</v>
      </c>
      <c r="Q200" s="4" t="d">
        <v>16:23:00.00000000000149325</v>
      </c>
      <c r="R200">
        <v>10</v>
      </c>
      <c r="S200">
        <v>5.71</v>
      </c>
      <c r="T200">
        <v>22.88</v>
      </c>
      <c r="U200">
        <v>11.46</v>
      </c>
      <c r="V200">
        <v>11.46</v>
      </c>
      <c r="W200">
        <v>100</v>
      </c>
      <c r="Y200">
        <v>71</v>
      </c>
      <c r="Z200">
        <v>2.2000000000000002</v>
      </c>
      <c r="AA200">
        <v>0</v>
      </c>
      <c r="AB200" s="4" t="d">
        <v>16:33:59.99999999999914575</v>
      </c>
      <c r="AC200">
        <v>13</v>
      </c>
      <c r="AD200">
        <v>2.5</v>
      </c>
    </row>
    <row r="201" spans="1:30" x14ac:dyDescent="0.2">
      <c r="A201" t="s">
        <v>465</v>
      </c>
      <c r="C201">
        <v>0</v>
      </c>
      <c r="D201" t="s">
        <v>343</v>
      </c>
      <c r="E201">
        <v>2500</v>
      </c>
      <c r="F201" t="s">
        <v>85</v>
      </c>
      <c r="G201" t="s">
        <v>507</v>
      </c>
      <c r="H201" s="3" t="d">
        <v>21:59:59.9999999999968050</v>
      </c>
      <c r="I201" t="s">
        <v>503</v>
      </c>
      <c r="J201" s="1">
        <v>0.55400000000000005</v>
      </c>
      <c r="K201">
        <v>80.5</v>
      </c>
      <c r="L201">
        <v>6.5</v>
      </c>
      <c r="M201">
        <v>3.25</v>
      </c>
      <c r="N201">
        <v>3.38</v>
      </c>
      <c r="Q201" s="4" t="d">
        <v>07:51:00.00000000000031950</v>
      </c>
      <c r="R201">
        <v>1.4</v>
      </c>
      <c r="S201">
        <v>1.98</v>
      </c>
      <c r="T201">
        <v>0</v>
      </c>
      <c r="U201">
        <v>0</v>
      </c>
      <c r="V201">
        <v>0</v>
      </c>
      <c r="W201">
        <v>100</v>
      </c>
      <c r="Y201">
        <v>29</v>
      </c>
      <c r="Z201">
        <v>0</v>
      </c>
      <c r="AA201">
        <v>0</v>
      </c>
    </row>
    <row r="202" spans="1:30" x14ac:dyDescent="0.2">
      <c r="A202" t="s">
        <v>211</v>
      </c>
      <c r="C202">
        <v>0</v>
      </c>
      <c r="D202" t="s">
        <v>42</v>
      </c>
      <c r="E202">
        <v>2800</v>
      </c>
      <c r="F202" t="s">
        <v>148</v>
      </c>
      <c r="G202" t="s">
        <v>512</v>
      </c>
      <c r="H202" s="3" t="d">
        <v>18:59:59.9999999999968050</v>
      </c>
      <c r="I202" t="s">
        <v>503</v>
      </c>
      <c r="J202" s="1">
        <v>0.38600000000000001</v>
      </c>
      <c r="K202">
        <v>159</v>
      </c>
      <c r="L202">
        <v>6</v>
      </c>
      <c r="M202">
        <v>2.2400000000000002</v>
      </c>
      <c r="N202">
        <v>3</v>
      </c>
      <c r="O202">
        <v>3</v>
      </c>
      <c r="Q202" s="4" t="d">
        <v>15:30:00.0000000000031950</v>
      </c>
      <c r="R202">
        <v>4.8</v>
      </c>
      <c r="S202">
        <v>4.34</v>
      </c>
      <c r="T202">
        <v>12.76</v>
      </c>
      <c r="U202">
        <v>4.08</v>
      </c>
      <c r="V202">
        <v>4.08</v>
      </c>
      <c r="W202">
        <v>100</v>
      </c>
      <c r="Y202">
        <v>55</v>
      </c>
      <c r="Z202">
        <v>1.5</v>
      </c>
      <c r="AA202">
        <v>0</v>
      </c>
      <c r="AB202" s="4" t="d">
        <v>15:19:59.99999999999573550</v>
      </c>
      <c r="AC202">
        <v>1.5</v>
      </c>
      <c r="AD202">
        <v>0.5</v>
      </c>
    </row>
    <row r="203" spans="1:30" x14ac:dyDescent="0.2">
      <c r="A203" t="s">
        <v>54</v>
      </c>
      <c r="C203">
        <v>0</v>
      </c>
      <c r="D203" t="s">
        <v>343</v>
      </c>
      <c r="E203">
        <v>8500</v>
      </c>
      <c r="F203" t="s">
        <v>52</v>
      </c>
      <c r="G203" t="s">
        <v>508</v>
      </c>
      <c r="H203" s="3" t="d">
        <v>20:00:00.0000000000031950</v>
      </c>
      <c r="I203" t="s">
        <v>499</v>
      </c>
      <c r="J203" s="1">
        <v>0.48599999999999999</v>
      </c>
      <c r="K203">
        <v>-94.5</v>
      </c>
      <c r="L203">
        <v>5.5</v>
      </c>
      <c r="M203">
        <v>3.07</v>
      </c>
      <c r="N203">
        <v>2.75</v>
      </c>
      <c r="O203">
        <v>1</v>
      </c>
      <c r="P203">
        <v>1</v>
      </c>
      <c r="Q203" s="4" t="d">
        <v>19:46:59.99999999999637450</v>
      </c>
      <c r="R203">
        <v>15.3</v>
      </c>
      <c r="S203">
        <v>10.48</v>
      </c>
      <c r="T203">
        <v>36.71</v>
      </c>
      <c r="U203">
        <v>15.75</v>
      </c>
      <c r="V203">
        <v>15.75</v>
      </c>
      <c r="W203">
        <v>100</v>
      </c>
      <c r="Y203">
        <v>66</v>
      </c>
      <c r="Z203">
        <v>1.9</v>
      </c>
      <c r="AA203">
        <v>0</v>
      </c>
      <c r="AB203" s="4" t="d">
        <v>22:54:00.00000000000447975</v>
      </c>
      <c r="AC203">
        <v>19.3</v>
      </c>
      <c r="AD203">
        <v>2.2999999999999998</v>
      </c>
    </row>
    <row r="204" spans="1:30" x14ac:dyDescent="0.2">
      <c r="A204" t="s">
        <v>568</v>
      </c>
      <c r="C204">
        <v>0</v>
      </c>
      <c r="D204" t="s">
        <v>57</v>
      </c>
      <c r="E204">
        <v>2500</v>
      </c>
      <c r="F204" t="s">
        <v>39</v>
      </c>
      <c r="G204" t="s">
        <v>504</v>
      </c>
      <c r="H204" s="3" t="d">
        <v>18:59:59.9999999999968050</v>
      </c>
      <c r="I204" t="s">
        <v>499</v>
      </c>
      <c r="J204" s="1">
        <v>0.41699999999999998</v>
      </c>
      <c r="K204">
        <v>-71.5</v>
      </c>
      <c r="L204">
        <v>6.5</v>
      </c>
      <c r="M204">
        <v>3.25</v>
      </c>
      <c r="N204">
        <v>3.2</v>
      </c>
      <c r="Q204" s="4" t="d">
        <v>10:36:59.99999999999850675</v>
      </c>
      <c r="R204">
        <v>0.7</v>
      </c>
      <c r="S204">
        <v>0.7</v>
      </c>
      <c r="T204">
        <v>0</v>
      </c>
      <c r="U204">
        <v>0</v>
      </c>
      <c r="V204">
        <v>0</v>
      </c>
      <c r="W204">
        <v>100</v>
      </c>
      <c r="Y204">
        <v>50</v>
      </c>
      <c r="Z204">
        <v>0</v>
      </c>
      <c r="AA204">
        <v>0</v>
      </c>
    </row>
    <row r="205" spans="1:30" x14ac:dyDescent="0.2">
      <c r="A205" t="s">
        <v>368</v>
      </c>
      <c r="C205">
        <v>0</v>
      </c>
      <c r="D205" t="s">
        <v>343</v>
      </c>
      <c r="E205">
        <v>2800</v>
      </c>
      <c r="F205" t="s">
        <v>500</v>
      </c>
      <c r="G205" t="s">
        <v>501</v>
      </c>
      <c r="H205" s="3" t="d">
        <v>21:59:59.9999999999968050</v>
      </c>
      <c r="I205" t="s">
        <v>499</v>
      </c>
      <c r="J205" s="1">
        <v>0.44600000000000001</v>
      </c>
      <c r="K205">
        <v>-80.5</v>
      </c>
      <c r="L205">
        <v>6.5</v>
      </c>
      <c r="M205">
        <v>3.38</v>
      </c>
      <c r="N205">
        <v>3.25</v>
      </c>
      <c r="Q205" s="4" t="d">
        <v>12:45:00.000</v>
      </c>
      <c r="R205">
        <v>6.2</v>
      </c>
      <c r="S205">
        <v>4.57</v>
      </c>
      <c r="T205">
        <v>0</v>
      </c>
      <c r="U205">
        <v>0</v>
      </c>
      <c r="V205">
        <v>0</v>
      </c>
      <c r="W205">
        <v>100</v>
      </c>
      <c r="Y205">
        <v>63</v>
      </c>
      <c r="Z205">
        <v>0</v>
      </c>
      <c r="AA205">
        <v>0</v>
      </c>
    </row>
    <row r="206" spans="1:30" x14ac:dyDescent="0.2">
      <c r="A206" t="s">
        <v>113</v>
      </c>
      <c r="C206">
        <v>0</v>
      </c>
      <c r="D206" t="s">
        <v>343</v>
      </c>
      <c r="E206">
        <v>2600</v>
      </c>
      <c r="F206" t="s">
        <v>64</v>
      </c>
      <c r="G206" t="s">
        <v>517</v>
      </c>
      <c r="H206" s="3" t="d">
        <v>21:59:59.9999999999968050</v>
      </c>
      <c r="I206" t="s">
        <v>503</v>
      </c>
      <c r="J206" s="1">
        <v>0.52900000000000003</v>
      </c>
      <c r="K206">
        <v>89</v>
      </c>
      <c r="L206">
        <v>6</v>
      </c>
      <c r="M206">
        <v>3</v>
      </c>
      <c r="N206">
        <v>3.14</v>
      </c>
      <c r="O206">
        <v>3</v>
      </c>
      <c r="Q206" s="4" t="d">
        <v>10:01:00.00000000000138225</v>
      </c>
      <c r="R206">
        <v>3.9</v>
      </c>
      <c r="S206">
        <v>4.88</v>
      </c>
      <c r="T206">
        <v>15.39</v>
      </c>
      <c r="U206">
        <v>5.63</v>
      </c>
      <c r="V206">
        <v>5.63</v>
      </c>
      <c r="W206">
        <v>100</v>
      </c>
      <c r="Y206">
        <v>37</v>
      </c>
      <c r="Z206">
        <v>2.2000000000000002</v>
      </c>
      <c r="AA206">
        <v>0</v>
      </c>
      <c r="AB206" s="4" t="d">
        <v>15:56:59.999999999997441975</v>
      </c>
      <c r="AC206">
        <v>12.3</v>
      </c>
      <c r="AD206">
        <v>4.7</v>
      </c>
    </row>
    <row r="207" spans="1:30" x14ac:dyDescent="0.2">
      <c r="A207" t="s">
        <v>235</v>
      </c>
      <c r="C207">
        <v>0</v>
      </c>
      <c r="D207" t="s">
        <v>57</v>
      </c>
      <c r="E207">
        <v>2600</v>
      </c>
      <c r="F207" t="s">
        <v>39</v>
      </c>
      <c r="G207" t="s">
        <v>504</v>
      </c>
      <c r="H207" s="3" t="d">
        <v>18:59:59.9999999999968050</v>
      </c>
      <c r="I207" t="s">
        <v>499</v>
      </c>
      <c r="J207" s="1">
        <v>0.41699999999999998</v>
      </c>
      <c r="K207">
        <v>-71.5</v>
      </c>
      <c r="L207">
        <v>6.5</v>
      </c>
      <c r="M207">
        <v>3.25</v>
      </c>
      <c r="N207">
        <v>3.2</v>
      </c>
      <c r="O207">
        <v>1</v>
      </c>
      <c r="Q207" s="4" t="d">
        <v>16:46:59.99999999999637450</v>
      </c>
      <c r="R207">
        <v>5.4</v>
      </c>
      <c r="S207">
        <v>3.9</v>
      </c>
      <c r="T207">
        <v>14.61</v>
      </c>
      <c r="U207">
        <v>6.81</v>
      </c>
      <c r="V207">
        <v>6.81</v>
      </c>
      <c r="W207">
        <v>100</v>
      </c>
      <c r="Y207">
        <v>64</v>
      </c>
      <c r="Z207">
        <v>2.6</v>
      </c>
      <c r="AA207">
        <v>0</v>
      </c>
      <c r="AB207" s="4" t="d">
        <v>21:27:00.00000000000383400</v>
      </c>
      <c r="AC207">
        <v>6.9</v>
      </c>
      <c r="AD207">
        <v>2.7</v>
      </c>
    </row>
    <row r="208" spans="1:30" x14ac:dyDescent="0.2">
      <c r="A208" t="s">
        <v>255</v>
      </c>
      <c r="C208">
        <v>0</v>
      </c>
      <c r="D208" t="s">
        <v>343</v>
      </c>
      <c r="E208">
        <v>5000</v>
      </c>
      <c r="F208" t="s">
        <v>509</v>
      </c>
      <c r="G208" t="s">
        <v>510</v>
      </c>
      <c r="H208" s="3" t="d">
        <v>21:59:59.9999999999968050</v>
      </c>
      <c r="I208" t="s">
        <v>499</v>
      </c>
      <c r="J208" s="1">
        <v>0.47199999999999998</v>
      </c>
      <c r="K208">
        <v>-89.5</v>
      </c>
      <c r="L208">
        <v>6</v>
      </c>
      <c r="M208">
        <v>3</v>
      </c>
      <c r="N208">
        <v>2.77</v>
      </c>
      <c r="O208">
        <v>1</v>
      </c>
      <c r="P208">
        <v>1</v>
      </c>
      <c r="Q208" s="4" t="d">
        <v>18:51:59.99999999999850675</v>
      </c>
      <c r="R208">
        <v>8.5</v>
      </c>
      <c r="S208">
        <v>7.21</v>
      </c>
      <c r="T208">
        <v>23.45</v>
      </c>
      <c r="U208">
        <v>9.0299999999999994</v>
      </c>
      <c r="V208">
        <v>9.0299999999999994</v>
      </c>
      <c r="W208">
        <v>100</v>
      </c>
      <c r="Y208">
        <v>58</v>
      </c>
      <c r="Z208">
        <v>1.8</v>
      </c>
      <c r="AA208">
        <v>0</v>
      </c>
      <c r="AB208" s="4" t="d">
        <v>15:26:00.00000000000404925</v>
      </c>
      <c r="AC208">
        <v>1.5</v>
      </c>
      <c r="AD208">
        <v>0.3</v>
      </c>
    </row>
    <row r="209" spans="1:30" x14ac:dyDescent="0.2">
      <c r="A209" t="s">
        <v>594</v>
      </c>
      <c r="C209">
        <v>0</v>
      </c>
      <c r="D209" t="s">
        <v>42</v>
      </c>
      <c r="E209">
        <v>2500</v>
      </c>
      <c r="F209" t="s">
        <v>35</v>
      </c>
      <c r="G209" t="s">
        <v>516</v>
      </c>
      <c r="H209" s="3" t="d">
        <v>21:00:00.000</v>
      </c>
      <c r="I209" t="s">
        <v>503</v>
      </c>
      <c r="J209" s="1">
        <v>0.377</v>
      </c>
      <c r="K209">
        <v>165</v>
      </c>
      <c r="L209">
        <v>6.5</v>
      </c>
      <c r="M209">
        <v>3.25</v>
      </c>
      <c r="N209">
        <v>4.18</v>
      </c>
      <c r="Q209" s="4" t="d">
        <v>09:25:59.99999999999925675</v>
      </c>
      <c r="R209">
        <v>2.4</v>
      </c>
      <c r="S209">
        <v>2.2200000000000002</v>
      </c>
      <c r="T209">
        <v>0</v>
      </c>
      <c r="U209">
        <v>0</v>
      </c>
      <c r="V209">
        <v>0</v>
      </c>
      <c r="W209">
        <v>100</v>
      </c>
      <c r="Y209">
        <v>54</v>
      </c>
      <c r="Z209">
        <v>0</v>
      </c>
      <c r="AA209">
        <v>0</v>
      </c>
    </row>
    <row r="210" spans="1:30" x14ac:dyDescent="0.2">
      <c r="A210" t="s">
        <v>321</v>
      </c>
      <c r="C210">
        <v>0</v>
      </c>
      <c r="D210" t="s">
        <v>343</v>
      </c>
      <c r="E210">
        <v>3900</v>
      </c>
      <c r="F210" t="s">
        <v>45</v>
      </c>
      <c r="G210" t="s">
        <v>523</v>
      </c>
      <c r="H210" s="3" t="d">
        <v>20:00:00.0000000000031950</v>
      </c>
      <c r="I210" t="s">
        <v>503</v>
      </c>
      <c r="J210" s="1">
        <v>0.51400000000000001</v>
      </c>
      <c r="K210">
        <v>94.5</v>
      </c>
      <c r="L210">
        <v>5.5</v>
      </c>
      <c r="M210">
        <v>2.75</v>
      </c>
      <c r="N210">
        <v>3.07</v>
      </c>
      <c r="O210">
        <v>1</v>
      </c>
      <c r="P210">
        <v>2</v>
      </c>
      <c r="Q210" s="4" t="d">
        <v>15:45:59.999999999999786775</v>
      </c>
      <c r="R210">
        <v>7</v>
      </c>
      <c r="S210">
        <v>6.68</v>
      </c>
      <c r="T210">
        <v>19.809999999999999</v>
      </c>
      <c r="U210">
        <v>6.45</v>
      </c>
      <c r="V210">
        <v>6.45</v>
      </c>
      <c r="W210">
        <v>100</v>
      </c>
      <c r="Y210">
        <v>52</v>
      </c>
      <c r="Z210">
        <v>1.7</v>
      </c>
      <c r="AA210">
        <v>0</v>
      </c>
      <c r="AB210" s="4" t="d">
        <v>15:36:00.00000000000191700</v>
      </c>
      <c r="AC210">
        <v>1.3</v>
      </c>
      <c r="AD210">
        <v>0.3</v>
      </c>
    </row>
    <row r="211" spans="1:30" x14ac:dyDescent="0.2">
      <c r="A211" t="s">
        <v>534</v>
      </c>
      <c r="C211">
        <v>0</v>
      </c>
      <c r="D211" t="s">
        <v>346</v>
      </c>
      <c r="E211">
        <v>7300</v>
      </c>
      <c r="F211" t="s">
        <v>59</v>
      </c>
      <c r="G211" t="s">
        <v>521</v>
      </c>
      <c r="H211" s="3" t="d">
        <v>21:59:59.9999999999968050</v>
      </c>
      <c r="I211" t="s">
        <v>503</v>
      </c>
      <c r="J211" s="1">
        <v>0.52800000000000002</v>
      </c>
      <c r="K211">
        <v>89.5</v>
      </c>
      <c r="L211">
        <v>6</v>
      </c>
      <c r="M211">
        <v>2.77</v>
      </c>
      <c r="N211">
        <v>3</v>
      </c>
      <c r="O211" t="s">
        <v>528</v>
      </c>
      <c r="Q211" s="5" t="d">
        <v>PT56H49M0.000S</v>
      </c>
      <c r="R211">
        <v>-1.4</v>
      </c>
      <c r="S211">
        <v>0</v>
      </c>
      <c r="T211">
        <v>0</v>
      </c>
      <c r="U211">
        <v>0</v>
      </c>
      <c r="V211">
        <v>0</v>
      </c>
      <c r="W211">
        <v>100</v>
      </c>
      <c r="Y211">
        <v>0</v>
      </c>
      <c r="Z211">
        <v>0</v>
      </c>
      <c r="AA211">
        <v>0</v>
      </c>
      <c r="AB211" s="4" t="d">
        <v>1899-12-30</v>
      </c>
      <c r="AC211">
        <v>0</v>
      </c>
    </row>
    <row r="212" spans="1:30" x14ac:dyDescent="0.2">
      <c r="A212" t="s">
        <v>268</v>
      </c>
      <c r="C212">
        <v>0</v>
      </c>
      <c r="D212" t="s">
        <v>343</v>
      </c>
      <c r="E212">
        <v>3100</v>
      </c>
      <c r="F212" t="s">
        <v>117</v>
      </c>
      <c r="G212" t="s">
        <v>518</v>
      </c>
      <c r="H212" s="3" t="d">
        <v>21:00:00.000</v>
      </c>
      <c r="I212" t="s">
        <v>503</v>
      </c>
      <c r="J212" s="1">
        <v>0.54100000000000004</v>
      </c>
      <c r="K212">
        <v>85</v>
      </c>
      <c r="L212">
        <v>6</v>
      </c>
      <c r="M212">
        <v>2.8</v>
      </c>
      <c r="N212">
        <v>3</v>
      </c>
      <c r="O212">
        <v>3</v>
      </c>
      <c r="P212">
        <v>1</v>
      </c>
      <c r="Q212" s="4" t="d">
        <v>17:00:00.0000000000031950</v>
      </c>
      <c r="R212">
        <v>6.7</v>
      </c>
      <c r="S212">
        <v>5.83</v>
      </c>
      <c r="T212">
        <v>18.829999999999998</v>
      </c>
      <c r="U212">
        <v>7.17</v>
      </c>
      <c r="V212">
        <v>7.17</v>
      </c>
      <c r="W212">
        <v>100</v>
      </c>
      <c r="Y212">
        <v>56</v>
      </c>
      <c r="Z212">
        <v>2.2999999999999998</v>
      </c>
      <c r="AA212">
        <v>0</v>
      </c>
      <c r="AB212" s="4" t="d">
        <v>18:58:59.99999999999701350</v>
      </c>
      <c r="AC212">
        <v>1.5</v>
      </c>
      <c r="AD212">
        <v>0.5</v>
      </c>
    </row>
    <row r="213" spans="1:30" x14ac:dyDescent="0.2">
      <c r="A213" t="s">
        <v>218</v>
      </c>
      <c r="C213">
        <v>0</v>
      </c>
      <c r="D213" t="s">
        <v>57</v>
      </c>
      <c r="E213">
        <v>2500</v>
      </c>
      <c r="F213" t="s">
        <v>117</v>
      </c>
      <c r="G213" t="s">
        <v>518</v>
      </c>
      <c r="H213" s="3" t="d">
        <v>21:00:00.000</v>
      </c>
      <c r="I213" t="s">
        <v>503</v>
      </c>
      <c r="J213" s="1">
        <v>0.54100000000000004</v>
      </c>
      <c r="K213">
        <v>85</v>
      </c>
      <c r="L213">
        <v>6</v>
      </c>
      <c r="M213">
        <v>2.8</v>
      </c>
      <c r="N213">
        <v>3</v>
      </c>
      <c r="O213">
        <v>3</v>
      </c>
      <c r="Q213" s="4" t="d">
        <v>14:42:00.00000000000383400</v>
      </c>
      <c r="R213">
        <v>3.7</v>
      </c>
      <c r="S213">
        <v>3.34</v>
      </c>
      <c r="T213">
        <v>10.02</v>
      </c>
      <c r="U213">
        <v>3.34</v>
      </c>
      <c r="V213">
        <v>3.34</v>
      </c>
      <c r="W213">
        <v>100</v>
      </c>
      <c r="Y213">
        <v>55</v>
      </c>
      <c r="Z213">
        <v>1.3</v>
      </c>
      <c r="AA213">
        <v>0</v>
      </c>
      <c r="AB213" s="4" t="d">
        <v>13:08:00.000000000004689600</v>
      </c>
      <c r="AC213">
        <v>0</v>
      </c>
    </row>
    <row r="214" spans="1:30" x14ac:dyDescent="0.2">
      <c r="A214" t="s">
        <v>374</v>
      </c>
      <c r="C214">
        <v>0</v>
      </c>
      <c r="D214" t="s">
        <v>346</v>
      </c>
      <c r="E214">
        <v>7200</v>
      </c>
      <c r="F214" t="s">
        <v>45</v>
      </c>
      <c r="G214" t="s">
        <v>523</v>
      </c>
      <c r="H214" s="3" t="d">
        <v>20:00:00.0000000000031950</v>
      </c>
      <c r="I214" t="s">
        <v>503</v>
      </c>
      <c r="J214" s="1">
        <v>0.51400000000000001</v>
      </c>
      <c r="K214">
        <v>94.5</v>
      </c>
      <c r="L214">
        <v>5.5</v>
      </c>
      <c r="M214">
        <v>2.75</v>
      </c>
      <c r="N214">
        <v>3.07</v>
      </c>
      <c r="O214" t="s">
        <v>528</v>
      </c>
      <c r="Q214" s="5" t="d">
        <v>PT53H55M0.000S</v>
      </c>
      <c r="R214">
        <v>11</v>
      </c>
      <c r="S214">
        <v>11.87</v>
      </c>
      <c r="T214">
        <v>0</v>
      </c>
      <c r="U214">
        <v>0</v>
      </c>
      <c r="V214">
        <v>0</v>
      </c>
      <c r="W214">
        <v>100</v>
      </c>
      <c r="Y214">
        <v>46</v>
      </c>
      <c r="Z214">
        <v>0</v>
      </c>
      <c r="AA214">
        <v>0</v>
      </c>
      <c r="AB214" s="4" t="d">
        <v>1899-12-30</v>
      </c>
      <c r="AC214">
        <v>0</v>
      </c>
    </row>
    <row r="215" spans="1:30" x14ac:dyDescent="0.2">
      <c r="A215" t="s">
        <v>292</v>
      </c>
      <c r="C215">
        <v>0</v>
      </c>
      <c r="D215" t="s">
        <v>343</v>
      </c>
      <c r="E215">
        <v>2500</v>
      </c>
      <c r="F215" t="s">
        <v>48</v>
      </c>
      <c r="G215" t="s">
        <v>498</v>
      </c>
      <c r="H215" s="3" t="d">
        <v>21:00:00.000</v>
      </c>
      <c r="I215" t="s">
        <v>499</v>
      </c>
      <c r="J215" s="1">
        <v>0.623</v>
      </c>
      <c r="K215">
        <v>-165</v>
      </c>
      <c r="L215">
        <v>6.5</v>
      </c>
      <c r="M215">
        <v>4.18</v>
      </c>
      <c r="N215">
        <v>3.25</v>
      </c>
      <c r="Q215" s="4" t="d">
        <v>09:52:59.99999999999829150</v>
      </c>
      <c r="R215">
        <v>2.2999999999999998</v>
      </c>
      <c r="S215">
        <v>3.16</v>
      </c>
      <c r="T215">
        <v>0</v>
      </c>
      <c r="U215">
        <v>0</v>
      </c>
      <c r="V215">
        <v>0</v>
      </c>
      <c r="W215">
        <v>100</v>
      </c>
      <c r="Y215">
        <v>31</v>
      </c>
      <c r="Z215">
        <v>0</v>
      </c>
      <c r="AA215">
        <v>0</v>
      </c>
      <c r="AB215" s="4" t="d">
        <v>09:36:00.00000000000191700</v>
      </c>
      <c r="AC215">
        <v>4.5</v>
      </c>
      <c r="AD215">
        <v>1.8</v>
      </c>
    </row>
    <row r="216" spans="1:30" x14ac:dyDescent="0.2">
      <c r="A216" t="s">
        <v>580</v>
      </c>
      <c r="C216">
        <v>0</v>
      </c>
      <c r="D216" t="s">
        <v>343</v>
      </c>
      <c r="E216">
        <v>2500</v>
      </c>
      <c r="F216" t="s">
        <v>148</v>
      </c>
      <c r="G216" t="s">
        <v>512</v>
      </c>
      <c r="H216" s="3" t="d">
        <v>18:59:59.9999999999968050</v>
      </c>
      <c r="I216" t="s">
        <v>503</v>
      </c>
      <c r="J216" s="1">
        <v>0.38600000000000001</v>
      </c>
      <c r="K216">
        <v>159</v>
      </c>
      <c r="L216">
        <v>6</v>
      </c>
      <c r="M216">
        <v>2.2400000000000002</v>
      </c>
      <c r="N216">
        <v>3</v>
      </c>
      <c r="T216">
        <v>0</v>
      </c>
      <c r="U216">
        <v>0</v>
      </c>
      <c r="V216">
        <v>0</v>
      </c>
      <c r="W216">
        <v>100</v>
      </c>
      <c r="Y216">
        <v>0</v>
      </c>
      <c r="Z216">
        <v>0</v>
      </c>
      <c r="AA216">
        <v>0</v>
      </c>
    </row>
    <row r="217" spans="1:30" x14ac:dyDescent="0.2">
      <c r="A217" t="s">
        <v>365</v>
      </c>
      <c r="C217">
        <v>0</v>
      </c>
      <c r="D217" t="s">
        <v>346</v>
      </c>
      <c r="E217">
        <v>7800</v>
      </c>
      <c r="F217" t="s">
        <v>74</v>
      </c>
      <c r="G217" t="s">
        <v>514</v>
      </c>
      <c r="H217" s="3" t="d">
        <v>21:59:59.9999999999968050</v>
      </c>
      <c r="I217" t="s">
        <v>499</v>
      </c>
      <c r="J217" s="1">
        <v>0.47099999999999997</v>
      </c>
      <c r="K217">
        <v>-89</v>
      </c>
      <c r="L217">
        <v>6</v>
      </c>
      <c r="M217">
        <v>3.14</v>
      </c>
      <c r="N217">
        <v>3</v>
      </c>
      <c r="O217" t="s">
        <v>528</v>
      </c>
      <c r="Q217" s="5" t="d">
        <v>PT58H6M0.000S</v>
      </c>
      <c r="R217">
        <v>11.5</v>
      </c>
      <c r="S217">
        <v>12.06</v>
      </c>
      <c r="T217">
        <v>0</v>
      </c>
      <c r="U217">
        <v>0</v>
      </c>
      <c r="V217">
        <v>0</v>
      </c>
      <c r="W217">
        <v>100</v>
      </c>
      <c r="Y217">
        <v>48</v>
      </c>
      <c r="Z217">
        <v>0</v>
      </c>
      <c r="AA217">
        <v>0</v>
      </c>
      <c r="AB217" s="4" t="d">
        <v>1899-12-30</v>
      </c>
      <c r="AC217">
        <v>0</v>
      </c>
    </row>
    <row r="218" spans="1:30" x14ac:dyDescent="0.2">
      <c r="A218" t="s">
        <v>606</v>
      </c>
      <c r="C218">
        <v>0</v>
      </c>
      <c r="D218" t="s">
        <v>42</v>
      </c>
      <c r="E218">
        <v>2500</v>
      </c>
      <c r="F218" t="s">
        <v>117</v>
      </c>
      <c r="G218" t="s">
        <v>518</v>
      </c>
      <c r="H218" s="3" t="d">
        <v>21:00:00.000</v>
      </c>
      <c r="I218" t="s">
        <v>503</v>
      </c>
      <c r="J218" s="1">
        <v>0.54100000000000004</v>
      </c>
      <c r="K218">
        <v>85</v>
      </c>
      <c r="L218">
        <v>6</v>
      </c>
      <c r="M218">
        <v>2.8</v>
      </c>
      <c r="N218">
        <v>3</v>
      </c>
      <c r="Q218" s="4" t="d">
        <v>10:01:00.00000000000138225</v>
      </c>
      <c r="R218">
        <v>2.9</v>
      </c>
      <c r="S218">
        <v>3.41</v>
      </c>
      <c r="T218">
        <v>0</v>
      </c>
      <c r="U218">
        <v>0</v>
      </c>
      <c r="V218">
        <v>0</v>
      </c>
      <c r="W218">
        <v>100</v>
      </c>
      <c r="Y218">
        <v>41</v>
      </c>
      <c r="Z218">
        <v>0</v>
      </c>
      <c r="AA218">
        <v>0</v>
      </c>
    </row>
    <row r="219" spans="1:30" x14ac:dyDescent="0.2">
      <c r="A219" t="s">
        <v>75</v>
      </c>
      <c r="C219">
        <v>0</v>
      </c>
      <c r="D219" t="s">
        <v>57</v>
      </c>
      <c r="E219">
        <v>5700</v>
      </c>
      <c r="F219" t="s">
        <v>56</v>
      </c>
      <c r="G219" t="s">
        <v>513</v>
      </c>
      <c r="H219" s="3" t="d">
        <v>21:00:00.000</v>
      </c>
      <c r="I219" t="s">
        <v>499</v>
      </c>
      <c r="J219" s="1">
        <v>0.45900000000000002</v>
      </c>
      <c r="K219">
        <v>-85</v>
      </c>
      <c r="L219">
        <v>6</v>
      </c>
      <c r="M219">
        <v>3</v>
      </c>
      <c r="N219">
        <v>2.8</v>
      </c>
      <c r="O219">
        <v>1</v>
      </c>
      <c r="P219">
        <v>2</v>
      </c>
      <c r="Q219" s="4" t="d">
        <v>23:00:00.0000000000031950</v>
      </c>
      <c r="R219">
        <v>10.9</v>
      </c>
      <c r="S219">
        <v>6.25</v>
      </c>
      <c r="T219">
        <v>24.58</v>
      </c>
      <c r="U219">
        <v>12.08</v>
      </c>
      <c r="V219">
        <v>12.08</v>
      </c>
      <c r="W219">
        <v>100</v>
      </c>
      <c r="Y219">
        <v>71</v>
      </c>
      <c r="Z219">
        <v>2.1</v>
      </c>
      <c r="AA219">
        <v>0</v>
      </c>
      <c r="AB219" s="4" t="d">
        <v>20:27:59.99999999999722875</v>
      </c>
      <c r="AC219">
        <v>9.3000000000000007</v>
      </c>
      <c r="AD219">
        <v>1.6</v>
      </c>
    </row>
    <row r="220" spans="1:30" x14ac:dyDescent="0.2">
      <c r="A220" t="s">
        <v>631</v>
      </c>
      <c r="C220">
        <v>0</v>
      </c>
      <c r="D220" t="s">
        <v>42</v>
      </c>
      <c r="E220">
        <v>2500</v>
      </c>
      <c r="F220" t="s">
        <v>74</v>
      </c>
      <c r="G220" t="s">
        <v>514</v>
      </c>
      <c r="H220" s="3" t="d">
        <v>21:59:59.9999999999968050</v>
      </c>
      <c r="I220" t="s">
        <v>499</v>
      </c>
      <c r="J220" s="1">
        <v>0.47099999999999997</v>
      </c>
      <c r="K220">
        <v>-89</v>
      </c>
      <c r="L220">
        <v>6</v>
      </c>
      <c r="M220">
        <v>3.14</v>
      </c>
      <c r="N220">
        <v>3</v>
      </c>
      <c r="Q220" s="4" t="d">
        <v>10:04:00.00000000000074325</v>
      </c>
      <c r="R220">
        <v>1.9</v>
      </c>
      <c r="S220">
        <v>1.69</v>
      </c>
      <c r="T220">
        <v>0</v>
      </c>
      <c r="U220">
        <v>0</v>
      </c>
      <c r="V220">
        <v>0</v>
      </c>
      <c r="W220">
        <v>100</v>
      </c>
      <c r="Y220">
        <v>56</v>
      </c>
      <c r="Z220">
        <v>0</v>
      </c>
      <c r="AA220">
        <v>0</v>
      </c>
    </row>
    <row r="221" spans="1:30" x14ac:dyDescent="0.2">
      <c r="A221" t="s">
        <v>179</v>
      </c>
      <c r="C221">
        <v>0</v>
      </c>
      <c r="D221" t="s">
        <v>57</v>
      </c>
      <c r="E221">
        <v>3900</v>
      </c>
      <c r="F221" t="s">
        <v>500</v>
      </c>
      <c r="G221" t="s">
        <v>501</v>
      </c>
      <c r="H221" s="3" t="d">
        <v>21:59:59.9999999999968050</v>
      </c>
      <c r="I221" t="s">
        <v>499</v>
      </c>
      <c r="J221" s="1">
        <v>0.44600000000000001</v>
      </c>
      <c r="K221">
        <v>-80.5</v>
      </c>
      <c r="L221">
        <v>6.5</v>
      </c>
      <c r="M221">
        <v>3.38</v>
      </c>
      <c r="N221">
        <v>3.25</v>
      </c>
      <c r="O221">
        <v>1</v>
      </c>
      <c r="P221">
        <v>1</v>
      </c>
      <c r="Q221" s="4" t="d">
        <v>21:31:00.00000000000298650</v>
      </c>
      <c r="R221">
        <v>7.6</v>
      </c>
      <c r="S221">
        <v>5.44</v>
      </c>
      <c r="T221">
        <v>20.74</v>
      </c>
      <c r="U221">
        <v>9.86</v>
      </c>
      <c r="V221">
        <v>9.86</v>
      </c>
      <c r="W221">
        <v>100</v>
      </c>
      <c r="Y221">
        <v>64</v>
      </c>
      <c r="Z221">
        <v>2.5</v>
      </c>
      <c r="AA221">
        <v>0</v>
      </c>
      <c r="AB221" s="4" t="d">
        <v>19:26:00.00000000000085425</v>
      </c>
      <c r="AC221">
        <v>8.6</v>
      </c>
      <c r="AD221">
        <v>2.2000000000000002</v>
      </c>
    </row>
    <row r="222" spans="1:30" x14ac:dyDescent="0.2">
      <c r="A222" t="s">
        <v>76</v>
      </c>
      <c r="C222">
        <v>0</v>
      </c>
      <c r="D222" t="s">
        <v>42</v>
      </c>
      <c r="E222">
        <v>5800</v>
      </c>
      <c r="F222" t="s">
        <v>61</v>
      </c>
      <c r="G222" t="s">
        <v>502</v>
      </c>
      <c r="H222" s="3" t="d">
        <v>18:59:59.9999999999968050</v>
      </c>
      <c r="I222" t="s">
        <v>503</v>
      </c>
      <c r="J222" s="1">
        <v>0.58299999999999996</v>
      </c>
      <c r="K222">
        <v>71.5</v>
      </c>
      <c r="L222">
        <v>6.5</v>
      </c>
      <c r="M222">
        <v>3.2</v>
      </c>
      <c r="N222">
        <v>3.25</v>
      </c>
      <c r="O222">
        <v>2</v>
      </c>
      <c r="P222">
        <v>1</v>
      </c>
      <c r="Q222" s="4" t="d">
        <v>17:50:00.00000000000213225</v>
      </c>
      <c r="R222">
        <v>10</v>
      </c>
      <c r="S222">
        <v>7.4</v>
      </c>
      <c r="T222">
        <v>24.2</v>
      </c>
      <c r="U222">
        <v>9.4</v>
      </c>
      <c r="V222">
        <v>9.4</v>
      </c>
      <c r="W222">
        <v>100</v>
      </c>
      <c r="Y222">
        <v>63</v>
      </c>
      <c r="Z222">
        <v>1.6</v>
      </c>
      <c r="AA222">
        <v>0</v>
      </c>
      <c r="AB222" s="4" t="d">
        <v>19:08:00.000000000004689600</v>
      </c>
      <c r="AC222">
        <v>13</v>
      </c>
      <c r="AD222">
        <v>2.2000000000000002</v>
      </c>
    </row>
    <row r="223" spans="1:30" x14ac:dyDescent="0.2">
      <c r="A223" t="s">
        <v>121</v>
      </c>
      <c r="C223">
        <v>0</v>
      </c>
      <c r="D223" t="s">
        <v>57</v>
      </c>
      <c r="E223">
        <v>2500</v>
      </c>
      <c r="F223" t="s">
        <v>509</v>
      </c>
      <c r="G223" t="s">
        <v>510</v>
      </c>
      <c r="H223" s="3" t="d">
        <v>21:59:59.9999999999968050</v>
      </c>
      <c r="I223" t="s">
        <v>499</v>
      </c>
      <c r="J223" s="1">
        <v>0.47199999999999998</v>
      </c>
      <c r="K223">
        <v>-89.5</v>
      </c>
      <c r="L223">
        <v>6</v>
      </c>
      <c r="M223">
        <v>3</v>
      </c>
      <c r="N223">
        <v>2.77</v>
      </c>
      <c r="O223">
        <v>3</v>
      </c>
      <c r="Q223" s="4" t="d">
        <v>17:30:59.99999999999658975</v>
      </c>
      <c r="R223">
        <v>5</v>
      </c>
      <c r="S223">
        <v>3.4</v>
      </c>
      <c r="T223">
        <v>11.2</v>
      </c>
      <c r="U223">
        <v>4.4000000000000004</v>
      </c>
      <c r="V223">
        <v>4.4000000000000004</v>
      </c>
      <c r="W223">
        <v>100</v>
      </c>
      <c r="Y223">
        <v>66</v>
      </c>
      <c r="Z223">
        <v>1.8</v>
      </c>
      <c r="AA223">
        <v>0</v>
      </c>
      <c r="AB223" s="4" t="d">
        <v>14:27:59.99999999999722875</v>
      </c>
      <c r="AC223">
        <v>6.5</v>
      </c>
      <c r="AD223">
        <v>2.6</v>
      </c>
    </row>
    <row r="224" spans="1:30" x14ac:dyDescent="0.2">
      <c r="A224" t="s">
        <v>416</v>
      </c>
      <c r="C224">
        <v>0</v>
      </c>
      <c r="D224" t="s">
        <v>346</v>
      </c>
      <c r="E224">
        <v>8400</v>
      </c>
      <c r="F224" t="s">
        <v>505</v>
      </c>
      <c r="G224" t="s">
        <v>506</v>
      </c>
      <c r="H224" s="3" t="d">
        <v>18:59:59.9999999999968050</v>
      </c>
      <c r="I224" t="s">
        <v>499</v>
      </c>
      <c r="J224" s="1">
        <v>0.61399999999999999</v>
      </c>
      <c r="K224">
        <v>-159</v>
      </c>
      <c r="L224">
        <v>6</v>
      </c>
      <c r="M224">
        <v>3</v>
      </c>
      <c r="N224">
        <v>2.2400000000000002</v>
      </c>
      <c r="O224" t="s">
        <v>528</v>
      </c>
      <c r="Q224" s="5" t="d">
        <v>PT57H23M0.000S</v>
      </c>
      <c r="R224">
        <v>10.3</v>
      </c>
      <c r="S224">
        <v>8.36</v>
      </c>
      <c r="T224">
        <v>0</v>
      </c>
      <c r="U224">
        <v>0</v>
      </c>
      <c r="V224">
        <v>0</v>
      </c>
      <c r="W224">
        <v>100</v>
      </c>
      <c r="Y224">
        <v>59</v>
      </c>
      <c r="Z224">
        <v>0</v>
      </c>
      <c r="AA224">
        <v>0</v>
      </c>
      <c r="AB224" s="4" t="d">
        <v>1899-12-30</v>
      </c>
      <c r="AC224">
        <v>2</v>
      </c>
      <c r="AD224">
        <v>0.2</v>
      </c>
    </row>
    <row r="225" spans="1:30" x14ac:dyDescent="0.2">
      <c r="A225" t="s">
        <v>114</v>
      </c>
      <c r="C225">
        <v>0</v>
      </c>
      <c r="D225" t="s">
        <v>343</v>
      </c>
      <c r="E225">
        <v>2500</v>
      </c>
      <c r="F225" t="s">
        <v>39</v>
      </c>
      <c r="G225" t="s">
        <v>504</v>
      </c>
      <c r="H225" s="3" t="d">
        <v>18:59:59.9999999999968050</v>
      </c>
      <c r="I225" t="s">
        <v>499</v>
      </c>
      <c r="J225" s="1">
        <v>0.41699999999999998</v>
      </c>
      <c r="K225">
        <v>-71.5</v>
      </c>
      <c r="L225">
        <v>6.5</v>
      </c>
      <c r="M225">
        <v>3.25</v>
      </c>
      <c r="N225">
        <v>3.2</v>
      </c>
      <c r="T225">
        <v>0</v>
      </c>
      <c r="U225">
        <v>0</v>
      </c>
      <c r="V225">
        <v>0</v>
      </c>
      <c r="W225">
        <v>100</v>
      </c>
      <c r="Y225">
        <v>0</v>
      </c>
      <c r="Z225">
        <v>0</v>
      </c>
      <c r="AA225">
        <v>0</v>
      </c>
      <c r="AB225" s="4" t="d">
        <v>14:40:00.00000000000426450</v>
      </c>
      <c r="AC225">
        <v>9.5</v>
      </c>
      <c r="AD225">
        <v>3.8</v>
      </c>
    </row>
    <row r="226" spans="1:30" x14ac:dyDescent="0.2">
      <c r="A226" t="s">
        <v>102</v>
      </c>
      <c r="C226">
        <v>0</v>
      </c>
      <c r="D226" t="s">
        <v>57</v>
      </c>
      <c r="E226">
        <v>2600</v>
      </c>
      <c r="F226" t="s">
        <v>509</v>
      </c>
      <c r="G226" t="s">
        <v>510</v>
      </c>
      <c r="H226" s="3" t="d">
        <v>21:59:59.9999999999968050</v>
      </c>
      <c r="I226" t="s">
        <v>499</v>
      </c>
      <c r="J226" s="1">
        <v>0.47199999999999998</v>
      </c>
      <c r="K226">
        <v>-89.5</v>
      </c>
      <c r="L226">
        <v>6</v>
      </c>
      <c r="M226">
        <v>3</v>
      </c>
      <c r="N226">
        <v>2.77</v>
      </c>
      <c r="O226">
        <v>1</v>
      </c>
      <c r="Q226" s="4" t="d">
        <v>19:49:59.99999999999573550</v>
      </c>
      <c r="R226">
        <v>4.8</v>
      </c>
      <c r="S226">
        <v>3.81</v>
      </c>
      <c r="T226">
        <v>13.12</v>
      </c>
      <c r="U226">
        <v>5.5</v>
      </c>
      <c r="V226">
        <v>5.5</v>
      </c>
      <c r="W226">
        <v>100</v>
      </c>
      <c r="Y226">
        <v>60</v>
      </c>
      <c r="Z226">
        <v>2.1</v>
      </c>
      <c r="AA226">
        <v>0</v>
      </c>
      <c r="AB226" s="4" t="d">
        <v>22:45:59.99999999999658975</v>
      </c>
      <c r="AC226">
        <v>9.3000000000000007</v>
      </c>
      <c r="AD226">
        <v>3.6</v>
      </c>
    </row>
    <row r="227" spans="1:30" x14ac:dyDescent="0.2">
      <c r="A227" t="s">
        <v>277</v>
      </c>
      <c r="C227">
        <v>0</v>
      </c>
      <c r="D227" t="s">
        <v>343</v>
      </c>
      <c r="E227">
        <v>2500</v>
      </c>
      <c r="F227" t="s">
        <v>45</v>
      </c>
      <c r="G227" t="s">
        <v>523</v>
      </c>
      <c r="H227" s="3" t="d">
        <v>20:00:00.0000000000031950</v>
      </c>
      <c r="I227" t="s">
        <v>503</v>
      </c>
      <c r="J227" s="1">
        <v>0.51400000000000001</v>
      </c>
      <c r="K227">
        <v>94.5</v>
      </c>
      <c r="L227">
        <v>5.5</v>
      </c>
      <c r="M227">
        <v>2.75</v>
      </c>
      <c r="N227">
        <v>3.07</v>
      </c>
      <c r="O227">
        <v>1</v>
      </c>
      <c r="P227">
        <v>2</v>
      </c>
      <c r="Q227" s="4" t="d">
        <v>13:04:59.99999999999573550</v>
      </c>
      <c r="R227">
        <v>4.5999999999999996</v>
      </c>
      <c r="S227">
        <v>6.09</v>
      </c>
      <c r="T227">
        <v>16.95</v>
      </c>
      <c r="U227">
        <v>4.7699999999999996</v>
      </c>
      <c r="V227">
        <v>4.7699999999999996</v>
      </c>
      <c r="W227">
        <v>100</v>
      </c>
      <c r="Y227">
        <v>34</v>
      </c>
      <c r="Z227">
        <v>1.9</v>
      </c>
      <c r="AA227">
        <v>0</v>
      </c>
      <c r="AB227" s="4" t="d">
        <v>15:15:59.99999999999658975</v>
      </c>
      <c r="AC227">
        <v>0</v>
      </c>
    </row>
    <row r="228" spans="1:30" x14ac:dyDescent="0.2">
      <c r="A228" t="s">
        <v>185</v>
      </c>
      <c r="C228">
        <v>0</v>
      </c>
      <c r="D228" t="s">
        <v>343</v>
      </c>
      <c r="E228">
        <v>3500</v>
      </c>
      <c r="F228" t="s">
        <v>117</v>
      </c>
      <c r="G228" t="s">
        <v>518</v>
      </c>
      <c r="H228" s="3" t="d">
        <v>21:00:00.000</v>
      </c>
      <c r="I228" t="s">
        <v>503</v>
      </c>
      <c r="J228" s="1">
        <v>0.54100000000000004</v>
      </c>
      <c r="K228">
        <v>85</v>
      </c>
      <c r="L228">
        <v>6</v>
      </c>
      <c r="M228">
        <v>2.8</v>
      </c>
      <c r="N228">
        <v>3</v>
      </c>
      <c r="Q228" s="4" t="d">
        <v>18:23:00.000000000004689600</v>
      </c>
      <c r="R228">
        <v>6.2</v>
      </c>
      <c r="S228">
        <v>4.62</v>
      </c>
      <c r="T228">
        <v>0</v>
      </c>
      <c r="U228">
        <v>0</v>
      </c>
      <c r="V228">
        <v>0</v>
      </c>
      <c r="W228">
        <v>100</v>
      </c>
      <c r="Y228">
        <v>63</v>
      </c>
      <c r="Z228">
        <v>0</v>
      </c>
      <c r="AA228">
        <v>0</v>
      </c>
      <c r="AB228" s="4" t="d">
        <v>16:40:59.9999999999976525</v>
      </c>
      <c r="AC228">
        <v>4.5</v>
      </c>
      <c r="AD228">
        <v>1.3</v>
      </c>
    </row>
    <row r="229" spans="1:30" x14ac:dyDescent="0.2">
      <c r="A229" t="s">
        <v>613</v>
      </c>
      <c r="C229">
        <v>0</v>
      </c>
      <c r="D229" t="s">
        <v>343</v>
      </c>
      <c r="E229">
        <v>2500</v>
      </c>
      <c r="F229" t="s">
        <v>59</v>
      </c>
      <c r="G229" t="s">
        <v>521</v>
      </c>
      <c r="H229" s="3" t="d">
        <v>21:59:59.9999999999968050</v>
      </c>
      <c r="I229" t="s">
        <v>503</v>
      </c>
      <c r="J229" s="1">
        <v>0.52800000000000002</v>
      </c>
      <c r="K229">
        <v>89.5</v>
      </c>
      <c r="L229">
        <v>6</v>
      </c>
      <c r="M229">
        <v>2.77</v>
      </c>
      <c r="N229">
        <v>3</v>
      </c>
      <c r="Q229" s="4" t="d">
        <v>11:11:00.00000000000085425</v>
      </c>
      <c r="R229">
        <v>5</v>
      </c>
      <c r="S229">
        <v>6.74</v>
      </c>
      <c r="T229">
        <v>0</v>
      </c>
      <c r="U229">
        <v>0</v>
      </c>
      <c r="V229">
        <v>0</v>
      </c>
      <c r="W229">
        <v>100</v>
      </c>
      <c r="Y229">
        <v>33</v>
      </c>
      <c r="Z229">
        <v>0</v>
      </c>
      <c r="AA229">
        <v>0</v>
      </c>
    </row>
    <row r="230" spans="1:30" x14ac:dyDescent="0.2">
      <c r="A230" t="s">
        <v>372</v>
      </c>
      <c r="C230">
        <v>0</v>
      </c>
      <c r="D230" t="s">
        <v>346</v>
      </c>
      <c r="E230">
        <v>7400</v>
      </c>
      <c r="F230" t="s">
        <v>85</v>
      </c>
      <c r="G230" t="s">
        <v>507</v>
      </c>
      <c r="H230" s="3" t="d">
        <v>21:59:59.9999999999968050</v>
      </c>
      <c r="I230" t="s">
        <v>503</v>
      </c>
      <c r="J230" s="1">
        <v>0.55400000000000005</v>
      </c>
      <c r="K230">
        <v>80.5</v>
      </c>
      <c r="L230">
        <v>6.5</v>
      </c>
      <c r="M230">
        <v>3.25</v>
      </c>
      <c r="N230">
        <v>3.38</v>
      </c>
      <c r="O230" t="s">
        <v>528</v>
      </c>
      <c r="Q230" s="5" t="d">
        <v>PT55H21M0.000S</v>
      </c>
      <c r="R230">
        <v>6.9</v>
      </c>
      <c r="S230">
        <v>11.33</v>
      </c>
      <c r="T230">
        <v>0</v>
      </c>
      <c r="U230">
        <v>0</v>
      </c>
      <c r="V230">
        <v>0</v>
      </c>
      <c r="W230">
        <v>100</v>
      </c>
      <c r="Y230">
        <v>18</v>
      </c>
      <c r="Z230">
        <v>0</v>
      </c>
      <c r="AA230">
        <v>0</v>
      </c>
      <c r="AB230" s="4" t="d">
        <v>1899-12-30</v>
      </c>
      <c r="AC230">
        <v>0</v>
      </c>
    </row>
    <row r="231" spans="1:30" x14ac:dyDescent="0.2">
      <c r="A231" t="s">
        <v>429</v>
      </c>
      <c r="C231">
        <v>0</v>
      </c>
      <c r="D231" t="s">
        <v>343</v>
      </c>
      <c r="E231">
        <v>2500</v>
      </c>
      <c r="F231" t="s">
        <v>85</v>
      </c>
      <c r="G231" t="s">
        <v>507</v>
      </c>
      <c r="H231" s="3" t="d">
        <v>21:59:59.9999999999968050</v>
      </c>
      <c r="I231" t="s">
        <v>503</v>
      </c>
      <c r="J231" s="1">
        <v>0.55400000000000005</v>
      </c>
      <c r="K231">
        <v>80.5</v>
      </c>
      <c r="L231">
        <v>6.5</v>
      </c>
      <c r="M231">
        <v>3.25</v>
      </c>
      <c r="N231">
        <v>3.38</v>
      </c>
      <c r="Q231" s="4" t="d">
        <v>11:05:00.00000000000213225</v>
      </c>
      <c r="R231">
        <v>3.9</v>
      </c>
      <c r="S231">
        <v>4.41</v>
      </c>
      <c r="T231">
        <v>0</v>
      </c>
      <c r="U231">
        <v>0</v>
      </c>
      <c r="V231">
        <v>0</v>
      </c>
      <c r="W231">
        <v>100</v>
      </c>
      <c r="Y231">
        <v>43</v>
      </c>
      <c r="Z231">
        <v>0</v>
      </c>
      <c r="AA231">
        <v>0</v>
      </c>
    </row>
    <row r="232" spans="1:30" x14ac:dyDescent="0.2">
      <c r="A232" t="s">
        <v>359</v>
      </c>
      <c r="C232">
        <v>0</v>
      </c>
      <c r="D232" t="s">
        <v>346</v>
      </c>
      <c r="E232">
        <v>7200</v>
      </c>
      <c r="F232" t="s">
        <v>45</v>
      </c>
      <c r="G232" t="s">
        <v>523</v>
      </c>
      <c r="H232" s="3" t="d">
        <v>20:00:00.0000000000031950</v>
      </c>
      <c r="I232" t="s">
        <v>503</v>
      </c>
      <c r="J232" s="1">
        <v>0.51400000000000001</v>
      </c>
      <c r="K232">
        <v>94.5</v>
      </c>
      <c r="L232">
        <v>5.5</v>
      </c>
      <c r="M232">
        <v>2.75</v>
      </c>
      <c r="N232">
        <v>3.07</v>
      </c>
      <c r="O232" t="s">
        <v>511</v>
      </c>
      <c r="Q232" s="5" t="d">
        <v>PT55H3M0.000S</v>
      </c>
      <c r="R232">
        <v>7</v>
      </c>
      <c r="S232">
        <v>11.13</v>
      </c>
      <c r="T232">
        <v>30.31</v>
      </c>
      <c r="U232">
        <v>8.0500000000000007</v>
      </c>
      <c r="V232">
        <v>8.0500000000000007</v>
      </c>
      <c r="W232">
        <v>100</v>
      </c>
      <c r="Y232">
        <v>21</v>
      </c>
      <c r="Z232">
        <v>1.1000000000000001</v>
      </c>
      <c r="AA232">
        <v>0</v>
      </c>
      <c r="AB232" s="5" t="d">
        <v>PT59H0M0.000S</v>
      </c>
      <c r="AC232">
        <v>0.7</v>
      </c>
      <c r="AD232">
        <v>0.1</v>
      </c>
    </row>
    <row r="233" spans="1:30" x14ac:dyDescent="0.2">
      <c r="A233" t="s">
        <v>73</v>
      </c>
      <c r="C233">
        <v>0</v>
      </c>
      <c r="D233" t="s">
        <v>343</v>
      </c>
      <c r="E233">
        <v>4700</v>
      </c>
      <c r="F233" t="s">
        <v>74</v>
      </c>
      <c r="G233" t="s">
        <v>514</v>
      </c>
      <c r="H233" s="3" t="d">
        <v>21:59:59.9999999999968050</v>
      </c>
      <c r="I233" t="s">
        <v>499</v>
      </c>
      <c r="J233" s="1">
        <v>0.47099999999999997</v>
      </c>
      <c r="K233">
        <v>-89</v>
      </c>
      <c r="L233">
        <v>6</v>
      </c>
      <c r="M233">
        <v>3.14</v>
      </c>
      <c r="N233">
        <v>3</v>
      </c>
      <c r="O233">
        <v>1</v>
      </c>
      <c r="P233">
        <v>1</v>
      </c>
      <c r="Q233" s="4" t="d">
        <v>18:48:59.99999999999914575</v>
      </c>
      <c r="R233">
        <v>8.6999999999999993</v>
      </c>
      <c r="S233">
        <v>5.98</v>
      </c>
      <c r="T233">
        <v>21.31</v>
      </c>
      <c r="U233">
        <v>9.35</v>
      </c>
      <c r="V233">
        <v>9.35</v>
      </c>
      <c r="W233">
        <v>100</v>
      </c>
      <c r="Y233">
        <v>66</v>
      </c>
      <c r="Z233">
        <v>2</v>
      </c>
      <c r="AA233">
        <v>0</v>
      </c>
      <c r="AB233" s="4" t="d">
        <v>19:04:59.99999999999573550</v>
      </c>
      <c r="AC233">
        <v>6.5</v>
      </c>
      <c r="AD233">
        <v>1.4</v>
      </c>
    </row>
    <row r="234" spans="1:30" x14ac:dyDescent="0.2">
      <c r="A234" t="s">
        <v>109</v>
      </c>
      <c r="C234">
        <v>0</v>
      </c>
      <c r="D234" t="s">
        <v>343</v>
      </c>
      <c r="E234">
        <v>4500</v>
      </c>
      <c r="F234" t="s">
        <v>45</v>
      </c>
      <c r="G234" t="s">
        <v>523</v>
      </c>
      <c r="H234" s="3" t="d">
        <v>20:00:00.0000000000031950</v>
      </c>
      <c r="I234" t="s">
        <v>503</v>
      </c>
      <c r="J234" s="1">
        <v>0.51400000000000001</v>
      </c>
      <c r="K234">
        <v>94.5</v>
      </c>
      <c r="L234">
        <v>5.5</v>
      </c>
      <c r="M234">
        <v>2.75</v>
      </c>
      <c r="N234">
        <v>3.07</v>
      </c>
      <c r="O234">
        <v>2</v>
      </c>
      <c r="P234">
        <v>1</v>
      </c>
      <c r="Q234" s="4" t="d">
        <v>16:23:00.00000000000149325</v>
      </c>
      <c r="R234">
        <v>7.9</v>
      </c>
      <c r="S234">
        <v>5.01</v>
      </c>
      <c r="T234">
        <v>17.86</v>
      </c>
      <c r="U234">
        <v>7.84</v>
      </c>
      <c r="V234">
        <v>7.84</v>
      </c>
      <c r="W234">
        <v>100</v>
      </c>
      <c r="Y234">
        <v>68</v>
      </c>
      <c r="Z234">
        <v>1.7</v>
      </c>
      <c r="AA234">
        <v>0</v>
      </c>
      <c r="AB234" s="4" t="d">
        <v>15:48:59.99999999999914575</v>
      </c>
      <c r="AC234">
        <v>9.5</v>
      </c>
      <c r="AD234">
        <v>2.1</v>
      </c>
    </row>
    <row r="235" spans="1:30" x14ac:dyDescent="0.2">
      <c r="A235" t="s">
        <v>369</v>
      </c>
      <c r="C235">
        <v>0</v>
      </c>
      <c r="D235" t="s">
        <v>346</v>
      </c>
      <c r="E235">
        <v>7500</v>
      </c>
      <c r="F235" t="s">
        <v>61</v>
      </c>
      <c r="G235" t="s">
        <v>502</v>
      </c>
      <c r="H235" s="3" t="d">
        <v>18:59:59.9999999999968050</v>
      </c>
      <c r="I235" t="s">
        <v>503</v>
      </c>
      <c r="J235" s="1">
        <v>0.58299999999999996</v>
      </c>
      <c r="K235">
        <v>71.5</v>
      </c>
      <c r="L235">
        <v>6.5</v>
      </c>
      <c r="M235">
        <v>3.2</v>
      </c>
      <c r="N235">
        <v>3.25</v>
      </c>
      <c r="O235" t="s">
        <v>528</v>
      </c>
      <c r="Q235" s="5" t="d">
        <v>PT56H11M0.000S</v>
      </c>
      <c r="R235">
        <v>13.9</v>
      </c>
      <c r="S235">
        <v>10.67</v>
      </c>
      <c r="T235">
        <v>0</v>
      </c>
      <c r="U235">
        <v>0</v>
      </c>
      <c r="V235">
        <v>0</v>
      </c>
      <c r="W235">
        <v>100</v>
      </c>
      <c r="Y235">
        <v>62</v>
      </c>
      <c r="Z235">
        <v>0</v>
      </c>
      <c r="AA235">
        <v>0</v>
      </c>
      <c r="AB235" s="4" t="d">
        <v>1899-12-30</v>
      </c>
      <c r="AC235">
        <v>0</v>
      </c>
    </row>
    <row r="236" spans="1:30" x14ac:dyDescent="0.2">
      <c r="A236" t="s">
        <v>426</v>
      </c>
      <c r="C236">
        <v>0</v>
      </c>
      <c r="D236" t="s">
        <v>57</v>
      </c>
      <c r="E236">
        <v>2500</v>
      </c>
      <c r="F236" t="s">
        <v>74</v>
      </c>
      <c r="G236" t="s">
        <v>514</v>
      </c>
      <c r="H236" s="3" t="d">
        <v>21:59:59.9999999999968050</v>
      </c>
      <c r="I236" t="s">
        <v>499</v>
      </c>
      <c r="J236" s="1">
        <v>0.47099999999999997</v>
      </c>
      <c r="K236">
        <v>-89</v>
      </c>
      <c r="L236">
        <v>6</v>
      </c>
      <c r="M236">
        <v>3.14</v>
      </c>
      <c r="N236">
        <v>3</v>
      </c>
      <c r="Q236" s="4" t="d">
        <v>15:37:00.00000000000170850</v>
      </c>
      <c r="R236">
        <v>4.5999999999999996</v>
      </c>
      <c r="S236">
        <v>4.42</v>
      </c>
      <c r="T236">
        <v>0</v>
      </c>
      <c r="U236">
        <v>0</v>
      </c>
      <c r="V236">
        <v>0</v>
      </c>
      <c r="W236">
        <v>100</v>
      </c>
      <c r="Y236">
        <v>52</v>
      </c>
      <c r="Z236">
        <v>0</v>
      </c>
      <c r="AA236">
        <v>0</v>
      </c>
    </row>
    <row r="237" spans="1:30" x14ac:dyDescent="0.2">
      <c r="A237" t="s">
        <v>182</v>
      </c>
      <c r="C237">
        <v>0</v>
      </c>
      <c r="D237" t="s">
        <v>57</v>
      </c>
      <c r="E237">
        <v>3700</v>
      </c>
      <c r="F237" t="s">
        <v>48</v>
      </c>
      <c r="G237" t="s">
        <v>498</v>
      </c>
      <c r="H237" s="3" t="d">
        <v>21:00:00.000</v>
      </c>
      <c r="I237" t="s">
        <v>499</v>
      </c>
      <c r="J237" s="1">
        <v>0.623</v>
      </c>
      <c r="K237">
        <v>-165</v>
      </c>
      <c r="L237">
        <v>6.5</v>
      </c>
      <c r="M237">
        <v>4.18</v>
      </c>
      <c r="N237">
        <v>3.25</v>
      </c>
      <c r="O237">
        <v>2</v>
      </c>
      <c r="Q237" s="4" t="d">
        <v>18:00:59.999999999999786775</v>
      </c>
      <c r="R237">
        <v>7.3</v>
      </c>
      <c r="S237">
        <v>7.57</v>
      </c>
      <c r="T237">
        <v>28.77</v>
      </c>
      <c r="U237">
        <v>13.63</v>
      </c>
      <c r="V237">
        <v>13.63</v>
      </c>
      <c r="W237">
        <v>100</v>
      </c>
      <c r="Y237">
        <v>48</v>
      </c>
      <c r="Z237">
        <v>3.7</v>
      </c>
      <c r="AA237">
        <v>0</v>
      </c>
      <c r="AB237" s="4" t="d">
        <v>17:50:00.00000000000213225</v>
      </c>
      <c r="AC237">
        <v>3</v>
      </c>
      <c r="AD237">
        <v>0.8</v>
      </c>
    </row>
    <row r="238" spans="1:30" x14ac:dyDescent="0.2">
      <c r="A238" t="s">
        <v>459</v>
      </c>
      <c r="C238">
        <v>0</v>
      </c>
      <c r="D238" t="s">
        <v>343</v>
      </c>
      <c r="E238">
        <v>2500</v>
      </c>
      <c r="F238" t="s">
        <v>509</v>
      </c>
      <c r="G238" t="s">
        <v>510</v>
      </c>
      <c r="H238" s="3" t="d">
        <v>21:59:59.9999999999968050</v>
      </c>
      <c r="I238" t="s">
        <v>499</v>
      </c>
      <c r="J238" s="1">
        <v>0.47199999999999998</v>
      </c>
      <c r="K238">
        <v>-89.5</v>
      </c>
      <c r="L238">
        <v>6</v>
      </c>
      <c r="M238">
        <v>3</v>
      </c>
      <c r="N238">
        <v>2.77</v>
      </c>
      <c r="Q238" s="4" t="d">
        <v>09:55:59.9999999999976525</v>
      </c>
      <c r="R238">
        <v>2.4</v>
      </c>
      <c r="S238">
        <v>2.85</v>
      </c>
      <c r="T238">
        <v>0</v>
      </c>
      <c r="U238">
        <v>0</v>
      </c>
      <c r="V238">
        <v>0</v>
      </c>
      <c r="W238">
        <v>100</v>
      </c>
      <c r="Y238">
        <v>41</v>
      </c>
      <c r="Z238">
        <v>0</v>
      </c>
      <c r="AA238">
        <v>0</v>
      </c>
    </row>
    <row r="239" spans="1:30" x14ac:dyDescent="0.2">
      <c r="A239" t="s">
        <v>626</v>
      </c>
      <c r="C239">
        <v>0</v>
      </c>
      <c r="D239" t="s">
        <v>42</v>
      </c>
      <c r="E239">
        <v>2500</v>
      </c>
      <c r="F239" t="s">
        <v>85</v>
      </c>
      <c r="G239" t="s">
        <v>507</v>
      </c>
      <c r="H239" s="3" t="d">
        <v>21:59:59.9999999999968050</v>
      </c>
      <c r="I239" t="s">
        <v>503</v>
      </c>
      <c r="J239" s="1">
        <v>0.55400000000000005</v>
      </c>
      <c r="K239">
        <v>80.5</v>
      </c>
      <c r="L239">
        <v>6.5</v>
      </c>
      <c r="M239">
        <v>3.25</v>
      </c>
      <c r="N239">
        <v>3.38</v>
      </c>
      <c r="Q239" s="4" t="d">
        <v>07:10:59.99999999999925675</v>
      </c>
      <c r="R239">
        <v>1.4</v>
      </c>
      <c r="S239">
        <v>1.4</v>
      </c>
      <c r="T239">
        <v>0</v>
      </c>
      <c r="U239">
        <v>0</v>
      </c>
      <c r="V239">
        <v>0</v>
      </c>
      <c r="W239">
        <v>100</v>
      </c>
      <c r="Y239">
        <v>0</v>
      </c>
      <c r="Z239">
        <v>0</v>
      </c>
      <c r="AA239">
        <v>0</v>
      </c>
    </row>
    <row r="240" spans="1:30" x14ac:dyDescent="0.2">
      <c r="A240" t="s">
        <v>176</v>
      </c>
      <c r="C240">
        <v>0</v>
      </c>
      <c r="D240" t="s">
        <v>57</v>
      </c>
      <c r="E240">
        <v>4100</v>
      </c>
      <c r="F240" t="s">
        <v>45</v>
      </c>
      <c r="G240" t="s">
        <v>523</v>
      </c>
      <c r="H240" s="3" t="d">
        <v>20:00:00.0000000000031950</v>
      </c>
      <c r="I240" t="s">
        <v>503</v>
      </c>
      <c r="J240" s="1">
        <v>0.51400000000000001</v>
      </c>
      <c r="K240">
        <v>94.5</v>
      </c>
      <c r="L240">
        <v>5.5</v>
      </c>
      <c r="M240">
        <v>2.75</v>
      </c>
      <c r="N240">
        <v>3.07</v>
      </c>
      <c r="O240">
        <v>2</v>
      </c>
      <c r="P240">
        <v>1</v>
      </c>
      <c r="Q240" s="4" t="d">
        <v>22:25:00.00000000000106275</v>
      </c>
      <c r="R240">
        <v>9.4</v>
      </c>
      <c r="S240">
        <v>5.71</v>
      </c>
      <c r="T240">
        <v>20.5</v>
      </c>
      <c r="U240">
        <v>9.08</v>
      </c>
      <c r="V240">
        <v>9.08</v>
      </c>
      <c r="W240">
        <v>100</v>
      </c>
      <c r="Y240">
        <v>70</v>
      </c>
      <c r="Z240">
        <v>2.2000000000000002</v>
      </c>
      <c r="AA240">
        <v>0</v>
      </c>
      <c r="AB240" s="4" t="d">
        <v>20:13:00.00000000000042375</v>
      </c>
      <c r="AC240">
        <v>1.5</v>
      </c>
      <c r="AD240">
        <v>0.4</v>
      </c>
    </row>
    <row r="241" spans="1:30" x14ac:dyDescent="0.2">
      <c r="A241" t="s">
        <v>337</v>
      </c>
      <c r="C241">
        <v>0</v>
      </c>
      <c r="D241" t="s">
        <v>42</v>
      </c>
      <c r="E241">
        <v>2600</v>
      </c>
      <c r="F241" t="s">
        <v>52</v>
      </c>
      <c r="G241" t="s">
        <v>508</v>
      </c>
      <c r="H241" s="3" t="d">
        <v>20:00:00.0000000000031950</v>
      </c>
      <c r="I241" t="s">
        <v>499</v>
      </c>
      <c r="J241" s="1">
        <v>0.48599999999999999</v>
      </c>
      <c r="K241">
        <v>-94.5</v>
      </c>
      <c r="L241">
        <v>5.5</v>
      </c>
      <c r="M241">
        <v>3.07</v>
      </c>
      <c r="N241">
        <v>2.75</v>
      </c>
      <c r="O241">
        <v>3</v>
      </c>
      <c r="Q241" s="4" t="d">
        <v>12:10:59.9999999999976525</v>
      </c>
      <c r="R241">
        <v>4.4000000000000004</v>
      </c>
      <c r="S241">
        <v>5.12</v>
      </c>
      <c r="T241">
        <v>16.399999999999999</v>
      </c>
      <c r="U241">
        <v>6.16</v>
      </c>
      <c r="V241">
        <v>6.16</v>
      </c>
      <c r="W241">
        <v>100</v>
      </c>
      <c r="Y241">
        <v>42</v>
      </c>
      <c r="Z241">
        <v>2.4</v>
      </c>
      <c r="AA241">
        <v>0</v>
      </c>
      <c r="AB241" s="4" t="d">
        <v>12:03:59.99999999999914575</v>
      </c>
      <c r="AC241">
        <v>1.3</v>
      </c>
      <c r="AD241">
        <v>0.5</v>
      </c>
    </row>
    <row r="242" spans="1:30" x14ac:dyDescent="0.2">
      <c r="A242" t="s">
        <v>458</v>
      </c>
      <c r="C242">
        <v>0</v>
      </c>
      <c r="D242" t="s">
        <v>42</v>
      </c>
      <c r="E242">
        <v>2500</v>
      </c>
      <c r="F242" t="s">
        <v>117</v>
      </c>
      <c r="G242" t="s">
        <v>518</v>
      </c>
      <c r="H242" s="3" t="d">
        <v>21:00:00.000</v>
      </c>
      <c r="I242" t="s">
        <v>503</v>
      </c>
      <c r="J242" s="1">
        <v>0.54100000000000004</v>
      </c>
      <c r="K242">
        <v>85</v>
      </c>
      <c r="L242">
        <v>6</v>
      </c>
      <c r="M242">
        <v>2.8</v>
      </c>
      <c r="N242">
        <v>3</v>
      </c>
      <c r="O242">
        <v>4</v>
      </c>
      <c r="Q242" s="4" t="d">
        <v>09:35:00.00000000000213225</v>
      </c>
      <c r="R242">
        <v>2</v>
      </c>
      <c r="S242">
        <v>2.89</v>
      </c>
      <c r="T242">
        <v>7.91</v>
      </c>
      <c r="U242">
        <v>2.13</v>
      </c>
      <c r="V242">
        <v>2.13</v>
      </c>
      <c r="W242">
        <v>100</v>
      </c>
      <c r="Y242">
        <v>28</v>
      </c>
      <c r="Z242">
        <v>0.9</v>
      </c>
      <c r="AA242">
        <v>0</v>
      </c>
    </row>
    <row r="243" spans="1:30" x14ac:dyDescent="0.2">
      <c r="A243" t="s">
        <v>138</v>
      </c>
      <c r="C243">
        <v>0</v>
      </c>
      <c r="D243" t="s">
        <v>42</v>
      </c>
      <c r="E243">
        <v>4500</v>
      </c>
      <c r="F243" t="s">
        <v>56</v>
      </c>
      <c r="G243" t="s">
        <v>513</v>
      </c>
      <c r="H243" s="3" t="d">
        <v>21:00:00.000</v>
      </c>
      <c r="I243" t="s">
        <v>499</v>
      </c>
      <c r="J243" s="1">
        <v>0.45900000000000002</v>
      </c>
      <c r="K243">
        <v>-85</v>
      </c>
      <c r="L243">
        <v>6</v>
      </c>
      <c r="M243">
        <v>3</v>
      </c>
      <c r="N243">
        <v>2.8</v>
      </c>
      <c r="O243">
        <v>2</v>
      </c>
      <c r="P243">
        <v>2</v>
      </c>
      <c r="Q243" s="4" t="d">
        <v>14:23:59.99999999999808300</v>
      </c>
      <c r="R243">
        <v>5.7</v>
      </c>
      <c r="S243">
        <v>7.77</v>
      </c>
      <c r="T243">
        <v>23.91</v>
      </c>
      <c r="U243">
        <v>8.3699999999999992</v>
      </c>
      <c r="V243">
        <v>8.3699999999999992</v>
      </c>
      <c r="W243">
        <v>100</v>
      </c>
      <c r="Y243">
        <v>32</v>
      </c>
      <c r="Z243">
        <v>1.9</v>
      </c>
      <c r="AA243">
        <v>0</v>
      </c>
      <c r="AB243" s="4" t="d">
        <v>16:55:00.00000000000426450</v>
      </c>
      <c r="AC243">
        <v>12.1</v>
      </c>
      <c r="AD243">
        <v>2.7</v>
      </c>
    </row>
    <row r="244" spans="1:30" x14ac:dyDescent="0.2">
      <c r="A244" t="s">
        <v>437</v>
      </c>
      <c r="C244">
        <v>0</v>
      </c>
      <c r="D244" t="s">
        <v>343</v>
      </c>
      <c r="E244">
        <v>2500</v>
      </c>
      <c r="F244" t="s">
        <v>85</v>
      </c>
      <c r="G244" t="s">
        <v>507</v>
      </c>
      <c r="H244" s="3" t="d">
        <v>21:59:59.9999999999968050</v>
      </c>
      <c r="I244" t="s">
        <v>503</v>
      </c>
      <c r="J244" s="1">
        <v>0.55400000000000005</v>
      </c>
      <c r="K244">
        <v>80.5</v>
      </c>
      <c r="L244">
        <v>6.5</v>
      </c>
      <c r="M244">
        <v>3.25</v>
      </c>
      <c r="N244">
        <v>3.38</v>
      </c>
      <c r="Q244" s="4" t="d">
        <v>09:43:00.00000000000042375</v>
      </c>
      <c r="R244">
        <v>3.3</v>
      </c>
      <c r="S244">
        <v>3.62</v>
      </c>
      <c r="T244">
        <v>0</v>
      </c>
      <c r="U244">
        <v>0</v>
      </c>
      <c r="V244">
        <v>0</v>
      </c>
      <c r="W244">
        <v>100</v>
      </c>
      <c r="Y244">
        <v>45</v>
      </c>
      <c r="Z244">
        <v>0</v>
      </c>
      <c r="AA244">
        <v>0</v>
      </c>
    </row>
    <row r="245" spans="1:30" x14ac:dyDescent="0.2">
      <c r="A245" t="s">
        <v>127</v>
      </c>
      <c r="C245">
        <v>0</v>
      </c>
      <c r="D245" t="s">
        <v>343</v>
      </c>
      <c r="E245">
        <v>3400</v>
      </c>
      <c r="F245" t="s">
        <v>74</v>
      </c>
      <c r="G245" t="s">
        <v>514</v>
      </c>
      <c r="H245" s="3" t="d">
        <v>21:59:59.9999999999968050</v>
      </c>
      <c r="I245" t="s">
        <v>499</v>
      </c>
      <c r="J245" s="1">
        <v>0.47099999999999997</v>
      </c>
      <c r="K245">
        <v>-89</v>
      </c>
      <c r="L245">
        <v>6</v>
      </c>
      <c r="M245">
        <v>3.14</v>
      </c>
      <c r="N245">
        <v>3</v>
      </c>
      <c r="O245">
        <v>2</v>
      </c>
      <c r="P245">
        <v>2</v>
      </c>
      <c r="Q245" s="4" t="d">
        <v>14:21:59.99999999999850675</v>
      </c>
      <c r="R245">
        <v>5.8</v>
      </c>
      <c r="S245">
        <v>5.59</v>
      </c>
      <c r="T245">
        <v>18.350000000000001</v>
      </c>
      <c r="U245">
        <v>7.17</v>
      </c>
      <c r="V245">
        <v>7.17</v>
      </c>
      <c r="W245">
        <v>100</v>
      </c>
      <c r="Y245">
        <v>52</v>
      </c>
      <c r="Z245">
        <v>2.1</v>
      </c>
      <c r="AA245">
        <v>0</v>
      </c>
      <c r="AB245" s="4" t="d">
        <v>15:10:59.9999999999976525</v>
      </c>
      <c r="AC245">
        <v>8</v>
      </c>
      <c r="AD245">
        <v>2.4</v>
      </c>
    </row>
    <row r="246" spans="1:30" x14ac:dyDescent="0.2">
      <c r="A246" t="s">
        <v>284</v>
      </c>
      <c r="C246">
        <v>0</v>
      </c>
      <c r="D246" t="s">
        <v>57</v>
      </c>
      <c r="E246">
        <v>2500</v>
      </c>
      <c r="F246" t="s">
        <v>39</v>
      </c>
      <c r="G246" t="s">
        <v>504</v>
      </c>
      <c r="H246" s="3" t="d">
        <v>18:59:59.9999999999968050</v>
      </c>
      <c r="I246" t="s">
        <v>499</v>
      </c>
      <c r="J246" s="1">
        <v>0.41699999999999998</v>
      </c>
      <c r="K246">
        <v>-71.5</v>
      </c>
      <c r="L246">
        <v>6.5</v>
      </c>
      <c r="M246">
        <v>3.25</v>
      </c>
      <c r="N246">
        <v>3.2</v>
      </c>
      <c r="O246">
        <v>2</v>
      </c>
      <c r="Q246" s="4" t="d">
        <v>17:03:00.00000000000255600</v>
      </c>
      <c r="R246">
        <v>5.3</v>
      </c>
      <c r="S246">
        <v>3.73</v>
      </c>
      <c r="T246">
        <v>14.3</v>
      </c>
      <c r="U246">
        <v>6.84</v>
      </c>
      <c r="V246">
        <v>6.84</v>
      </c>
      <c r="W246">
        <v>100</v>
      </c>
      <c r="Y246">
        <v>65</v>
      </c>
      <c r="Z246">
        <v>2.7</v>
      </c>
      <c r="AA246">
        <v>0</v>
      </c>
      <c r="AB246" s="4" t="d">
        <v>15:10:59.9999999999976525</v>
      </c>
      <c r="AC246">
        <v>1.3</v>
      </c>
      <c r="AD246">
        <v>0.5</v>
      </c>
    </row>
    <row r="247" spans="1:30" x14ac:dyDescent="0.2">
      <c r="A247" t="s">
        <v>104</v>
      </c>
      <c r="C247">
        <v>0</v>
      </c>
      <c r="D247" t="s">
        <v>343</v>
      </c>
      <c r="E247">
        <v>2500</v>
      </c>
      <c r="F247" t="s">
        <v>39</v>
      </c>
      <c r="G247" t="s">
        <v>504</v>
      </c>
      <c r="H247" s="3" t="d">
        <v>18:59:59.9999999999968050</v>
      </c>
      <c r="I247" t="s">
        <v>499</v>
      </c>
      <c r="J247" s="1">
        <v>0.41699999999999998</v>
      </c>
      <c r="K247">
        <v>-71.5</v>
      </c>
      <c r="L247">
        <v>6.5</v>
      </c>
      <c r="M247">
        <v>3.25</v>
      </c>
      <c r="N247">
        <v>3.2</v>
      </c>
      <c r="O247">
        <v>3</v>
      </c>
      <c r="Q247" s="4" t="d">
        <v>11:06:00.00000000000191700</v>
      </c>
      <c r="R247">
        <v>3.3</v>
      </c>
      <c r="S247">
        <v>3.37</v>
      </c>
      <c r="T247">
        <v>11.19</v>
      </c>
      <c r="U247">
        <v>4.45</v>
      </c>
      <c r="V247">
        <v>4.45</v>
      </c>
      <c r="W247">
        <v>100</v>
      </c>
      <c r="Y247">
        <v>49</v>
      </c>
      <c r="Z247">
        <v>1.8</v>
      </c>
      <c r="AA247">
        <v>0</v>
      </c>
      <c r="AB247" s="4" t="d">
        <v>14:51:00.00000000000191700</v>
      </c>
      <c r="AC247">
        <v>19</v>
      </c>
      <c r="AD247">
        <v>7.6</v>
      </c>
    </row>
    <row r="248" spans="1:30" x14ac:dyDescent="0.2">
      <c r="A248" t="s">
        <v>271</v>
      </c>
      <c r="C248">
        <v>0</v>
      </c>
      <c r="D248" t="s">
        <v>57</v>
      </c>
      <c r="E248">
        <v>2700</v>
      </c>
      <c r="F248" t="s">
        <v>117</v>
      </c>
      <c r="G248" t="s">
        <v>518</v>
      </c>
      <c r="H248" s="3" t="d">
        <v>21:00:00.000</v>
      </c>
      <c r="I248" t="s">
        <v>503</v>
      </c>
      <c r="J248" s="1">
        <v>0.54100000000000004</v>
      </c>
      <c r="K248">
        <v>85</v>
      </c>
      <c r="L248">
        <v>6</v>
      </c>
      <c r="M248">
        <v>2.8</v>
      </c>
      <c r="N248">
        <v>3</v>
      </c>
      <c r="O248">
        <v>2</v>
      </c>
      <c r="Q248" s="4" t="d">
        <v>21:32:00.00000000000277125</v>
      </c>
      <c r="R248">
        <v>5.3</v>
      </c>
      <c r="S248">
        <v>4.12</v>
      </c>
      <c r="T248">
        <v>13.6</v>
      </c>
      <c r="U248">
        <v>5.36</v>
      </c>
      <c r="V248">
        <v>5.36</v>
      </c>
      <c r="W248">
        <v>100</v>
      </c>
      <c r="Y248">
        <v>61</v>
      </c>
      <c r="Z248">
        <v>2</v>
      </c>
      <c r="AA248">
        <v>0</v>
      </c>
      <c r="AB248" s="5" t="d">
        <v>PT25H46M0.000S</v>
      </c>
      <c r="AC248">
        <v>3</v>
      </c>
      <c r="AD248">
        <v>1.1000000000000001</v>
      </c>
    </row>
    <row r="249" spans="1:30" x14ac:dyDescent="0.2">
      <c r="A249" t="s">
        <v>352</v>
      </c>
      <c r="C249">
        <v>0</v>
      </c>
      <c r="D249" t="s">
        <v>346</v>
      </c>
      <c r="E249">
        <v>7300</v>
      </c>
      <c r="F249" t="s">
        <v>59</v>
      </c>
      <c r="G249" t="s">
        <v>521</v>
      </c>
      <c r="H249" s="3" t="d">
        <v>21:59:59.9999999999968050</v>
      </c>
      <c r="I249" t="s">
        <v>503</v>
      </c>
      <c r="J249" s="1">
        <v>0.52800000000000002</v>
      </c>
      <c r="K249">
        <v>89.5</v>
      </c>
      <c r="L249">
        <v>6</v>
      </c>
      <c r="M249">
        <v>2.77</v>
      </c>
      <c r="N249">
        <v>3</v>
      </c>
      <c r="O249" t="s">
        <v>511</v>
      </c>
      <c r="Q249" s="5" t="d">
        <v>PT58H1M0.000S</v>
      </c>
      <c r="R249">
        <v>9.3000000000000007</v>
      </c>
      <c r="S249">
        <v>9.5500000000000007</v>
      </c>
      <c r="T249">
        <v>29.04</v>
      </c>
      <c r="U249">
        <v>9.94</v>
      </c>
      <c r="V249">
        <v>9.94</v>
      </c>
      <c r="W249">
        <v>100</v>
      </c>
      <c r="Y249">
        <v>49</v>
      </c>
      <c r="Z249">
        <v>1.4</v>
      </c>
      <c r="AA249">
        <v>0</v>
      </c>
      <c r="AB249" s="5" t="d">
        <v>PT56H16M0.000S</v>
      </c>
      <c r="AC249">
        <v>-4.2</v>
      </c>
    </row>
    <row r="250" spans="1:30" x14ac:dyDescent="0.2">
      <c r="A250" t="s">
        <v>620</v>
      </c>
      <c r="C250">
        <v>0</v>
      </c>
      <c r="D250" t="s">
        <v>343</v>
      </c>
      <c r="E250">
        <v>2500</v>
      </c>
      <c r="F250" t="s">
        <v>500</v>
      </c>
      <c r="G250" t="s">
        <v>501</v>
      </c>
      <c r="H250" s="3" t="d">
        <v>21:59:59.9999999999968050</v>
      </c>
      <c r="I250" t="s">
        <v>499</v>
      </c>
      <c r="J250" s="1">
        <v>0.44600000000000001</v>
      </c>
      <c r="K250">
        <v>-80.5</v>
      </c>
      <c r="L250">
        <v>6.5</v>
      </c>
      <c r="M250">
        <v>3.38</v>
      </c>
      <c r="N250">
        <v>3.25</v>
      </c>
      <c r="Q250" s="4" t="d">
        <v>17:18:59.99999999999914575</v>
      </c>
      <c r="R250">
        <v>8.8000000000000007</v>
      </c>
      <c r="S250">
        <v>8.6300000000000008</v>
      </c>
      <c r="T250">
        <v>0</v>
      </c>
      <c r="U250">
        <v>0</v>
      </c>
      <c r="V250">
        <v>0</v>
      </c>
      <c r="W250">
        <v>100</v>
      </c>
      <c r="Y250">
        <v>51</v>
      </c>
      <c r="Z250">
        <v>0</v>
      </c>
      <c r="AA250">
        <v>0</v>
      </c>
    </row>
    <row r="251" spans="1:30" x14ac:dyDescent="0.2">
      <c r="A251" t="s">
        <v>237</v>
      </c>
      <c r="C251">
        <v>0</v>
      </c>
      <c r="D251" t="s">
        <v>57</v>
      </c>
      <c r="E251">
        <v>2500</v>
      </c>
      <c r="F251" t="s">
        <v>52</v>
      </c>
      <c r="G251" t="s">
        <v>508</v>
      </c>
      <c r="H251" s="3" t="d">
        <v>20:00:00.0000000000031950</v>
      </c>
      <c r="I251" t="s">
        <v>499</v>
      </c>
      <c r="J251" s="1">
        <v>0.48599999999999999</v>
      </c>
      <c r="K251">
        <v>-94.5</v>
      </c>
      <c r="L251">
        <v>5.5</v>
      </c>
      <c r="M251">
        <v>3.07</v>
      </c>
      <c r="N251">
        <v>2.75</v>
      </c>
      <c r="O251">
        <v>3</v>
      </c>
      <c r="Q251" s="4" t="d">
        <v>12:11:59.999999999997441975</v>
      </c>
      <c r="R251">
        <v>3.1</v>
      </c>
      <c r="S251">
        <v>3.25</v>
      </c>
      <c r="T251">
        <v>9.76</v>
      </c>
      <c r="U251">
        <v>3.26</v>
      </c>
      <c r="V251">
        <v>3.26</v>
      </c>
      <c r="W251">
        <v>100</v>
      </c>
      <c r="Y251">
        <v>48</v>
      </c>
      <c r="Z251">
        <v>1.3</v>
      </c>
      <c r="AA251">
        <v>0</v>
      </c>
      <c r="AB251" s="4" t="d">
        <v>10:50:00.00000000000053475</v>
      </c>
      <c r="AC251">
        <v>1.3</v>
      </c>
      <c r="AD251">
        <v>0.5</v>
      </c>
    </row>
    <row r="252" spans="1:30" x14ac:dyDescent="0.2">
      <c r="A252" t="s">
        <v>585</v>
      </c>
      <c r="C252">
        <v>0</v>
      </c>
      <c r="D252" t="s">
        <v>343</v>
      </c>
      <c r="E252">
        <v>2500</v>
      </c>
      <c r="F252" t="s">
        <v>52</v>
      </c>
      <c r="G252" t="s">
        <v>508</v>
      </c>
      <c r="H252" s="3" t="d">
        <v>20:00:00.0000000000031950</v>
      </c>
      <c r="I252" t="s">
        <v>499</v>
      </c>
      <c r="J252" s="1">
        <v>0.48599999999999999</v>
      </c>
      <c r="K252">
        <v>-94.5</v>
      </c>
      <c r="L252">
        <v>5.5</v>
      </c>
      <c r="M252">
        <v>3.07</v>
      </c>
      <c r="N252">
        <v>2.75</v>
      </c>
      <c r="T252">
        <v>0</v>
      </c>
      <c r="U252">
        <v>0</v>
      </c>
      <c r="V252">
        <v>0</v>
      </c>
      <c r="W252">
        <v>100</v>
      </c>
      <c r="Y252">
        <v>0</v>
      </c>
      <c r="Z252">
        <v>0</v>
      </c>
      <c r="AA252">
        <v>0</v>
      </c>
    </row>
    <row r="253" spans="1:30" x14ac:dyDescent="0.2">
      <c r="A253" t="s">
        <v>303</v>
      </c>
      <c r="C253">
        <v>0</v>
      </c>
      <c r="D253" t="s">
        <v>343</v>
      </c>
      <c r="E253">
        <v>2500</v>
      </c>
      <c r="F253" t="s">
        <v>148</v>
      </c>
      <c r="G253" t="s">
        <v>512</v>
      </c>
      <c r="H253" s="3" t="d">
        <v>18:59:59.9999999999968050</v>
      </c>
      <c r="I253" t="s">
        <v>503</v>
      </c>
      <c r="J253" s="1">
        <v>0.38600000000000001</v>
      </c>
      <c r="K253">
        <v>159</v>
      </c>
      <c r="L253">
        <v>6</v>
      </c>
      <c r="M253">
        <v>2.2400000000000002</v>
      </c>
      <c r="N253">
        <v>3</v>
      </c>
      <c r="O253">
        <v>3</v>
      </c>
      <c r="Q253" s="4" t="d">
        <v>11:00:59.99999999999818725</v>
      </c>
      <c r="R253">
        <v>3.4</v>
      </c>
      <c r="S253">
        <v>4.1399999999999997</v>
      </c>
      <c r="T253">
        <v>11.06</v>
      </c>
      <c r="U253">
        <v>2.78</v>
      </c>
      <c r="V253">
        <v>2.78</v>
      </c>
      <c r="W253">
        <v>100</v>
      </c>
      <c r="Y253">
        <v>39</v>
      </c>
      <c r="Z253">
        <v>1.1000000000000001</v>
      </c>
      <c r="AA253">
        <v>0</v>
      </c>
      <c r="AB253" s="4" t="d">
        <v>11:19:59.99999999999893725</v>
      </c>
      <c r="AC253">
        <v>1.3</v>
      </c>
      <c r="AD253">
        <v>0.5</v>
      </c>
    </row>
    <row r="254" spans="1:30" x14ac:dyDescent="0.2">
      <c r="A254" t="s">
        <v>247</v>
      </c>
      <c r="C254">
        <v>0</v>
      </c>
      <c r="D254" t="s">
        <v>42</v>
      </c>
      <c r="E254">
        <v>2500</v>
      </c>
      <c r="F254" t="s">
        <v>35</v>
      </c>
      <c r="G254" t="s">
        <v>516</v>
      </c>
      <c r="H254" s="3" t="d">
        <v>21:00:00.000</v>
      </c>
      <c r="I254" t="s">
        <v>503</v>
      </c>
      <c r="J254" s="1">
        <v>0.377</v>
      </c>
      <c r="K254">
        <v>165</v>
      </c>
      <c r="L254">
        <v>6.5</v>
      </c>
      <c r="M254">
        <v>3.25</v>
      </c>
      <c r="N254">
        <v>4.18</v>
      </c>
      <c r="O254">
        <v>4</v>
      </c>
      <c r="Q254" s="4" t="d">
        <v>09:02:59.99999999999936100</v>
      </c>
      <c r="R254">
        <v>0.7</v>
      </c>
      <c r="S254">
        <v>0.65</v>
      </c>
      <c r="T254">
        <v>4.1399999999999997</v>
      </c>
      <c r="U254">
        <v>2.84</v>
      </c>
      <c r="V254">
        <v>2.84</v>
      </c>
      <c r="W254">
        <v>100</v>
      </c>
      <c r="Y254">
        <v>0</v>
      </c>
      <c r="Z254">
        <v>1.1000000000000001</v>
      </c>
      <c r="AA254">
        <v>0</v>
      </c>
      <c r="AB254" s="4" t="d">
        <v>08:42:59.99999999999882625</v>
      </c>
      <c r="AC254">
        <v>1.3</v>
      </c>
      <c r="AD254">
        <v>0.5</v>
      </c>
    </row>
    <row r="255" spans="1:30" x14ac:dyDescent="0.2">
      <c r="A255" t="s">
        <v>67</v>
      </c>
      <c r="C255">
        <v>0</v>
      </c>
      <c r="D255" t="s">
        <v>343</v>
      </c>
      <c r="E255">
        <v>2500</v>
      </c>
      <c r="F255" t="s">
        <v>509</v>
      </c>
      <c r="G255" t="s">
        <v>510</v>
      </c>
      <c r="H255" s="3" t="d">
        <v>21:59:59.9999999999968050</v>
      </c>
      <c r="I255" t="s">
        <v>499</v>
      </c>
      <c r="J255" s="1">
        <v>0.47199999999999998</v>
      </c>
      <c r="K255">
        <v>-89.5</v>
      </c>
      <c r="L255">
        <v>6</v>
      </c>
      <c r="M255">
        <v>3</v>
      </c>
      <c r="N255">
        <v>2.77</v>
      </c>
      <c r="O255">
        <v>3</v>
      </c>
      <c r="Q255" s="4" t="d">
        <v>13:04:59.99999999999573550</v>
      </c>
      <c r="R255">
        <v>4.8</v>
      </c>
      <c r="S255">
        <v>4.0999999999999996</v>
      </c>
      <c r="T255">
        <v>13.73</v>
      </c>
      <c r="U255">
        <v>5.53</v>
      </c>
      <c r="V255">
        <v>5.53</v>
      </c>
      <c r="W255">
        <v>100</v>
      </c>
      <c r="Y255">
        <v>57</v>
      </c>
      <c r="Z255">
        <v>2.2000000000000002</v>
      </c>
      <c r="AA255">
        <v>0</v>
      </c>
      <c r="AB255" s="4" t="d">
        <v>10:03:00.00000000000095850</v>
      </c>
      <c r="AC255">
        <v>19.3</v>
      </c>
      <c r="AD255">
        <v>7.7</v>
      </c>
    </row>
    <row r="256" spans="1:30" x14ac:dyDescent="0.2">
      <c r="A256" t="s">
        <v>543</v>
      </c>
      <c r="C256">
        <v>0</v>
      </c>
      <c r="D256" t="s">
        <v>42</v>
      </c>
      <c r="E256">
        <v>5700</v>
      </c>
      <c r="F256" t="s">
        <v>64</v>
      </c>
      <c r="G256" t="s">
        <v>517</v>
      </c>
      <c r="H256" s="3" t="d">
        <v>21:59:59.9999999999968050</v>
      </c>
      <c r="I256" t="s">
        <v>503</v>
      </c>
      <c r="J256" s="1">
        <v>0.52900000000000003</v>
      </c>
      <c r="K256">
        <v>89</v>
      </c>
      <c r="L256">
        <v>6</v>
      </c>
      <c r="M256">
        <v>3</v>
      </c>
      <c r="N256">
        <v>3.14</v>
      </c>
      <c r="Q256" s="4" t="d">
        <v>19:28:00.00000000000042375</v>
      </c>
      <c r="R256">
        <v>11.3</v>
      </c>
      <c r="S256">
        <v>9.25</v>
      </c>
      <c r="T256">
        <v>0</v>
      </c>
      <c r="U256">
        <v>0</v>
      </c>
      <c r="V256">
        <v>0</v>
      </c>
      <c r="W256">
        <v>100</v>
      </c>
      <c r="Y256">
        <v>59</v>
      </c>
      <c r="Z256">
        <v>0</v>
      </c>
      <c r="AA256">
        <v>0</v>
      </c>
    </row>
    <row r="257" spans="1:30" x14ac:dyDescent="0.2">
      <c r="A257" t="s">
        <v>320</v>
      </c>
      <c r="C257">
        <v>0</v>
      </c>
      <c r="D257" t="s">
        <v>343</v>
      </c>
      <c r="E257">
        <v>2700</v>
      </c>
      <c r="F257" t="s">
        <v>59</v>
      </c>
      <c r="G257" t="s">
        <v>521</v>
      </c>
      <c r="H257" s="3" t="d">
        <v>21:59:59.9999999999968050</v>
      </c>
      <c r="I257" t="s">
        <v>503</v>
      </c>
      <c r="J257" s="1">
        <v>0.52800000000000002</v>
      </c>
      <c r="K257">
        <v>89.5</v>
      </c>
      <c r="L257">
        <v>6</v>
      </c>
      <c r="M257">
        <v>2.77</v>
      </c>
      <c r="N257">
        <v>3</v>
      </c>
      <c r="O257">
        <v>3</v>
      </c>
      <c r="Q257" s="4" t="d">
        <v>10:58:59.99999999999861775</v>
      </c>
      <c r="R257">
        <v>3.8</v>
      </c>
      <c r="S257">
        <v>4.03</v>
      </c>
      <c r="T257">
        <v>12.65</v>
      </c>
      <c r="U257">
        <v>4.59</v>
      </c>
      <c r="V257">
        <v>4.59</v>
      </c>
      <c r="W257">
        <v>100</v>
      </c>
      <c r="Y257">
        <v>47</v>
      </c>
      <c r="Z257">
        <v>1.7</v>
      </c>
      <c r="AA257">
        <v>0</v>
      </c>
      <c r="AB257" s="4" t="d">
        <v>12:33:00.00000000000255600</v>
      </c>
      <c r="AC257">
        <v>1.5</v>
      </c>
      <c r="AD257">
        <v>0.6</v>
      </c>
    </row>
    <row r="258" spans="1:30" x14ac:dyDescent="0.2">
      <c r="A258" t="s">
        <v>582</v>
      </c>
      <c r="C258">
        <v>0</v>
      </c>
      <c r="D258" t="s">
        <v>57</v>
      </c>
      <c r="E258">
        <v>2500</v>
      </c>
      <c r="F258" t="s">
        <v>52</v>
      </c>
      <c r="G258" t="s">
        <v>508</v>
      </c>
      <c r="H258" s="3" t="d">
        <v>20:00:00.0000000000031950</v>
      </c>
      <c r="I258" t="s">
        <v>499</v>
      </c>
      <c r="J258" s="1">
        <v>0.48599999999999999</v>
      </c>
      <c r="K258">
        <v>-94.5</v>
      </c>
      <c r="L258">
        <v>5.5</v>
      </c>
      <c r="M258">
        <v>3.07</v>
      </c>
      <c r="N258">
        <v>2.75</v>
      </c>
      <c r="Q258" s="4" t="d">
        <v>15:52:59.99999999999829150</v>
      </c>
      <c r="R258">
        <v>2.6</v>
      </c>
      <c r="S258">
        <v>2.78</v>
      </c>
      <c r="T258">
        <v>0</v>
      </c>
      <c r="U258">
        <v>0</v>
      </c>
      <c r="V258">
        <v>0</v>
      </c>
      <c r="W258">
        <v>100</v>
      </c>
      <c r="Y258">
        <v>47</v>
      </c>
      <c r="Z258">
        <v>0</v>
      </c>
      <c r="AA258">
        <v>0</v>
      </c>
    </row>
    <row r="259" spans="1:30" x14ac:dyDescent="0.2">
      <c r="A259" t="s">
        <v>58</v>
      </c>
      <c r="C259">
        <v>0</v>
      </c>
      <c r="D259" t="s">
        <v>343</v>
      </c>
      <c r="E259">
        <v>3200</v>
      </c>
      <c r="F259" t="s">
        <v>59</v>
      </c>
      <c r="G259" t="s">
        <v>521</v>
      </c>
      <c r="H259" s="3" t="d">
        <v>21:59:59.9999999999968050</v>
      </c>
      <c r="I259" t="s">
        <v>503</v>
      </c>
      <c r="J259" s="1">
        <v>0.52800000000000002</v>
      </c>
      <c r="K259">
        <v>89.5</v>
      </c>
      <c r="L259">
        <v>6</v>
      </c>
      <c r="M259">
        <v>2.77</v>
      </c>
      <c r="N259">
        <v>3</v>
      </c>
      <c r="O259">
        <v>4</v>
      </c>
      <c r="P259">
        <v>1</v>
      </c>
      <c r="Q259" s="4" t="d">
        <v>11:11:00.00000000000085425</v>
      </c>
      <c r="R259">
        <v>5.8</v>
      </c>
      <c r="S259">
        <v>5.53</v>
      </c>
      <c r="T259">
        <v>17.72</v>
      </c>
      <c r="U259">
        <v>6.66</v>
      </c>
      <c r="V259">
        <v>6.66</v>
      </c>
      <c r="W259">
        <v>100</v>
      </c>
      <c r="Y259">
        <v>52</v>
      </c>
      <c r="Z259">
        <v>2.1</v>
      </c>
      <c r="AA259">
        <v>0</v>
      </c>
      <c r="AB259" s="4" t="d">
        <v>14:38:00.000000000004689600</v>
      </c>
      <c r="AC259">
        <v>20.8</v>
      </c>
      <c r="AD259">
        <v>6.5</v>
      </c>
    </row>
    <row r="260" spans="1:30" x14ac:dyDescent="0.2">
      <c r="A260" t="s">
        <v>629</v>
      </c>
      <c r="C260">
        <v>0</v>
      </c>
      <c r="D260" t="s">
        <v>343</v>
      </c>
      <c r="E260">
        <v>2500</v>
      </c>
      <c r="F260" t="s">
        <v>74</v>
      </c>
      <c r="G260" t="s">
        <v>514</v>
      </c>
      <c r="H260" s="3" t="d">
        <v>21:59:59.9999999999968050</v>
      </c>
      <c r="I260" t="s">
        <v>499</v>
      </c>
      <c r="J260" s="1">
        <v>0.47099999999999997</v>
      </c>
      <c r="K260">
        <v>-89</v>
      </c>
      <c r="L260">
        <v>6</v>
      </c>
      <c r="M260">
        <v>3.14</v>
      </c>
      <c r="N260">
        <v>3</v>
      </c>
      <c r="T260">
        <v>0</v>
      </c>
      <c r="U260">
        <v>0</v>
      </c>
      <c r="V260">
        <v>0</v>
      </c>
      <c r="W260">
        <v>100</v>
      </c>
      <c r="Y260">
        <v>0</v>
      </c>
      <c r="Z260">
        <v>0</v>
      </c>
      <c r="AA260">
        <v>0</v>
      </c>
    </row>
    <row r="261" spans="1:30" x14ac:dyDescent="0.2">
      <c r="A261" t="s">
        <v>624</v>
      </c>
      <c r="C261">
        <v>0</v>
      </c>
      <c r="D261" t="s">
        <v>42</v>
      </c>
      <c r="E261">
        <v>2500</v>
      </c>
      <c r="F261" t="s">
        <v>500</v>
      </c>
      <c r="G261" t="s">
        <v>501</v>
      </c>
      <c r="H261" s="3" t="d">
        <v>21:59:59.9999999999968050</v>
      </c>
      <c r="I261" t="s">
        <v>499</v>
      </c>
      <c r="J261" s="1">
        <v>0.44600000000000001</v>
      </c>
      <c r="K261">
        <v>-80.5</v>
      </c>
      <c r="L261">
        <v>6.5</v>
      </c>
      <c r="M261">
        <v>3.38</v>
      </c>
      <c r="N261">
        <v>3.25</v>
      </c>
      <c r="T261">
        <v>0</v>
      </c>
      <c r="U261">
        <v>0</v>
      </c>
      <c r="V261">
        <v>0</v>
      </c>
      <c r="W261">
        <v>100</v>
      </c>
      <c r="Y261">
        <v>0</v>
      </c>
      <c r="Z261">
        <v>0</v>
      </c>
      <c r="AA261">
        <v>0</v>
      </c>
    </row>
    <row r="262" spans="1:30" x14ac:dyDescent="0.2">
      <c r="A262" t="s">
        <v>310</v>
      </c>
      <c r="C262">
        <v>0</v>
      </c>
      <c r="D262" t="s">
        <v>57</v>
      </c>
      <c r="E262">
        <v>2500</v>
      </c>
      <c r="F262" t="s">
        <v>45</v>
      </c>
      <c r="G262" t="s">
        <v>523</v>
      </c>
      <c r="H262" s="3" t="d">
        <v>20:00:00.0000000000031950</v>
      </c>
      <c r="I262" t="s">
        <v>503</v>
      </c>
      <c r="J262" s="1">
        <v>0.51400000000000001</v>
      </c>
      <c r="K262">
        <v>94.5</v>
      </c>
      <c r="L262">
        <v>5.5</v>
      </c>
      <c r="M262">
        <v>2.75</v>
      </c>
      <c r="N262">
        <v>3.07</v>
      </c>
      <c r="O262">
        <v>3</v>
      </c>
      <c r="Q262" s="4" t="d">
        <v>14:06:00.00000000000191700</v>
      </c>
      <c r="R262">
        <v>3</v>
      </c>
      <c r="S262">
        <v>3.29</v>
      </c>
      <c r="T262">
        <v>9.44</v>
      </c>
      <c r="U262">
        <v>2.86</v>
      </c>
      <c r="V262">
        <v>2.86</v>
      </c>
      <c r="W262">
        <v>100</v>
      </c>
      <c r="Y262">
        <v>45</v>
      </c>
      <c r="Z262">
        <v>1.1000000000000001</v>
      </c>
      <c r="AA262">
        <v>0</v>
      </c>
      <c r="AB262" s="4" t="d">
        <v>14:48:00.00000000000255600</v>
      </c>
      <c r="AC262">
        <v>1.3</v>
      </c>
      <c r="AD262">
        <v>0.5</v>
      </c>
    </row>
    <row r="263" spans="1:30" x14ac:dyDescent="0.2">
      <c r="A263" t="s">
        <v>592</v>
      </c>
      <c r="C263">
        <v>0</v>
      </c>
      <c r="D263" t="s">
        <v>343</v>
      </c>
      <c r="E263">
        <v>2500</v>
      </c>
      <c r="F263" t="s">
        <v>48</v>
      </c>
      <c r="G263" t="s">
        <v>498</v>
      </c>
      <c r="H263" s="3" t="d">
        <v>21:00:00.000</v>
      </c>
      <c r="I263" t="s">
        <v>499</v>
      </c>
      <c r="J263" s="1">
        <v>0.623</v>
      </c>
      <c r="K263">
        <v>-165</v>
      </c>
      <c r="L263">
        <v>6.5</v>
      </c>
      <c r="M263">
        <v>4.18</v>
      </c>
      <c r="N263">
        <v>3.25</v>
      </c>
      <c r="T263">
        <v>0</v>
      </c>
      <c r="U263">
        <v>0</v>
      </c>
      <c r="V263">
        <v>0</v>
      </c>
      <c r="W263">
        <v>100</v>
      </c>
      <c r="Y263">
        <v>0</v>
      </c>
      <c r="Z263">
        <v>0</v>
      </c>
      <c r="AA263">
        <v>0</v>
      </c>
    </row>
    <row r="264" spans="1:30" x14ac:dyDescent="0.2">
      <c r="A264" t="s">
        <v>347</v>
      </c>
      <c r="C264">
        <v>0</v>
      </c>
      <c r="D264" t="s">
        <v>346</v>
      </c>
      <c r="E264">
        <v>7800</v>
      </c>
      <c r="F264" t="s">
        <v>56</v>
      </c>
      <c r="G264" t="s">
        <v>513</v>
      </c>
      <c r="H264" s="3" t="d">
        <v>21:00:00.000</v>
      </c>
      <c r="I264" t="s">
        <v>499</v>
      </c>
      <c r="J264" s="1">
        <v>0.45900000000000002</v>
      </c>
      <c r="K264">
        <v>-85</v>
      </c>
      <c r="L264">
        <v>6</v>
      </c>
      <c r="M264">
        <v>3</v>
      </c>
      <c r="N264">
        <v>2.8</v>
      </c>
      <c r="O264" t="s">
        <v>511</v>
      </c>
      <c r="Q264" s="5" t="d">
        <v>PT59H3M0.000S</v>
      </c>
      <c r="R264">
        <v>12.9</v>
      </c>
      <c r="S264">
        <v>10.55</v>
      </c>
      <c r="T264">
        <v>33.590000000000003</v>
      </c>
      <c r="U264">
        <v>12.49</v>
      </c>
      <c r="V264">
        <v>12.49</v>
      </c>
      <c r="W264">
        <v>100</v>
      </c>
      <c r="Y264">
        <v>59</v>
      </c>
      <c r="Z264">
        <v>1.6</v>
      </c>
      <c r="AA264">
        <v>0</v>
      </c>
      <c r="AB264" s="5" t="d">
        <v>PT59H52M0.000S</v>
      </c>
      <c r="AC264">
        <v>20</v>
      </c>
      <c r="AD264">
        <v>2.6</v>
      </c>
    </row>
    <row r="265" spans="1:30" x14ac:dyDescent="0.2">
      <c r="A265" t="s">
        <v>294</v>
      </c>
      <c r="C265">
        <v>0</v>
      </c>
      <c r="D265" t="s">
        <v>57</v>
      </c>
      <c r="E265">
        <v>2800</v>
      </c>
      <c r="F265" t="s">
        <v>148</v>
      </c>
      <c r="G265" t="s">
        <v>512</v>
      </c>
      <c r="H265" s="3" t="d">
        <v>18:59:59.9999999999968050</v>
      </c>
      <c r="I265" t="s">
        <v>503</v>
      </c>
      <c r="J265" s="1">
        <v>0.38600000000000001</v>
      </c>
      <c r="K265">
        <v>159</v>
      </c>
      <c r="L265">
        <v>6</v>
      </c>
      <c r="M265">
        <v>2.2400000000000002</v>
      </c>
      <c r="N265">
        <v>3</v>
      </c>
      <c r="O265">
        <v>1</v>
      </c>
      <c r="Q265" s="4" t="d">
        <v>16:01:59.99999999999637450</v>
      </c>
      <c r="R265">
        <v>5.6</v>
      </c>
      <c r="S265">
        <v>4.45</v>
      </c>
      <c r="T265">
        <v>13.83</v>
      </c>
      <c r="U265">
        <v>4.93</v>
      </c>
      <c r="V265">
        <v>4.93</v>
      </c>
      <c r="W265">
        <v>100</v>
      </c>
      <c r="Y265">
        <v>60</v>
      </c>
      <c r="Z265">
        <v>1.8</v>
      </c>
      <c r="AA265">
        <v>0</v>
      </c>
      <c r="AB265" s="4" t="d">
        <v>20:45:00.0000000000031950</v>
      </c>
      <c r="AC265">
        <v>1.5</v>
      </c>
      <c r="AD265">
        <v>0.5</v>
      </c>
    </row>
    <row r="266" spans="1:30" x14ac:dyDescent="0.2">
      <c r="A266" t="s">
        <v>354</v>
      </c>
      <c r="C266">
        <v>0</v>
      </c>
      <c r="D266" t="s">
        <v>346</v>
      </c>
      <c r="E266">
        <v>7600</v>
      </c>
      <c r="F266" t="s">
        <v>64</v>
      </c>
      <c r="G266" t="s">
        <v>517</v>
      </c>
      <c r="H266" s="3" t="d">
        <v>21:59:59.9999999999968050</v>
      </c>
      <c r="I266" t="s">
        <v>503</v>
      </c>
      <c r="J266" s="1">
        <v>0.52900000000000003</v>
      </c>
      <c r="K266">
        <v>89</v>
      </c>
      <c r="L266">
        <v>6</v>
      </c>
      <c r="M266">
        <v>3</v>
      </c>
      <c r="N266">
        <v>3.14</v>
      </c>
      <c r="O266" t="s">
        <v>511</v>
      </c>
      <c r="Q266" s="5" t="d">
        <v>PT57H2M0.000S</v>
      </c>
      <c r="R266">
        <v>10.1</v>
      </c>
      <c r="S266">
        <v>9.56</v>
      </c>
      <c r="T266">
        <v>29.29</v>
      </c>
      <c r="U266">
        <v>10.17</v>
      </c>
      <c r="V266">
        <v>10.17</v>
      </c>
      <c r="W266">
        <v>100</v>
      </c>
      <c r="Y266">
        <v>53</v>
      </c>
      <c r="Z266">
        <v>1.3</v>
      </c>
      <c r="AA266">
        <v>0</v>
      </c>
      <c r="AB266" s="5" t="d">
        <v>PT60H0M0.000S</v>
      </c>
      <c r="AC266">
        <v>13</v>
      </c>
      <c r="AD266">
        <v>1.7</v>
      </c>
    </row>
    <row r="267" spans="1:30" x14ac:dyDescent="0.2">
      <c r="A267" t="s">
        <v>618</v>
      </c>
      <c r="C267">
        <v>0</v>
      </c>
      <c r="D267" t="s">
        <v>42</v>
      </c>
      <c r="E267">
        <v>2500</v>
      </c>
      <c r="F267" t="s">
        <v>59</v>
      </c>
      <c r="G267" t="s">
        <v>521</v>
      </c>
      <c r="H267" s="3" t="d">
        <v>21:59:59.9999999999968050</v>
      </c>
      <c r="I267" t="s">
        <v>503</v>
      </c>
      <c r="J267" s="1">
        <v>0.52800000000000002</v>
      </c>
      <c r="K267">
        <v>89.5</v>
      </c>
      <c r="L267">
        <v>6</v>
      </c>
      <c r="M267">
        <v>2.77</v>
      </c>
      <c r="N267">
        <v>3</v>
      </c>
      <c r="Q267" s="4" t="d">
        <v>12:31:00.00000000000298650</v>
      </c>
      <c r="R267">
        <v>3.8</v>
      </c>
      <c r="S267">
        <v>7.6</v>
      </c>
      <c r="T267">
        <v>0</v>
      </c>
      <c r="U267">
        <v>0</v>
      </c>
      <c r="V267">
        <v>0</v>
      </c>
      <c r="W267">
        <v>100</v>
      </c>
      <c r="Y267">
        <v>0</v>
      </c>
      <c r="Z267">
        <v>0</v>
      </c>
      <c r="AA267">
        <v>0</v>
      </c>
    </row>
    <row r="268" spans="1:30" x14ac:dyDescent="0.2">
      <c r="A268" t="s">
        <v>460</v>
      </c>
      <c r="C268">
        <v>0</v>
      </c>
      <c r="D268" t="s">
        <v>42</v>
      </c>
      <c r="E268">
        <v>2500</v>
      </c>
      <c r="F268" t="s">
        <v>509</v>
      </c>
      <c r="G268" t="s">
        <v>510</v>
      </c>
      <c r="H268" s="3" t="d">
        <v>21:59:59.9999999999968050</v>
      </c>
      <c r="I268" t="s">
        <v>499</v>
      </c>
      <c r="J268" s="1">
        <v>0.47199999999999998</v>
      </c>
      <c r="K268">
        <v>-89.5</v>
      </c>
      <c r="L268">
        <v>6</v>
      </c>
      <c r="M268">
        <v>3</v>
      </c>
      <c r="N268">
        <v>2.77</v>
      </c>
      <c r="Q268" s="4" t="d">
        <v>10:16:59.99999999999797200</v>
      </c>
      <c r="R268">
        <v>2.7</v>
      </c>
      <c r="S268">
        <v>2.84</v>
      </c>
      <c r="T268">
        <v>0</v>
      </c>
      <c r="U268">
        <v>0</v>
      </c>
      <c r="V268">
        <v>0</v>
      </c>
      <c r="W268">
        <v>100</v>
      </c>
      <c r="Y268">
        <v>47</v>
      </c>
      <c r="Z268">
        <v>0</v>
      </c>
      <c r="AA268">
        <v>0</v>
      </c>
    </row>
    <row r="269" spans="1:30" x14ac:dyDescent="0.2">
      <c r="A269" t="s">
        <v>550</v>
      </c>
      <c r="C269">
        <v>0</v>
      </c>
      <c r="D269" t="s">
        <v>57</v>
      </c>
      <c r="E269">
        <v>4500</v>
      </c>
      <c r="F269" t="s">
        <v>509</v>
      </c>
      <c r="G269" t="s">
        <v>510</v>
      </c>
      <c r="H269" s="3" t="d">
        <v>21:59:59.9999999999968050</v>
      </c>
      <c r="I269" t="s">
        <v>499</v>
      </c>
      <c r="J269" s="1">
        <v>0.47199999999999998</v>
      </c>
      <c r="K269">
        <v>-89.5</v>
      </c>
      <c r="L269">
        <v>6</v>
      </c>
      <c r="M269">
        <v>3</v>
      </c>
      <c r="N269">
        <v>2.77</v>
      </c>
      <c r="Q269" s="4" t="d">
        <v>23:08:00.00000000000149325</v>
      </c>
      <c r="R269">
        <v>7.7</v>
      </c>
      <c r="S269">
        <v>5.63</v>
      </c>
      <c r="T269">
        <v>0</v>
      </c>
      <c r="U269">
        <v>0</v>
      </c>
      <c r="V269">
        <v>0</v>
      </c>
      <c r="W269">
        <v>100</v>
      </c>
      <c r="Y269">
        <v>63</v>
      </c>
      <c r="Z269">
        <v>0</v>
      </c>
      <c r="AA269">
        <v>0</v>
      </c>
    </row>
    <row r="270" spans="1:30" x14ac:dyDescent="0.2">
      <c r="A270" t="s">
        <v>351</v>
      </c>
      <c r="C270">
        <v>0</v>
      </c>
      <c r="D270" t="s">
        <v>346</v>
      </c>
      <c r="E270">
        <v>8300</v>
      </c>
      <c r="F270" t="s">
        <v>48</v>
      </c>
      <c r="G270" t="s">
        <v>498</v>
      </c>
      <c r="H270" s="3" t="d">
        <v>21:00:00.000</v>
      </c>
      <c r="I270" t="s">
        <v>499</v>
      </c>
      <c r="J270" s="1">
        <v>0.623</v>
      </c>
      <c r="K270">
        <v>-165</v>
      </c>
      <c r="L270">
        <v>6.5</v>
      </c>
      <c r="M270">
        <v>4.18</v>
      </c>
      <c r="N270">
        <v>3.25</v>
      </c>
      <c r="O270" t="s">
        <v>511</v>
      </c>
      <c r="Q270" s="5" t="d">
        <v>PT58H5M0.000S</v>
      </c>
      <c r="R270">
        <v>15.4</v>
      </c>
      <c r="S270">
        <v>8.65</v>
      </c>
      <c r="T270">
        <v>30.79</v>
      </c>
      <c r="U270">
        <v>13.49</v>
      </c>
      <c r="V270">
        <v>13.49</v>
      </c>
      <c r="W270">
        <v>100</v>
      </c>
      <c r="Y270">
        <v>72</v>
      </c>
      <c r="Z270">
        <v>1.6</v>
      </c>
      <c r="AA270">
        <v>0</v>
      </c>
      <c r="AB270" s="5" t="d">
        <v>PT57H38M0.000S</v>
      </c>
      <c r="AC270">
        <v>-11.9</v>
      </c>
    </row>
    <row r="271" spans="1:30" x14ac:dyDescent="0.2">
      <c r="A271" t="s">
        <v>614</v>
      </c>
      <c r="C271">
        <v>0</v>
      </c>
      <c r="D271" t="s">
        <v>343</v>
      </c>
      <c r="E271">
        <v>2500</v>
      </c>
      <c r="F271" t="s">
        <v>59</v>
      </c>
      <c r="G271" t="s">
        <v>521</v>
      </c>
      <c r="H271" s="3" t="d">
        <v>21:59:59.9999999999968050</v>
      </c>
      <c r="I271" t="s">
        <v>503</v>
      </c>
      <c r="J271" s="1">
        <v>0.52800000000000002</v>
      </c>
      <c r="K271">
        <v>89.5</v>
      </c>
      <c r="L271">
        <v>6</v>
      </c>
      <c r="M271">
        <v>2.77</v>
      </c>
      <c r="N271">
        <v>3</v>
      </c>
      <c r="Q271" s="4" t="d">
        <v>10:10:59.99999999999925675</v>
      </c>
      <c r="R271">
        <v>5</v>
      </c>
      <c r="S271">
        <v>5.01</v>
      </c>
      <c r="T271">
        <v>0</v>
      </c>
      <c r="U271">
        <v>0</v>
      </c>
      <c r="V271">
        <v>0</v>
      </c>
      <c r="W271">
        <v>100</v>
      </c>
      <c r="Y271">
        <v>50</v>
      </c>
      <c r="Z271">
        <v>0</v>
      </c>
      <c r="AA271">
        <v>0</v>
      </c>
    </row>
    <row r="272" spans="1:30" x14ac:dyDescent="0.2">
      <c r="A272" t="s">
        <v>519</v>
      </c>
      <c r="C272">
        <v>0</v>
      </c>
      <c r="D272" t="s">
        <v>57</v>
      </c>
      <c r="E272">
        <v>5600</v>
      </c>
      <c r="F272" t="s">
        <v>117</v>
      </c>
      <c r="G272" t="s">
        <v>518</v>
      </c>
      <c r="H272" s="3" t="d">
        <v>21:00:00.000</v>
      </c>
      <c r="I272" t="s">
        <v>503</v>
      </c>
      <c r="J272" s="1">
        <v>0.54100000000000004</v>
      </c>
      <c r="K272">
        <v>85</v>
      </c>
      <c r="L272">
        <v>6</v>
      </c>
      <c r="M272">
        <v>2.8</v>
      </c>
      <c r="N272">
        <v>3</v>
      </c>
      <c r="O272">
        <v>1</v>
      </c>
      <c r="P272">
        <v>1</v>
      </c>
      <c r="Q272" s="4" t="d">
        <v>23:16:59.99999999999957625</v>
      </c>
      <c r="R272">
        <v>9.1999999999999993</v>
      </c>
      <c r="S272">
        <v>6.21</v>
      </c>
      <c r="T272">
        <v>23.47</v>
      </c>
      <c r="U272">
        <v>11.05</v>
      </c>
      <c r="V272">
        <v>11.05</v>
      </c>
      <c r="W272">
        <v>100</v>
      </c>
      <c r="Y272">
        <v>66</v>
      </c>
      <c r="Z272">
        <v>2</v>
      </c>
      <c r="AA272">
        <v>0</v>
      </c>
      <c r="AB272" s="4" t="d">
        <v>22:45:59.99999999999658975</v>
      </c>
      <c r="AC272">
        <v>12.5</v>
      </c>
      <c r="AD272">
        <v>2.2000000000000002</v>
      </c>
    </row>
    <row r="273" spans="1:30" x14ac:dyDescent="0.2">
      <c r="A273" t="s">
        <v>70</v>
      </c>
      <c r="C273">
        <v>0</v>
      </c>
      <c r="D273" t="s">
        <v>42</v>
      </c>
      <c r="E273">
        <v>9000</v>
      </c>
      <c r="F273" t="s">
        <v>500</v>
      </c>
      <c r="G273" t="s">
        <v>501</v>
      </c>
      <c r="H273" s="3" t="d">
        <v>21:59:59.9999999999968050</v>
      </c>
      <c r="I273" t="s">
        <v>499</v>
      </c>
      <c r="J273" s="1">
        <v>0.44600000000000001</v>
      </c>
      <c r="K273">
        <v>-80.5</v>
      </c>
      <c r="L273">
        <v>6.5</v>
      </c>
      <c r="M273">
        <v>3.38</v>
      </c>
      <c r="N273">
        <v>3.25</v>
      </c>
      <c r="O273">
        <v>1</v>
      </c>
      <c r="P273">
        <v>1</v>
      </c>
      <c r="Q273" s="4" t="d">
        <v>21:03:59.99999999999914575</v>
      </c>
      <c r="R273">
        <v>16.7</v>
      </c>
      <c r="S273">
        <v>11.68</v>
      </c>
      <c r="T273">
        <v>45.91</v>
      </c>
      <c r="U273">
        <v>22.55</v>
      </c>
      <c r="V273">
        <v>22.55</v>
      </c>
      <c r="W273">
        <v>100</v>
      </c>
      <c r="Y273">
        <v>65</v>
      </c>
      <c r="Z273">
        <v>2.5</v>
      </c>
      <c r="AA273">
        <v>0</v>
      </c>
      <c r="AB273" s="5" t="d">
        <v>PT24H36M0.000S</v>
      </c>
      <c r="AC273">
        <v>23</v>
      </c>
      <c r="AD273">
        <v>2.6</v>
      </c>
    </row>
    <row r="274" spans="1:30" x14ac:dyDescent="0.2">
      <c r="A274" t="s">
        <v>615</v>
      </c>
      <c r="C274">
        <v>0</v>
      </c>
      <c r="D274" t="s">
        <v>42</v>
      </c>
      <c r="E274">
        <v>2500</v>
      </c>
      <c r="F274" t="s">
        <v>509</v>
      </c>
      <c r="G274" t="s">
        <v>510</v>
      </c>
      <c r="H274" s="3" t="d">
        <v>21:59:59.9999999999968050</v>
      </c>
      <c r="I274" t="s">
        <v>499</v>
      </c>
      <c r="J274" s="1">
        <v>0.47199999999999998</v>
      </c>
      <c r="K274">
        <v>-89.5</v>
      </c>
      <c r="L274">
        <v>6</v>
      </c>
      <c r="M274">
        <v>3</v>
      </c>
      <c r="N274">
        <v>2.77</v>
      </c>
      <c r="T274">
        <v>0</v>
      </c>
      <c r="U274">
        <v>0</v>
      </c>
      <c r="V274">
        <v>0</v>
      </c>
      <c r="W274">
        <v>100</v>
      </c>
      <c r="Y274">
        <v>0</v>
      </c>
      <c r="Z274">
        <v>0</v>
      </c>
      <c r="AA274">
        <v>0</v>
      </c>
    </row>
    <row r="275" spans="1:30" x14ac:dyDescent="0.2">
      <c r="A275" t="s">
        <v>549</v>
      </c>
      <c r="C275">
        <v>0</v>
      </c>
      <c r="D275" t="s">
        <v>42</v>
      </c>
      <c r="E275">
        <v>4600</v>
      </c>
      <c r="F275" t="s">
        <v>59</v>
      </c>
      <c r="G275" t="s">
        <v>521</v>
      </c>
      <c r="H275" s="3" t="d">
        <v>21:59:59.9999999999968050</v>
      </c>
      <c r="I275" t="s">
        <v>503</v>
      </c>
      <c r="J275" s="1">
        <v>0.52800000000000002</v>
      </c>
      <c r="K275">
        <v>89.5</v>
      </c>
      <c r="L275">
        <v>6</v>
      </c>
      <c r="M275">
        <v>2.77</v>
      </c>
      <c r="N275">
        <v>3</v>
      </c>
      <c r="Q275" s="4" t="d">
        <v>18:13:59.99999999999701350</v>
      </c>
      <c r="R275">
        <v>6.9</v>
      </c>
      <c r="S275">
        <v>5.19</v>
      </c>
      <c r="T275">
        <v>0</v>
      </c>
      <c r="U275">
        <v>0</v>
      </c>
      <c r="V275">
        <v>0</v>
      </c>
      <c r="W275">
        <v>100</v>
      </c>
      <c r="Y275">
        <v>62</v>
      </c>
      <c r="Z275">
        <v>0</v>
      </c>
      <c r="AA275">
        <v>0</v>
      </c>
    </row>
    <row r="276" spans="1:30" x14ac:dyDescent="0.2">
      <c r="A276" t="s">
        <v>99</v>
      </c>
      <c r="C276">
        <v>0</v>
      </c>
      <c r="D276" t="s">
        <v>57</v>
      </c>
      <c r="E276">
        <v>2800</v>
      </c>
      <c r="F276" t="s">
        <v>59</v>
      </c>
      <c r="G276" t="s">
        <v>521</v>
      </c>
      <c r="H276" s="3" t="d">
        <v>21:59:59.9999999999968050</v>
      </c>
      <c r="I276" t="s">
        <v>503</v>
      </c>
      <c r="J276" s="1">
        <v>0.52800000000000002</v>
      </c>
      <c r="K276">
        <v>89.5</v>
      </c>
      <c r="L276">
        <v>6</v>
      </c>
      <c r="M276">
        <v>2.77</v>
      </c>
      <c r="N276">
        <v>3</v>
      </c>
      <c r="O276">
        <v>3</v>
      </c>
      <c r="Q276" s="4" t="d">
        <v>21:11:59.999999999997441975</v>
      </c>
      <c r="R276">
        <v>4.9000000000000004</v>
      </c>
      <c r="S276">
        <v>3.85</v>
      </c>
      <c r="T276">
        <v>12.71</v>
      </c>
      <c r="U276">
        <v>5.01</v>
      </c>
      <c r="V276">
        <v>5.01</v>
      </c>
      <c r="W276">
        <v>100</v>
      </c>
      <c r="Y276">
        <v>61</v>
      </c>
      <c r="Z276">
        <v>1.8</v>
      </c>
      <c r="AA276">
        <v>0</v>
      </c>
      <c r="AB276" s="4" t="d">
        <v>17:33:59.99999999999595075</v>
      </c>
      <c r="AC276">
        <v>12.1</v>
      </c>
      <c r="AD276">
        <v>4.3</v>
      </c>
    </row>
    <row r="277" spans="1:30" x14ac:dyDescent="0.2">
      <c r="A277" t="s">
        <v>260</v>
      </c>
      <c r="C277">
        <v>0</v>
      </c>
      <c r="D277" t="s">
        <v>57</v>
      </c>
      <c r="E277">
        <v>2800</v>
      </c>
      <c r="F277" t="s">
        <v>500</v>
      </c>
      <c r="G277" t="s">
        <v>501</v>
      </c>
      <c r="H277" s="3" t="d">
        <v>21:59:59.9999999999968050</v>
      </c>
      <c r="I277" t="s">
        <v>499</v>
      </c>
      <c r="J277" s="1">
        <v>0.44600000000000001</v>
      </c>
      <c r="K277">
        <v>-80.5</v>
      </c>
      <c r="L277">
        <v>6.5</v>
      </c>
      <c r="M277">
        <v>3.38</v>
      </c>
      <c r="N277">
        <v>3.25</v>
      </c>
      <c r="O277">
        <v>2</v>
      </c>
      <c r="Q277" s="4" t="d">
        <v>20:49:00.000000000002344800</v>
      </c>
      <c r="R277">
        <v>6.7</v>
      </c>
      <c r="S277">
        <v>5.08</v>
      </c>
      <c r="T277">
        <v>18.3</v>
      </c>
      <c r="U277">
        <v>8.14</v>
      </c>
      <c r="V277">
        <v>8.14</v>
      </c>
      <c r="W277">
        <v>100</v>
      </c>
      <c r="Y277">
        <v>62</v>
      </c>
      <c r="Z277">
        <v>2.9</v>
      </c>
      <c r="AA277">
        <v>0</v>
      </c>
      <c r="AB277" s="4" t="d">
        <v>19:51:59.99999999999531175</v>
      </c>
      <c r="AC277">
        <v>4.0999999999999996</v>
      </c>
      <c r="AD277">
        <v>1.5</v>
      </c>
    </row>
    <row r="278" spans="1:30" x14ac:dyDescent="0.2">
      <c r="A278" t="s">
        <v>38</v>
      </c>
      <c r="C278">
        <v>0</v>
      </c>
      <c r="D278" t="s">
        <v>343</v>
      </c>
      <c r="E278">
        <v>7600</v>
      </c>
      <c r="F278" t="s">
        <v>39</v>
      </c>
      <c r="G278" t="s">
        <v>504</v>
      </c>
      <c r="H278" s="3" t="d">
        <v>18:59:59.9999999999968050</v>
      </c>
      <c r="I278" t="s">
        <v>499</v>
      </c>
      <c r="J278" s="1">
        <v>0.41699999999999998</v>
      </c>
      <c r="K278">
        <v>-71.5</v>
      </c>
      <c r="L278">
        <v>6.5</v>
      </c>
      <c r="M278">
        <v>3.25</v>
      </c>
      <c r="N278">
        <v>3.2</v>
      </c>
      <c r="O278">
        <v>1</v>
      </c>
      <c r="P278">
        <v>1</v>
      </c>
      <c r="Q278" s="4" t="d">
        <v>19:29:00.00000000000021525</v>
      </c>
      <c r="R278">
        <v>14.2</v>
      </c>
      <c r="S278">
        <v>9.2100000000000009</v>
      </c>
      <c r="T278">
        <v>36.47</v>
      </c>
      <c r="U278">
        <v>18.05</v>
      </c>
      <c r="V278">
        <v>18.05</v>
      </c>
      <c r="W278">
        <v>100</v>
      </c>
      <c r="Y278">
        <v>68</v>
      </c>
      <c r="Z278">
        <v>2.4</v>
      </c>
      <c r="AA278">
        <v>0</v>
      </c>
      <c r="AB278" s="4" t="d">
        <v>18:18:59.99999999999595075</v>
      </c>
      <c r="AC278">
        <v>32.1</v>
      </c>
      <c r="AD278">
        <v>4.2</v>
      </c>
    </row>
    <row r="279" spans="1:30" x14ac:dyDescent="0.2">
      <c r="A279" t="s">
        <v>364</v>
      </c>
      <c r="C279">
        <v>0</v>
      </c>
      <c r="D279" t="s">
        <v>57</v>
      </c>
      <c r="E279">
        <v>3300</v>
      </c>
      <c r="F279" t="s">
        <v>56</v>
      </c>
      <c r="G279" t="s">
        <v>513</v>
      </c>
      <c r="H279" s="3" t="d">
        <v>21:00:00.000</v>
      </c>
      <c r="I279" t="s">
        <v>499</v>
      </c>
      <c r="J279" s="1">
        <v>0.45900000000000002</v>
      </c>
      <c r="K279">
        <v>-85</v>
      </c>
      <c r="L279">
        <v>6</v>
      </c>
      <c r="M279">
        <v>3</v>
      </c>
      <c r="N279">
        <v>2.8</v>
      </c>
      <c r="O279">
        <v>2</v>
      </c>
      <c r="Q279" s="4" t="d">
        <v>18:59:59.9999999999968050</v>
      </c>
      <c r="R279">
        <v>7</v>
      </c>
      <c r="S279">
        <v>5.24</v>
      </c>
      <c r="T279">
        <v>18.78</v>
      </c>
      <c r="U279">
        <v>8.3000000000000007</v>
      </c>
      <c r="V279">
        <v>8.3000000000000007</v>
      </c>
      <c r="W279">
        <v>100</v>
      </c>
      <c r="Y279">
        <v>63</v>
      </c>
      <c r="Z279">
        <v>2.5</v>
      </c>
      <c r="AA279">
        <v>0</v>
      </c>
      <c r="AB279" s="4" t="d">
        <v>18:58:59.99999999999701350</v>
      </c>
      <c r="AC279">
        <v>14.3</v>
      </c>
      <c r="AD279">
        <v>4.3</v>
      </c>
    </row>
    <row r="280" spans="1:30" x14ac:dyDescent="0.2">
      <c r="A280" t="s">
        <v>55</v>
      </c>
      <c r="C280">
        <v>0</v>
      </c>
      <c r="D280" t="s">
        <v>343</v>
      </c>
      <c r="E280">
        <v>7100</v>
      </c>
      <c r="F280" t="s">
        <v>48</v>
      </c>
      <c r="G280" t="s">
        <v>498</v>
      </c>
      <c r="H280" s="3" t="d">
        <v>21:00:00.000</v>
      </c>
      <c r="I280" t="s">
        <v>499</v>
      </c>
      <c r="J280" s="1">
        <v>0.623</v>
      </c>
      <c r="K280">
        <v>-165</v>
      </c>
      <c r="L280">
        <v>6.5</v>
      </c>
      <c r="M280">
        <v>4.18</v>
      </c>
      <c r="N280">
        <v>3.25</v>
      </c>
      <c r="O280">
        <v>1</v>
      </c>
      <c r="P280">
        <v>1</v>
      </c>
      <c r="Q280" s="4" t="d">
        <v>20:51:00.00000000000191700</v>
      </c>
      <c r="R280">
        <v>12.1</v>
      </c>
      <c r="S280">
        <v>8.2200000000000006</v>
      </c>
      <c r="T280">
        <v>34.44</v>
      </c>
      <c r="U280">
        <v>18</v>
      </c>
      <c r="V280">
        <v>18</v>
      </c>
      <c r="W280">
        <v>100</v>
      </c>
      <c r="Y280">
        <v>66</v>
      </c>
      <c r="Z280">
        <v>2.5</v>
      </c>
      <c r="AA280">
        <v>0</v>
      </c>
      <c r="AB280" s="5" t="d">
        <v>PT25H16M0.000S</v>
      </c>
      <c r="AC280">
        <v>26.5</v>
      </c>
      <c r="AD280">
        <v>3.7</v>
      </c>
    </row>
    <row r="281" spans="1:30" x14ac:dyDescent="0.2">
      <c r="A281" t="s">
        <v>278</v>
      </c>
      <c r="C281">
        <v>0</v>
      </c>
      <c r="D281" t="s">
        <v>343</v>
      </c>
      <c r="E281">
        <v>2600</v>
      </c>
      <c r="F281" t="s">
        <v>117</v>
      </c>
      <c r="G281" t="s">
        <v>518</v>
      </c>
      <c r="H281" s="3" t="d">
        <v>21:00:00.000</v>
      </c>
      <c r="I281" t="s">
        <v>503</v>
      </c>
      <c r="J281" s="1">
        <v>0.54100000000000004</v>
      </c>
      <c r="K281">
        <v>85</v>
      </c>
      <c r="L281">
        <v>6</v>
      </c>
      <c r="M281">
        <v>2.8</v>
      </c>
      <c r="N281">
        <v>3</v>
      </c>
      <c r="O281">
        <v>3</v>
      </c>
      <c r="Q281" s="4" t="d">
        <v>09:07:59.99999999999829150</v>
      </c>
      <c r="R281">
        <v>2.9</v>
      </c>
      <c r="S281">
        <v>1.6</v>
      </c>
      <c r="T281">
        <v>7.38</v>
      </c>
      <c r="U281">
        <v>4.18</v>
      </c>
      <c r="V281">
        <v>4.18</v>
      </c>
      <c r="W281">
        <v>100</v>
      </c>
      <c r="Y281">
        <v>0</v>
      </c>
      <c r="Z281">
        <v>1.6</v>
      </c>
      <c r="AA281">
        <v>0</v>
      </c>
      <c r="AB281" s="4" t="d">
        <v>13:06:59.99999999999531175</v>
      </c>
      <c r="AC281">
        <v>6</v>
      </c>
      <c r="AD281">
        <v>2.2999999999999998</v>
      </c>
    </row>
    <row r="282" spans="1:30" x14ac:dyDescent="0.2">
      <c r="A282" t="s">
        <v>547</v>
      </c>
      <c r="C282">
        <v>0</v>
      </c>
      <c r="D282" t="s">
        <v>42</v>
      </c>
      <c r="E282">
        <v>5100</v>
      </c>
      <c r="F282" t="s">
        <v>64</v>
      </c>
      <c r="G282" t="s">
        <v>517</v>
      </c>
      <c r="H282" s="3" t="d">
        <v>21:59:59.9999999999968050</v>
      </c>
      <c r="I282" t="s">
        <v>503</v>
      </c>
      <c r="J282" s="1">
        <v>0.52900000000000003</v>
      </c>
      <c r="K282">
        <v>89</v>
      </c>
      <c r="L282">
        <v>6</v>
      </c>
      <c r="M282">
        <v>3</v>
      </c>
      <c r="N282">
        <v>3.14</v>
      </c>
      <c r="Q282" s="4" t="d">
        <v>16:22:00.00000000000170850</v>
      </c>
      <c r="R282">
        <v>8.1999999999999993</v>
      </c>
      <c r="S282">
        <v>6.28</v>
      </c>
      <c r="T282">
        <v>0</v>
      </c>
      <c r="U282">
        <v>0</v>
      </c>
      <c r="V282">
        <v>0</v>
      </c>
      <c r="W282">
        <v>100</v>
      </c>
      <c r="Y282">
        <v>62</v>
      </c>
      <c r="Z282">
        <v>0</v>
      </c>
      <c r="AA282">
        <v>0</v>
      </c>
    </row>
    <row r="283" spans="1:30" x14ac:dyDescent="0.2">
      <c r="A283" t="s">
        <v>236</v>
      </c>
      <c r="C283">
        <v>0</v>
      </c>
      <c r="D283" t="s">
        <v>343</v>
      </c>
      <c r="E283">
        <v>2500</v>
      </c>
      <c r="F283" t="s">
        <v>45</v>
      </c>
      <c r="G283" t="s">
        <v>523</v>
      </c>
      <c r="H283" s="3" t="d">
        <v>20:00:00.0000000000031950</v>
      </c>
      <c r="I283" t="s">
        <v>503</v>
      </c>
      <c r="J283" s="1">
        <v>0.51400000000000001</v>
      </c>
      <c r="K283">
        <v>94.5</v>
      </c>
      <c r="L283">
        <v>5.5</v>
      </c>
      <c r="M283">
        <v>2.75</v>
      </c>
      <c r="N283">
        <v>3.07</v>
      </c>
      <c r="O283">
        <v>3</v>
      </c>
      <c r="Q283" s="4" t="d">
        <v>12:50:59.99999999999872200</v>
      </c>
      <c r="R283">
        <v>4.2</v>
      </c>
      <c r="S283">
        <v>5.03</v>
      </c>
      <c r="T283">
        <v>14.22</v>
      </c>
      <c r="U283">
        <v>4.16</v>
      </c>
      <c r="V283">
        <v>4.16</v>
      </c>
      <c r="W283">
        <v>100</v>
      </c>
      <c r="Y283">
        <v>40</v>
      </c>
      <c r="Z283">
        <v>1.7</v>
      </c>
      <c r="AA283">
        <v>0</v>
      </c>
      <c r="AB283" s="4" t="d">
        <v>11:29:00.00000000000181275</v>
      </c>
      <c r="AC283">
        <v>0</v>
      </c>
    </row>
    <row r="284" spans="1:30" x14ac:dyDescent="0.2">
      <c r="A284" t="s">
        <v>133</v>
      </c>
      <c r="C284">
        <v>0</v>
      </c>
      <c r="D284" t="s">
        <v>343</v>
      </c>
      <c r="E284">
        <v>3400</v>
      </c>
      <c r="F284" t="s">
        <v>61</v>
      </c>
      <c r="G284" t="s">
        <v>502</v>
      </c>
      <c r="H284" s="3" t="d">
        <v>18:59:59.9999999999968050</v>
      </c>
      <c r="I284" t="s">
        <v>503</v>
      </c>
      <c r="J284" s="1">
        <v>0.58299999999999996</v>
      </c>
      <c r="K284">
        <v>71.5</v>
      </c>
      <c r="L284">
        <v>6.5</v>
      </c>
      <c r="M284">
        <v>3.2</v>
      </c>
      <c r="N284">
        <v>3.25</v>
      </c>
      <c r="O284">
        <v>2</v>
      </c>
      <c r="P284">
        <v>1</v>
      </c>
      <c r="Q284" s="4" t="d">
        <v>14:24:59.99999999999786775</v>
      </c>
      <c r="R284">
        <v>5</v>
      </c>
      <c r="S284">
        <v>4.9000000000000004</v>
      </c>
      <c r="T284">
        <v>16.27</v>
      </c>
      <c r="U284">
        <v>6.47</v>
      </c>
      <c r="V284">
        <v>6.47</v>
      </c>
      <c r="W284">
        <v>100</v>
      </c>
      <c r="Y284">
        <v>51</v>
      </c>
      <c r="Z284">
        <v>1.9</v>
      </c>
      <c r="AA284">
        <v>0</v>
      </c>
      <c r="AB284" s="4" t="d">
        <v>19:58:00.00000000000362550</v>
      </c>
      <c r="AC284">
        <v>5</v>
      </c>
      <c r="AD284">
        <v>1.5</v>
      </c>
    </row>
    <row r="285" spans="1:30" x14ac:dyDescent="0.2">
      <c r="A285" t="s">
        <v>567</v>
      </c>
      <c r="C285">
        <v>0</v>
      </c>
      <c r="D285" t="s">
        <v>57</v>
      </c>
      <c r="E285">
        <v>2500</v>
      </c>
      <c r="F285" t="s">
        <v>61</v>
      </c>
      <c r="G285" t="s">
        <v>502</v>
      </c>
      <c r="H285" s="3" t="d">
        <v>18:59:59.9999999999968050</v>
      </c>
      <c r="I285" t="s">
        <v>503</v>
      </c>
      <c r="J285" s="1">
        <v>0.58299999999999996</v>
      </c>
      <c r="K285">
        <v>71.5</v>
      </c>
      <c r="L285">
        <v>6.5</v>
      </c>
      <c r="M285">
        <v>3.2</v>
      </c>
      <c r="N285">
        <v>3.25</v>
      </c>
      <c r="Q285" s="4" t="d">
        <v>15:04:59.99999999999893725</v>
      </c>
      <c r="R285">
        <v>4.9000000000000004</v>
      </c>
      <c r="S285">
        <v>2.0499999999999998</v>
      </c>
      <c r="T285">
        <v>0</v>
      </c>
      <c r="U285">
        <v>0</v>
      </c>
      <c r="V285">
        <v>0</v>
      </c>
      <c r="W285">
        <v>100</v>
      </c>
      <c r="Y285">
        <v>0</v>
      </c>
      <c r="Z285">
        <v>0</v>
      </c>
      <c r="AA285">
        <v>0</v>
      </c>
    </row>
    <row r="286" spans="1:30" x14ac:dyDescent="0.2">
      <c r="A286" t="s">
        <v>77</v>
      </c>
      <c r="C286">
        <v>0</v>
      </c>
      <c r="D286" t="s">
        <v>42</v>
      </c>
      <c r="E286">
        <v>3800</v>
      </c>
      <c r="F286" t="s">
        <v>52</v>
      </c>
      <c r="G286" t="s">
        <v>508</v>
      </c>
      <c r="H286" s="3" t="d">
        <v>20:00:00.0000000000031950</v>
      </c>
      <c r="I286" t="s">
        <v>499</v>
      </c>
      <c r="J286" s="1">
        <v>0.48599999999999999</v>
      </c>
      <c r="K286">
        <v>-94.5</v>
      </c>
      <c r="L286">
        <v>5.5</v>
      </c>
      <c r="M286">
        <v>3.07</v>
      </c>
      <c r="N286">
        <v>2.75</v>
      </c>
      <c r="O286">
        <v>1</v>
      </c>
      <c r="P286">
        <v>2</v>
      </c>
      <c r="Q286" s="4" t="d">
        <v>15:56:59.999999999997441975</v>
      </c>
      <c r="R286">
        <v>5.3</v>
      </c>
      <c r="S286">
        <v>5.3</v>
      </c>
      <c r="T286">
        <v>16.600000000000001</v>
      </c>
      <c r="U286">
        <v>6</v>
      </c>
      <c r="V286">
        <v>6</v>
      </c>
      <c r="W286">
        <v>100</v>
      </c>
      <c r="Y286">
        <v>50</v>
      </c>
      <c r="Z286">
        <v>1.6</v>
      </c>
      <c r="AA286">
        <v>0</v>
      </c>
      <c r="AB286" s="4" t="d">
        <v>13:02:59.99999999999616600</v>
      </c>
      <c r="AC286">
        <v>10</v>
      </c>
      <c r="AD286">
        <v>2.6</v>
      </c>
    </row>
    <row r="287" spans="1:30" x14ac:dyDescent="0.2">
      <c r="A287" t="s">
        <v>198</v>
      </c>
      <c r="C287">
        <v>0</v>
      </c>
      <c r="D287" t="s">
        <v>57</v>
      </c>
      <c r="E287">
        <v>2500</v>
      </c>
      <c r="F287" t="s">
        <v>148</v>
      </c>
      <c r="G287" t="s">
        <v>512</v>
      </c>
      <c r="H287" s="3" t="d">
        <v>18:59:59.9999999999968050</v>
      </c>
      <c r="I287" t="s">
        <v>503</v>
      </c>
      <c r="J287" s="1">
        <v>0.38600000000000001</v>
      </c>
      <c r="K287">
        <v>159</v>
      </c>
      <c r="L287">
        <v>6</v>
      </c>
      <c r="M287">
        <v>2.2400000000000002</v>
      </c>
      <c r="N287">
        <v>3</v>
      </c>
      <c r="O287">
        <v>3</v>
      </c>
      <c r="P287">
        <v>2</v>
      </c>
      <c r="Q287" s="4" t="d">
        <v>16:59:00.00000000000341025</v>
      </c>
      <c r="R287">
        <v>3.6</v>
      </c>
      <c r="S287">
        <v>2.84</v>
      </c>
      <c r="T287">
        <v>8.5399999999999991</v>
      </c>
      <c r="U287">
        <v>2.86</v>
      </c>
      <c r="V287">
        <v>2.86</v>
      </c>
      <c r="W287">
        <v>100</v>
      </c>
      <c r="Y287">
        <v>61</v>
      </c>
      <c r="Z287">
        <v>1.1000000000000001</v>
      </c>
      <c r="AA287">
        <v>0</v>
      </c>
      <c r="AB287" s="4" t="d">
        <v>13:51:59.99999999999531175</v>
      </c>
      <c r="AC287">
        <v>0</v>
      </c>
    </row>
    <row r="288" spans="1:30" x14ac:dyDescent="0.2">
      <c r="A288" t="s">
        <v>522</v>
      </c>
      <c r="C288">
        <v>0</v>
      </c>
      <c r="D288" t="s">
        <v>343</v>
      </c>
      <c r="E288">
        <v>4500</v>
      </c>
      <c r="F288" t="s">
        <v>61</v>
      </c>
      <c r="G288" t="s">
        <v>502</v>
      </c>
      <c r="H288" s="3" t="d">
        <v>18:59:59.9999999999968050</v>
      </c>
      <c r="I288" t="s">
        <v>503</v>
      </c>
      <c r="J288" s="1">
        <v>0.58299999999999996</v>
      </c>
      <c r="K288">
        <v>71.5</v>
      </c>
      <c r="L288">
        <v>6.5</v>
      </c>
      <c r="M288">
        <v>3.2</v>
      </c>
      <c r="N288">
        <v>3.25</v>
      </c>
      <c r="O288">
        <v>2</v>
      </c>
      <c r="P288">
        <v>1</v>
      </c>
      <c r="Q288" s="4" t="d">
        <v>19:10:00.00000000000426450</v>
      </c>
      <c r="R288">
        <v>9.1</v>
      </c>
      <c r="S288">
        <v>8.23</v>
      </c>
      <c r="T288">
        <v>25.87</v>
      </c>
      <c r="U288">
        <v>9.41</v>
      </c>
      <c r="V288">
        <v>9.41</v>
      </c>
      <c r="W288">
        <v>100</v>
      </c>
      <c r="Y288">
        <v>55</v>
      </c>
      <c r="Z288">
        <v>2.1</v>
      </c>
      <c r="AA288">
        <v>0</v>
      </c>
      <c r="AB288" s="4" t="d">
        <v>20:09:00.00000000000127800</v>
      </c>
      <c r="AC288">
        <v>14.5</v>
      </c>
      <c r="AD288">
        <v>3.2</v>
      </c>
    </row>
    <row r="289" spans="1:30" x14ac:dyDescent="0.2">
      <c r="A289" t="s">
        <v>434</v>
      </c>
      <c r="C289">
        <v>0</v>
      </c>
      <c r="D289" t="s">
        <v>343</v>
      </c>
      <c r="E289">
        <v>2500</v>
      </c>
      <c r="F289" t="s">
        <v>45</v>
      </c>
      <c r="G289" t="s">
        <v>523</v>
      </c>
      <c r="H289" s="3" t="d">
        <v>20:00:00.0000000000031950</v>
      </c>
      <c r="I289" t="s">
        <v>503</v>
      </c>
      <c r="J289" s="1">
        <v>0.51400000000000001</v>
      </c>
      <c r="K289">
        <v>94.5</v>
      </c>
      <c r="L289">
        <v>5.5</v>
      </c>
      <c r="M289">
        <v>2.75</v>
      </c>
      <c r="N289">
        <v>3.07</v>
      </c>
      <c r="Q289" s="4" t="d">
        <v>09:07:59.99999999999829150</v>
      </c>
      <c r="R289">
        <v>4.2</v>
      </c>
      <c r="S289">
        <v>3.38</v>
      </c>
      <c r="T289">
        <v>0</v>
      </c>
      <c r="U289">
        <v>0</v>
      </c>
      <c r="V289">
        <v>0</v>
      </c>
      <c r="W289">
        <v>100</v>
      </c>
      <c r="Y289">
        <v>60</v>
      </c>
      <c r="Z289">
        <v>0</v>
      </c>
      <c r="AA289">
        <v>0</v>
      </c>
    </row>
    <row r="290" spans="1:30" x14ac:dyDescent="0.2">
      <c r="A290" t="s">
        <v>532</v>
      </c>
      <c r="C290">
        <v>0</v>
      </c>
      <c r="D290" t="s">
        <v>346</v>
      </c>
      <c r="E290">
        <v>7600</v>
      </c>
      <c r="F290" t="s">
        <v>74</v>
      </c>
      <c r="G290" t="s">
        <v>514</v>
      </c>
      <c r="H290" s="3" t="d">
        <v>21:59:59.9999999999968050</v>
      </c>
      <c r="I290" t="s">
        <v>499</v>
      </c>
      <c r="J290" s="1">
        <v>0.47099999999999997</v>
      </c>
      <c r="K290">
        <v>-89</v>
      </c>
      <c r="L290">
        <v>6</v>
      </c>
      <c r="M290">
        <v>3.14</v>
      </c>
      <c r="N290">
        <v>3</v>
      </c>
      <c r="O290" t="s">
        <v>528</v>
      </c>
      <c r="Q290" s="5" t="d">
        <v>PT43H22M0.000S</v>
      </c>
      <c r="R290">
        <v>8</v>
      </c>
      <c r="S290">
        <v>8.16</v>
      </c>
      <c r="T290">
        <v>0</v>
      </c>
      <c r="U290">
        <v>0</v>
      </c>
      <c r="V290">
        <v>0</v>
      </c>
      <c r="W290">
        <v>100</v>
      </c>
      <c r="Y290">
        <v>49</v>
      </c>
      <c r="Z290">
        <v>0</v>
      </c>
      <c r="AA290">
        <v>0</v>
      </c>
    </row>
    <row r="291" spans="1:30" x14ac:dyDescent="0.2">
      <c r="A291" t="s">
        <v>461</v>
      </c>
      <c r="C291">
        <v>0</v>
      </c>
      <c r="D291" t="s">
        <v>343</v>
      </c>
      <c r="E291">
        <v>2500</v>
      </c>
      <c r="F291" t="s">
        <v>85</v>
      </c>
      <c r="G291" t="s">
        <v>507</v>
      </c>
      <c r="H291" s="3" t="d">
        <v>21:59:59.9999999999968050</v>
      </c>
      <c r="I291" t="s">
        <v>503</v>
      </c>
      <c r="J291" s="1">
        <v>0.55400000000000005</v>
      </c>
      <c r="K291">
        <v>80.5</v>
      </c>
      <c r="L291">
        <v>6.5</v>
      </c>
      <c r="M291">
        <v>3.25</v>
      </c>
      <c r="N291">
        <v>3.38</v>
      </c>
      <c r="Q291" s="4" t="d">
        <v>09:16:00.00000000000138225</v>
      </c>
      <c r="R291">
        <v>1.6</v>
      </c>
      <c r="S291">
        <v>2.56</v>
      </c>
      <c r="T291">
        <v>0</v>
      </c>
      <c r="U291">
        <v>0</v>
      </c>
      <c r="V291">
        <v>0</v>
      </c>
      <c r="W291">
        <v>100</v>
      </c>
      <c r="Y291">
        <v>20</v>
      </c>
      <c r="Z291">
        <v>0</v>
      </c>
      <c r="AA291">
        <v>0</v>
      </c>
    </row>
    <row r="292" spans="1:30" x14ac:dyDescent="0.2">
      <c r="A292" t="s">
        <v>246</v>
      </c>
      <c r="C292">
        <v>0</v>
      </c>
      <c r="D292" t="s">
        <v>57</v>
      </c>
      <c r="E292">
        <v>3300</v>
      </c>
      <c r="F292" t="s">
        <v>56</v>
      </c>
      <c r="G292" t="s">
        <v>513</v>
      </c>
      <c r="H292" s="3" t="d">
        <v>21:00:00.000</v>
      </c>
      <c r="I292" t="s">
        <v>499</v>
      </c>
      <c r="J292" s="1">
        <v>0.45900000000000002</v>
      </c>
      <c r="K292">
        <v>-85</v>
      </c>
      <c r="L292">
        <v>6</v>
      </c>
      <c r="M292">
        <v>3</v>
      </c>
      <c r="N292">
        <v>2.8</v>
      </c>
      <c r="O292">
        <v>2</v>
      </c>
      <c r="Q292" s="4" t="d">
        <v>20:49:00.000000000002344800</v>
      </c>
      <c r="R292">
        <v>6.9</v>
      </c>
      <c r="S292">
        <v>5.18</v>
      </c>
      <c r="T292">
        <v>18.2</v>
      </c>
      <c r="U292">
        <v>7.84</v>
      </c>
      <c r="V292">
        <v>7.84</v>
      </c>
      <c r="W292">
        <v>100</v>
      </c>
      <c r="Y292">
        <v>62</v>
      </c>
      <c r="Z292">
        <v>2.4</v>
      </c>
      <c r="AA292">
        <v>0</v>
      </c>
      <c r="AB292" s="4" t="d">
        <v>19:41:59.999999999997441975</v>
      </c>
      <c r="AC292">
        <v>2.8</v>
      </c>
      <c r="AD292">
        <v>0.8</v>
      </c>
    </row>
    <row r="293" spans="1:30" x14ac:dyDescent="0.2">
      <c r="A293" t="s">
        <v>524</v>
      </c>
      <c r="C293">
        <v>0</v>
      </c>
      <c r="D293" t="s">
        <v>343</v>
      </c>
      <c r="E293">
        <v>4100</v>
      </c>
      <c r="F293" t="s">
        <v>117</v>
      </c>
      <c r="G293" t="s">
        <v>518</v>
      </c>
      <c r="H293" s="3" t="d">
        <v>21:00:00.000</v>
      </c>
      <c r="I293" t="s">
        <v>503</v>
      </c>
      <c r="J293" s="1">
        <v>0.54100000000000004</v>
      </c>
      <c r="K293">
        <v>85</v>
      </c>
      <c r="L293">
        <v>6</v>
      </c>
      <c r="M293">
        <v>2.8</v>
      </c>
      <c r="N293">
        <v>3</v>
      </c>
      <c r="O293">
        <v>2</v>
      </c>
      <c r="P293">
        <v>1</v>
      </c>
      <c r="Q293" s="4" t="d">
        <v>16:36:59.99999999999850675</v>
      </c>
      <c r="R293">
        <v>7.7</v>
      </c>
      <c r="S293">
        <v>6.91</v>
      </c>
      <c r="T293">
        <v>21.81</v>
      </c>
      <c r="U293">
        <v>7.99</v>
      </c>
      <c r="V293">
        <v>7.99</v>
      </c>
      <c r="W293">
        <v>100</v>
      </c>
      <c r="Y293">
        <v>55</v>
      </c>
      <c r="Z293">
        <v>1.9</v>
      </c>
      <c r="AA293">
        <v>0</v>
      </c>
      <c r="AB293" s="4" t="d">
        <v>15:04:59.99999999999893725</v>
      </c>
      <c r="AC293">
        <v>1.3</v>
      </c>
      <c r="AD293">
        <v>0.3</v>
      </c>
    </row>
    <row r="294" spans="1:30" x14ac:dyDescent="0.2">
      <c r="A294" t="s">
        <v>377</v>
      </c>
      <c r="C294">
        <v>0</v>
      </c>
      <c r="D294" t="s">
        <v>57</v>
      </c>
      <c r="E294">
        <v>2500</v>
      </c>
      <c r="F294" t="s">
        <v>45</v>
      </c>
      <c r="G294" t="s">
        <v>523</v>
      </c>
      <c r="H294" s="3" t="d">
        <v>20:00:00.0000000000031950</v>
      </c>
      <c r="I294" t="s">
        <v>503</v>
      </c>
      <c r="J294" s="1">
        <v>0.51400000000000001</v>
      </c>
      <c r="K294">
        <v>94.5</v>
      </c>
      <c r="L294">
        <v>5.5</v>
      </c>
      <c r="M294">
        <v>2.75</v>
      </c>
      <c r="N294">
        <v>3.07</v>
      </c>
      <c r="Q294" s="4" t="d">
        <v>12:35:00.00000000000213225</v>
      </c>
      <c r="R294">
        <v>3.1</v>
      </c>
      <c r="S294">
        <v>4.16</v>
      </c>
      <c r="T294">
        <v>0</v>
      </c>
      <c r="U294">
        <v>0</v>
      </c>
      <c r="V294">
        <v>0</v>
      </c>
      <c r="W294">
        <v>100</v>
      </c>
      <c r="Y294">
        <v>33</v>
      </c>
      <c r="Z294">
        <v>0</v>
      </c>
      <c r="AA294">
        <v>0</v>
      </c>
    </row>
    <row r="295" spans="1:30" x14ac:dyDescent="0.2">
      <c r="A295" t="s">
        <v>283</v>
      </c>
      <c r="C295">
        <v>0</v>
      </c>
      <c r="D295" t="s">
        <v>57</v>
      </c>
      <c r="E295">
        <v>2700</v>
      </c>
      <c r="F295" t="s">
        <v>85</v>
      </c>
      <c r="G295" t="s">
        <v>507</v>
      </c>
      <c r="H295" s="3" t="d">
        <v>21:59:59.9999999999968050</v>
      </c>
      <c r="I295" t="s">
        <v>503</v>
      </c>
      <c r="J295" s="1">
        <v>0.55400000000000005</v>
      </c>
      <c r="K295">
        <v>80.5</v>
      </c>
      <c r="L295">
        <v>6.5</v>
      </c>
      <c r="M295">
        <v>3.25</v>
      </c>
      <c r="N295">
        <v>3.38</v>
      </c>
      <c r="O295">
        <v>3</v>
      </c>
      <c r="Q295" s="4" t="d">
        <v>16:33:59.99999999999914575</v>
      </c>
      <c r="R295">
        <v>4.7</v>
      </c>
      <c r="S295">
        <v>4.71</v>
      </c>
      <c r="T295">
        <v>15.42</v>
      </c>
      <c r="U295">
        <v>6</v>
      </c>
      <c r="V295">
        <v>6</v>
      </c>
      <c r="W295">
        <v>100</v>
      </c>
      <c r="Y295">
        <v>50</v>
      </c>
      <c r="Z295">
        <v>2.2000000000000002</v>
      </c>
      <c r="AA295">
        <v>0</v>
      </c>
      <c r="AB295" s="4" t="d">
        <v>17:45:00.0000000000031950</v>
      </c>
      <c r="AC295">
        <v>2.8</v>
      </c>
      <c r="AD295">
        <v>1</v>
      </c>
    </row>
    <row r="296" spans="1:30" x14ac:dyDescent="0.2">
      <c r="A296" t="s">
        <v>145</v>
      </c>
      <c r="C296">
        <v>0</v>
      </c>
      <c r="D296" t="s">
        <v>42</v>
      </c>
      <c r="E296">
        <v>4400</v>
      </c>
      <c r="F296" t="s">
        <v>74</v>
      </c>
      <c r="G296" t="s">
        <v>514</v>
      </c>
      <c r="H296" s="3" t="d">
        <v>21:59:59.9999999999968050</v>
      </c>
      <c r="I296" t="s">
        <v>499</v>
      </c>
      <c r="J296" s="1">
        <v>0.47099999999999997</v>
      </c>
      <c r="K296">
        <v>-89</v>
      </c>
      <c r="L296">
        <v>6</v>
      </c>
      <c r="M296">
        <v>3.14</v>
      </c>
      <c r="N296">
        <v>3</v>
      </c>
      <c r="O296">
        <v>1</v>
      </c>
      <c r="P296">
        <v>1</v>
      </c>
      <c r="Q296" s="4" t="d">
        <v>19:38:59.99999999999808300</v>
      </c>
      <c r="R296">
        <v>8.1999999999999993</v>
      </c>
      <c r="S296">
        <v>5.45</v>
      </c>
      <c r="T296">
        <v>21.71</v>
      </c>
      <c r="U296">
        <v>10.81</v>
      </c>
      <c r="V296">
        <v>10.81</v>
      </c>
      <c r="W296">
        <v>100</v>
      </c>
      <c r="Y296">
        <v>67</v>
      </c>
      <c r="Z296">
        <v>2.5</v>
      </c>
      <c r="AA296">
        <v>0</v>
      </c>
      <c r="AB296" s="4" t="d">
        <v>17:51:00.00000000000191700</v>
      </c>
      <c r="AC296">
        <v>7.8</v>
      </c>
      <c r="AD296">
        <v>1.8</v>
      </c>
    </row>
    <row r="297" spans="1:30" x14ac:dyDescent="0.2">
      <c r="A297" t="s">
        <v>338</v>
      </c>
      <c r="C297">
        <v>0</v>
      </c>
      <c r="D297" t="s">
        <v>343</v>
      </c>
      <c r="E297">
        <v>2900</v>
      </c>
      <c r="F297" t="s">
        <v>117</v>
      </c>
      <c r="G297" t="s">
        <v>518</v>
      </c>
      <c r="H297" s="3" t="d">
        <v>21:00:00.000</v>
      </c>
      <c r="I297" t="s">
        <v>503</v>
      </c>
      <c r="J297" s="1">
        <v>0.54100000000000004</v>
      </c>
      <c r="K297">
        <v>85</v>
      </c>
      <c r="L297">
        <v>6</v>
      </c>
      <c r="M297">
        <v>2.8</v>
      </c>
      <c r="N297">
        <v>3</v>
      </c>
      <c r="O297">
        <v>1</v>
      </c>
      <c r="P297">
        <v>1</v>
      </c>
      <c r="Q297" s="4" t="d">
        <v>14:17:59.99999999999936100</v>
      </c>
      <c r="R297">
        <v>6.5</v>
      </c>
      <c r="S297">
        <v>5.59</v>
      </c>
      <c r="T297">
        <v>19.79</v>
      </c>
      <c r="U297">
        <v>8.61</v>
      </c>
      <c r="V297">
        <v>8.61</v>
      </c>
      <c r="W297">
        <v>100</v>
      </c>
      <c r="Y297">
        <v>57</v>
      </c>
      <c r="Z297">
        <v>3</v>
      </c>
      <c r="AA297">
        <v>0</v>
      </c>
      <c r="AB297" s="4" t="d">
        <v>09:08:59.99999999999808300</v>
      </c>
      <c r="AC297">
        <v>0</v>
      </c>
    </row>
    <row r="298" spans="1:30" x14ac:dyDescent="0.2">
      <c r="A298" t="s">
        <v>43</v>
      </c>
      <c r="C298">
        <v>0</v>
      </c>
      <c r="D298" t="s">
        <v>343</v>
      </c>
      <c r="E298">
        <v>3800</v>
      </c>
      <c r="F298" t="s">
        <v>35</v>
      </c>
      <c r="G298" t="s">
        <v>516</v>
      </c>
      <c r="H298" s="3" t="d">
        <v>21:00:00.000</v>
      </c>
      <c r="I298" t="s">
        <v>503</v>
      </c>
      <c r="J298" s="1">
        <v>0.377</v>
      </c>
      <c r="K298">
        <v>165</v>
      </c>
      <c r="L298">
        <v>6.5</v>
      </c>
      <c r="M298">
        <v>3.25</v>
      </c>
      <c r="N298">
        <v>4.18</v>
      </c>
      <c r="O298">
        <v>3</v>
      </c>
      <c r="P298">
        <v>2</v>
      </c>
      <c r="Q298" s="4" t="d">
        <v>14:41:00.00000000000404925</v>
      </c>
      <c r="R298">
        <v>6.5</v>
      </c>
      <c r="S298">
        <v>4.92</v>
      </c>
      <c r="T298">
        <v>17.829999999999998</v>
      </c>
      <c r="U298">
        <v>7.99</v>
      </c>
      <c r="V298">
        <v>7.99</v>
      </c>
      <c r="W298">
        <v>100</v>
      </c>
      <c r="Y298">
        <v>62</v>
      </c>
      <c r="Z298">
        <v>2.1</v>
      </c>
      <c r="AA298">
        <v>0</v>
      </c>
      <c r="AB298" s="4" t="d">
        <v>14:30:59.99999999999658975</v>
      </c>
      <c r="AC298">
        <v>35.5</v>
      </c>
      <c r="AD298">
        <v>9.3000000000000007</v>
      </c>
    </row>
    <row r="299" spans="1:30" x14ac:dyDescent="0.2">
      <c r="A299" t="s">
        <v>300</v>
      </c>
      <c r="C299">
        <v>0</v>
      </c>
      <c r="D299" t="s">
        <v>343</v>
      </c>
      <c r="E299">
        <v>3500</v>
      </c>
      <c r="F299" t="s">
        <v>52</v>
      </c>
      <c r="G299" t="s">
        <v>508</v>
      </c>
      <c r="H299" s="3" t="d">
        <v>20:00:00.0000000000031950</v>
      </c>
      <c r="I299" t="s">
        <v>499</v>
      </c>
      <c r="J299" s="1">
        <v>0.48599999999999999</v>
      </c>
      <c r="K299">
        <v>-94.5</v>
      </c>
      <c r="L299">
        <v>5.5</v>
      </c>
      <c r="M299">
        <v>3.07</v>
      </c>
      <c r="N299">
        <v>2.75</v>
      </c>
      <c r="O299">
        <v>4</v>
      </c>
      <c r="P299">
        <v>2</v>
      </c>
      <c r="Q299" s="4" t="d">
        <v>14:15:59.999999999999786775</v>
      </c>
      <c r="R299">
        <v>5.2</v>
      </c>
      <c r="S299">
        <v>5.09</v>
      </c>
      <c r="T299">
        <v>16.41</v>
      </c>
      <c r="U299">
        <v>6.23</v>
      </c>
      <c r="V299">
        <v>6.23</v>
      </c>
      <c r="W299">
        <v>100</v>
      </c>
      <c r="Y299">
        <v>51</v>
      </c>
      <c r="Z299">
        <v>1.8</v>
      </c>
      <c r="AA299">
        <v>0</v>
      </c>
      <c r="AB299" s="4" t="d">
        <v>13:54:00.00000000000447975</v>
      </c>
      <c r="AC299">
        <v>1.5</v>
      </c>
      <c r="AD299">
        <v>0.4</v>
      </c>
    </row>
    <row r="300" spans="1:30" x14ac:dyDescent="0.2">
      <c r="A300" t="s">
        <v>293</v>
      </c>
      <c r="C300">
        <v>0</v>
      </c>
      <c r="D300" t="s">
        <v>57</v>
      </c>
      <c r="E300">
        <v>2600</v>
      </c>
      <c r="F300" t="s">
        <v>505</v>
      </c>
      <c r="G300" t="s">
        <v>506</v>
      </c>
      <c r="H300" s="3" t="d">
        <v>18:59:59.9999999999968050</v>
      </c>
      <c r="I300" t="s">
        <v>499</v>
      </c>
      <c r="J300" s="1">
        <v>0.61399999999999999</v>
      </c>
      <c r="K300">
        <v>-159</v>
      </c>
      <c r="L300">
        <v>6</v>
      </c>
      <c r="M300">
        <v>3</v>
      </c>
      <c r="N300">
        <v>2.2400000000000002</v>
      </c>
      <c r="Q300" s="4" t="d">
        <v>16:12:00.00000000000383400</v>
      </c>
      <c r="R300">
        <v>5.4</v>
      </c>
      <c r="S300">
        <v>4.03</v>
      </c>
      <c r="T300">
        <v>0</v>
      </c>
      <c r="U300">
        <v>0</v>
      </c>
      <c r="V300">
        <v>0</v>
      </c>
      <c r="W300">
        <v>100</v>
      </c>
      <c r="Y300">
        <v>63</v>
      </c>
      <c r="Z300">
        <v>0</v>
      </c>
      <c r="AA300">
        <v>0</v>
      </c>
      <c r="AB300" s="4" t="d">
        <v>15:15:59.99999999999658975</v>
      </c>
      <c r="AC300">
        <v>4.5</v>
      </c>
      <c r="AD300">
        <v>1.7</v>
      </c>
    </row>
    <row r="301" spans="1:30" x14ac:dyDescent="0.2">
      <c r="A301" t="s">
        <v>96</v>
      </c>
      <c r="C301">
        <v>0</v>
      </c>
      <c r="D301" t="s">
        <v>343</v>
      </c>
      <c r="E301">
        <v>3200</v>
      </c>
      <c r="F301" t="s">
        <v>61</v>
      </c>
      <c r="G301" t="s">
        <v>502</v>
      </c>
      <c r="H301" s="3" t="d">
        <v>18:59:59.9999999999968050</v>
      </c>
      <c r="I301" t="s">
        <v>503</v>
      </c>
      <c r="J301" s="1">
        <v>0.58299999999999996</v>
      </c>
      <c r="K301">
        <v>71.5</v>
      </c>
      <c r="L301">
        <v>6.5</v>
      </c>
      <c r="M301">
        <v>3.2</v>
      </c>
      <c r="N301">
        <v>3.25</v>
      </c>
      <c r="O301">
        <v>1</v>
      </c>
      <c r="P301">
        <v>2</v>
      </c>
      <c r="Q301" s="4" t="d">
        <v>14:39:00.00000000000447975</v>
      </c>
      <c r="R301">
        <v>5.9</v>
      </c>
      <c r="S301">
        <v>5.67</v>
      </c>
      <c r="T301">
        <v>18.68</v>
      </c>
      <c r="U301">
        <v>7.34</v>
      </c>
      <c r="V301">
        <v>7.34</v>
      </c>
      <c r="W301">
        <v>100</v>
      </c>
      <c r="Y301">
        <v>52</v>
      </c>
      <c r="Z301">
        <v>2.2999999999999998</v>
      </c>
      <c r="AA301">
        <v>0</v>
      </c>
      <c r="AB301" s="4" t="d">
        <v>18:47:59.99999999999936100</v>
      </c>
      <c r="AC301">
        <v>6.5</v>
      </c>
      <c r="AD301">
        <v>2</v>
      </c>
    </row>
    <row r="302" spans="1:30" x14ac:dyDescent="0.2">
      <c r="A302" t="s">
        <v>628</v>
      </c>
      <c r="C302">
        <v>0</v>
      </c>
      <c r="D302" t="s">
        <v>343</v>
      </c>
      <c r="E302">
        <v>2500</v>
      </c>
      <c r="F302" t="s">
        <v>74</v>
      </c>
      <c r="G302" t="s">
        <v>514</v>
      </c>
      <c r="H302" s="3" t="d">
        <v>21:59:59.9999999999968050</v>
      </c>
      <c r="I302" t="s">
        <v>499</v>
      </c>
      <c r="J302" s="1">
        <v>0.47099999999999997</v>
      </c>
      <c r="K302">
        <v>-89</v>
      </c>
      <c r="L302">
        <v>6</v>
      </c>
      <c r="M302">
        <v>3.14</v>
      </c>
      <c r="N302">
        <v>3</v>
      </c>
      <c r="T302">
        <v>0</v>
      </c>
      <c r="U302">
        <v>0</v>
      </c>
      <c r="V302">
        <v>0</v>
      </c>
      <c r="W302">
        <v>100</v>
      </c>
      <c r="Y302">
        <v>0</v>
      </c>
      <c r="Z302">
        <v>0</v>
      </c>
      <c r="AA302">
        <v>0</v>
      </c>
    </row>
    <row r="303" spans="1:30" x14ac:dyDescent="0.2">
      <c r="A303" t="s">
        <v>424</v>
      </c>
      <c r="C303">
        <v>0</v>
      </c>
      <c r="D303" t="s">
        <v>42</v>
      </c>
      <c r="E303">
        <v>2500</v>
      </c>
      <c r="F303" t="s">
        <v>59</v>
      </c>
      <c r="G303" t="s">
        <v>521</v>
      </c>
      <c r="H303" s="3" t="d">
        <v>21:59:59.9999999999968050</v>
      </c>
      <c r="I303" t="s">
        <v>503</v>
      </c>
      <c r="J303" s="1">
        <v>0.52800000000000002</v>
      </c>
      <c r="K303">
        <v>89.5</v>
      </c>
      <c r="L303">
        <v>6</v>
      </c>
      <c r="M303">
        <v>2.77</v>
      </c>
      <c r="N303">
        <v>3</v>
      </c>
      <c r="Q303" s="4" t="d">
        <v>11:24:59.99999999999786775</v>
      </c>
      <c r="R303">
        <v>4.7</v>
      </c>
      <c r="S303">
        <v>5.15</v>
      </c>
      <c r="T303">
        <v>0</v>
      </c>
      <c r="U303">
        <v>0</v>
      </c>
      <c r="V303">
        <v>0</v>
      </c>
      <c r="W303">
        <v>100</v>
      </c>
      <c r="Y303">
        <v>45</v>
      </c>
      <c r="Z303">
        <v>0</v>
      </c>
      <c r="AA303">
        <v>0</v>
      </c>
    </row>
    <row r="304" spans="1:30" x14ac:dyDescent="0.2">
      <c r="A304" t="s">
        <v>158</v>
      </c>
      <c r="C304">
        <v>0</v>
      </c>
      <c r="D304" t="s">
        <v>42</v>
      </c>
      <c r="E304">
        <v>2900</v>
      </c>
      <c r="F304" t="s">
        <v>500</v>
      </c>
      <c r="G304" t="s">
        <v>501</v>
      </c>
      <c r="H304" s="3" t="d">
        <v>21:59:59.9999999999968050</v>
      </c>
      <c r="I304" t="s">
        <v>499</v>
      </c>
      <c r="J304" s="1">
        <v>0.44600000000000001</v>
      </c>
      <c r="K304">
        <v>-80.5</v>
      </c>
      <c r="L304">
        <v>6.5</v>
      </c>
      <c r="M304">
        <v>3.38</v>
      </c>
      <c r="N304">
        <v>3.25</v>
      </c>
      <c r="O304">
        <v>3</v>
      </c>
      <c r="P304">
        <v>2</v>
      </c>
      <c r="Q304" s="4" t="d">
        <v>12:17:59.99999999999616600</v>
      </c>
      <c r="R304">
        <v>5.2</v>
      </c>
      <c r="S304">
        <v>5.15</v>
      </c>
      <c r="T304">
        <v>17.22</v>
      </c>
      <c r="U304">
        <v>6.92</v>
      </c>
      <c r="V304">
        <v>6.92</v>
      </c>
      <c r="W304">
        <v>100</v>
      </c>
      <c r="Y304">
        <v>50</v>
      </c>
      <c r="Z304">
        <v>2.4</v>
      </c>
      <c r="AA304">
        <v>0</v>
      </c>
      <c r="AB304" s="4" t="d">
        <v>12:28:00.00000000000362550</v>
      </c>
      <c r="AC304">
        <v>6.5</v>
      </c>
      <c r="AD304">
        <v>2.2000000000000002</v>
      </c>
    </row>
    <row r="305" spans="1:30" x14ac:dyDescent="0.2">
      <c r="A305" t="s">
        <v>188</v>
      </c>
      <c r="C305">
        <v>0</v>
      </c>
      <c r="D305" t="s">
        <v>42</v>
      </c>
      <c r="E305">
        <v>7300</v>
      </c>
      <c r="F305" t="s">
        <v>85</v>
      </c>
      <c r="G305" t="s">
        <v>507</v>
      </c>
      <c r="H305" s="3" t="d">
        <v>21:59:59.9999999999968050</v>
      </c>
      <c r="I305" t="s">
        <v>503</v>
      </c>
      <c r="J305" s="1">
        <v>0.55400000000000005</v>
      </c>
      <c r="K305">
        <v>80.5</v>
      </c>
      <c r="L305">
        <v>6.5</v>
      </c>
      <c r="M305">
        <v>3.25</v>
      </c>
      <c r="N305">
        <v>3.38</v>
      </c>
      <c r="O305">
        <v>2</v>
      </c>
      <c r="P305">
        <v>1</v>
      </c>
      <c r="Q305" s="4" t="d">
        <v>20:42:00.00000000000383400</v>
      </c>
      <c r="R305">
        <v>12</v>
      </c>
      <c r="S305">
        <v>9.56</v>
      </c>
      <c r="T305">
        <v>34.83</v>
      </c>
      <c r="U305">
        <v>15.71</v>
      </c>
      <c r="V305">
        <v>15.71</v>
      </c>
      <c r="W305">
        <v>100</v>
      </c>
      <c r="Y305">
        <v>60</v>
      </c>
      <c r="Z305">
        <v>2.2000000000000002</v>
      </c>
      <c r="AA305">
        <v>0</v>
      </c>
      <c r="AB305" s="4" t="d">
        <v>23:13:00.00000000000042375</v>
      </c>
      <c r="AC305">
        <v>12</v>
      </c>
      <c r="AD305">
        <v>1.6</v>
      </c>
    </row>
    <row r="306" spans="1:30" x14ac:dyDescent="0.2">
      <c r="A306" t="s">
        <v>165</v>
      </c>
      <c r="C306">
        <v>0</v>
      </c>
      <c r="D306" t="s">
        <v>42</v>
      </c>
      <c r="E306">
        <v>4800</v>
      </c>
      <c r="F306" t="s">
        <v>117</v>
      </c>
      <c r="G306" t="s">
        <v>518</v>
      </c>
      <c r="H306" s="3" t="d">
        <v>21:00:00.000</v>
      </c>
      <c r="I306" t="s">
        <v>503</v>
      </c>
      <c r="J306" s="1">
        <v>0.54100000000000004</v>
      </c>
      <c r="K306">
        <v>85</v>
      </c>
      <c r="L306">
        <v>6</v>
      </c>
      <c r="M306">
        <v>2.8</v>
      </c>
      <c r="N306">
        <v>3</v>
      </c>
      <c r="O306">
        <v>2</v>
      </c>
      <c r="P306">
        <v>2</v>
      </c>
      <c r="Q306" s="4" t="d">
        <v>17:25:59.9999999999976525</v>
      </c>
      <c r="R306">
        <v>8.4</v>
      </c>
      <c r="S306">
        <v>6.86</v>
      </c>
      <c r="T306">
        <v>24.04</v>
      </c>
      <c r="U306">
        <v>10.32</v>
      </c>
      <c r="V306">
        <v>10.32</v>
      </c>
      <c r="W306">
        <v>100</v>
      </c>
      <c r="Y306">
        <v>59</v>
      </c>
      <c r="Z306">
        <v>2.2000000000000002</v>
      </c>
      <c r="AA306">
        <v>0</v>
      </c>
      <c r="AB306" s="4" t="d">
        <v>20:14:00.00000000000021525</v>
      </c>
      <c r="AC306">
        <v>1.5</v>
      </c>
      <c r="AD306">
        <v>0.3</v>
      </c>
    </row>
    <row r="307" spans="1:30" x14ac:dyDescent="0.2">
      <c r="A307" t="s">
        <v>83</v>
      </c>
      <c r="C307">
        <v>0</v>
      </c>
      <c r="D307" t="s">
        <v>42</v>
      </c>
      <c r="E307">
        <v>4700</v>
      </c>
      <c r="F307" t="s">
        <v>64</v>
      </c>
      <c r="G307" t="s">
        <v>517</v>
      </c>
      <c r="H307" s="3" t="d">
        <v>21:59:59.9999999999968050</v>
      </c>
      <c r="I307" t="s">
        <v>503</v>
      </c>
      <c r="J307" s="1">
        <v>0.52900000000000003</v>
      </c>
      <c r="K307">
        <v>89</v>
      </c>
      <c r="L307">
        <v>6</v>
      </c>
      <c r="M307">
        <v>3</v>
      </c>
      <c r="N307">
        <v>3.14</v>
      </c>
      <c r="O307">
        <v>1</v>
      </c>
      <c r="P307">
        <v>1</v>
      </c>
      <c r="Q307" s="4" t="d">
        <v>18:37:00.00000000000170850</v>
      </c>
      <c r="R307">
        <v>8.6999999999999993</v>
      </c>
      <c r="S307">
        <v>8.7799999999999994</v>
      </c>
      <c r="T307">
        <v>27.28</v>
      </c>
      <c r="U307">
        <v>9.7200000000000006</v>
      </c>
      <c r="V307">
        <v>9.7200000000000006</v>
      </c>
      <c r="W307">
        <v>100</v>
      </c>
      <c r="Y307">
        <v>50</v>
      </c>
      <c r="Z307">
        <v>2.1</v>
      </c>
      <c r="AA307">
        <v>0</v>
      </c>
      <c r="AB307" s="4" t="d">
        <v>18:50:59.99999999999872200</v>
      </c>
      <c r="AC307">
        <v>9.3000000000000007</v>
      </c>
      <c r="AD307">
        <v>2</v>
      </c>
    </row>
    <row r="308" spans="1:30" x14ac:dyDescent="0.2">
      <c r="A308" t="s">
        <v>229</v>
      </c>
      <c r="C308">
        <v>0</v>
      </c>
      <c r="D308" t="s">
        <v>343</v>
      </c>
      <c r="E308">
        <v>7400</v>
      </c>
      <c r="F308" t="s">
        <v>52</v>
      </c>
      <c r="G308" t="s">
        <v>508</v>
      </c>
      <c r="H308" s="3" t="d">
        <v>20:00:00.0000000000031950</v>
      </c>
      <c r="I308" t="s">
        <v>499</v>
      </c>
      <c r="J308" s="1">
        <v>0.48599999999999999</v>
      </c>
      <c r="K308">
        <v>-94.5</v>
      </c>
      <c r="L308">
        <v>5.5</v>
      </c>
      <c r="M308">
        <v>3.07</v>
      </c>
      <c r="N308">
        <v>2.75</v>
      </c>
      <c r="O308">
        <v>2</v>
      </c>
      <c r="P308">
        <v>1</v>
      </c>
      <c r="Q308" s="4" t="d">
        <v>20:08:00.00000000000149325</v>
      </c>
      <c r="R308">
        <v>13</v>
      </c>
      <c r="S308">
        <v>8.35</v>
      </c>
      <c r="T308">
        <v>30.39</v>
      </c>
      <c r="U308">
        <v>13.69</v>
      </c>
      <c r="V308">
        <v>13.69</v>
      </c>
      <c r="W308">
        <v>100</v>
      </c>
      <c r="Y308">
        <v>68</v>
      </c>
      <c r="Z308">
        <v>1.9</v>
      </c>
      <c r="AA308">
        <v>0</v>
      </c>
      <c r="AB308" s="4" t="d">
        <v>22:28:00.00000000000042375</v>
      </c>
      <c r="AC308">
        <v>1.5</v>
      </c>
      <c r="AD308">
        <v>0.2</v>
      </c>
    </row>
    <row r="309" spans="1:30" x14ac:dyDescent="0.2">
      <c r="A309" t="s">
        <v>118</v>
      </c>
      <c r="C309">
        <v>0</v>
      </c>
      <c r="D309" t="s">
        <v>57</v>
      </c>
      <c r="E309">
        <v>6400</v>
      </c>
      <c r="F309" t="s">
        <v>52</v>
      </c>
      <c r="G309" t="s">
        <v>508</v>
      </c>
      <c r="H309" s="3" t="d">
        <v>20:00:00.0000000000031950</v>
      </c>
      <c r="I309" t="s">
        <v>499</v>
      </c>
      <c r="J309" s="1">
        <v>0.48599999999999999</v>
      </c>
      <c r="K309">
        <v>-94.5</v>
      </c>
      <c r="L309">
        <v>5.5</v>
      </c>
      <c r="M309">
        <v>3.07</v>
      </c>
      <c r="N309">
        <v>2.75</v>
      </c>
      <c r="O309">
        <v>1</v>
      </c>
      <c r="P309">
        <v>1</v>
      </c>
      <c r="Q309" s="5" t="d">
        <v>PT25H56M0.000S</v>
      </c>
      <c r="R309">
        <v>10.9</v>
      </c>
      <c r="S309">
        <v>7.13</v>
      </c>
      <c r="T309">
        <v>26.57</v>
      </c>
      <c r="U309">
        <v>12.31</v>
      </c>
      <c r="V309">
        <v>12.31</v>
      </c>
      <c r="W309">
        <v>100</v>
      </c>
      <c r="Y309">
        <v>67</v>
      </c>
      <c r="Z309">
        <v>1.9</v>
      </c>
      <c r="AA309">
        <v>0</v>
      </c>
      <c r="AB309" s="5" t="d">
        <v>PT27H0M0.000S</v>
      </c>
      <c r="AC309">
        <v>8</v>
      </c>
      <c r="AD309">
        <v>1.3</v>
      </c>
    </row>
    <row r="310" spans="1:30" x14ac:dyDescent="0.2">
      <c r="A310" t="s">
        <v>454</v>
      </c>
      <c r="C310">
        <v>0</v>
      </c>
      <c r="D310" t="s">
        <v>343</v>
      </c>
      <c r="E310">
        <v>2500</v>
      </c>
      <c r="F310" t="s">
        <v>505</v>
      </c>
      <c r="G310" t="s">
        <v>506</v>
      </c>
      <c r="H310" s="3" t="d">
        <v>18:59:59.9999999999968050</v>
      </c>
      <c r="I310" t="s">
        <v>499</v>
      </c>
      <c r="J310" s="1">
        <v>0.61399999999999999</v>
      </c>
      <c r="K310">
        <v>-159</v>
      </c>
      <c r="L310">
        <v>6</v>
      </c>
      <c r="M310">
        <v>3</v>
      </c>
      <c r="N310">
        <v>2.2400000000000002</v>
      </c>
      <c r="Q310" s="4" t="d">
        <v>09:40:00.00000000000106275</v>
      </c>
      <c r="R310">
        <v>1.8</v>
      </c>
      <c r="S310">
        <v>1.93</v>
      </c>
      <c r="T310">
        <v>0</v>
      </c>
      <c r="U310">
        <v>0</v>
      </c>
      <c r="V310">
        <v>0</v>
      </c>
      <c r="W310">
        <v>100</v>
      </c>
      <c r="Y310">
        <v>46</v>
      </c>
      <c r="Z310">
        <v>0</v>
      </c>
      <c r="AA310">
        <v>0</v>
      </c>
    </row>
    <row r="311" spans="1:30" x14ac:dyDescent="0.2">
      <c r="A311" t="s">
        <v>515</v>
      </c>
      <c r="C311">
        <v>0</v>
      </c>
      <c r="D311" t="s">
        <v>42</v>
      </c>
      <c r="E311">
        <v>6300</v>
      </c>
      <c r="F311" t="s">
        <v>39</v>
      </c>
      <c r="G311" t="s">
        <v>504</v>
      </c>
      <c r="H311" s="3" t="d">
        <v>18:59:59.9999999999968050</v>
      </c>
      <c r="I311" t="s">
        <v>499</v>
      </c>
      <c r="J311" s="1">
        <v>0.41699999999999998</v>
      </c>
      <c r="K311">
        <v>-71.5</v>
      </c>
      <c r="L311">
        <v>6.5</v>
      </c>
      <c r="M311">
        <v>3.25</v>
      </c>
      <c r="N311">
        <v>3.2</v>
      </c>
      <c r="O311">
        <v>2</v>
      </c>
      <c r="P311">
        <v>1</v>
      </c>
      <c r="Q311" s="4" t="d">
        <v>20:02:00.00000000000277125</v>
      </c>
      <c r="R311">
        <v>10.1</v>
      </c>
      <c r="S311">
        <v>7.58</v>
      </c>
      <c r="T311">
        <v>28.14</v>
      </c>
      <c r="U311">
        <v>12.98</v>
      </c>
      <c r="V311">
        <v>12.98</v>
      </c>
      <c r="W311">
        <v>100</v>
      </c>
      <c r="Y311">
        <v>62</v>
      </c>
      <c r="Z311">
        <v>2.1</v>
      </c>
      <c r="AA311">
        <v>0</v>
      </c>
      <c r="AB311" s="4" t="d">
        <v>17:24:59.99999999999786775</v>
      </c>
      <c r="AC311">
        <v>1.5</v>
      </c>
      <c r="AD311">
        <v>0.2</v>
      </c>
    </row>
    <row r="312" spans="1:30" x14ac:dyDescent="0.2">
      <c r="A312" t="s">
        <v>116</v>
      </c>
      <c r="C312">
        <v>0</v>
      </c>
      <c r="D312" t="s">
        <v>42</v>
      </c>
      <c r="E312">
        <v>3700</v>
      </c>
      <c r="F312" t="s">
        <v>117</v>
      </c>
      <c r="G312" t="s">
        <v>518</v>
      </c>
      <c r="H312" s="3" t="d">
        <v>21:00:00.000</v>
      </c>
      <c r="I312" t="s">
        <v>503</v>
      </c>
      <c r="J312" s="1">
        <v>0.54100000000000004</v>
      </c>
      <c r="K312">
        <v>85</v>
      </c>
      <c r="L312">
        <v>6</v>
      </c>
      <c r="M312">
        <v>2.8</v>
      </c>
      <c r="N312">
        <v>3</v>
      </c>
      <c r="O312">
        <v>3</v>
      </c>
      <c r="P312">
        <v>2</v>
      </c>
      <c r="Q312" s="4" t="d">
        <v>15:31:00.00000000000298650</v>
      </c>
      <c r="R312">
        <v>6.2</v>
      </c>
      <c r="S312">
        <v>4.7300000000000004</v>
      </c>
      <c r="T312">
        <v>15.93</v>
      </c>
      <c r="U312">
        <v>6.47</v>
      </c>
      <c r="V312">
        <v>6.47</v>
      </c>
      <c r="W312">
        <v>100</v>
      </c>
      <c r="Y312">
        <v>62</v>
      </c>
      <c r="Z312">
        <v>1.7</v>
      </c>
      <c r="AA312">
        <v>0</v>
      </c>
      <c r="AB312" s="4" t="d">
        <v>10:12:59.99999999999882625</v>
      </c>
      <c r="AC312">
        <v>10</v>
      </c>
      <c r="AD312">
        <v>2.7</v>
      </c>
    </row>
    <row r="313" spans="1:30" x14ac:dyDescent="0.2">
      <c r="A313" t="s">
        <v>90</v>
      </c>
      <c r="C313">
        <v>0</v>
      </c>
      <c r="D313" t="s">
        <v>57</v>
      </c>
      <c r="E313">
        <v>4400</v>
      </c>
      <c r="F313" t="s">
        <v>61</v>
      </c>
      <c r="G313" t="s">
        <v>502</v>
      </c>
      <c r="H313" s="3" t="d">
        <v>18:59:59.9999999999968050</v>
      </c>
      <c r="I313" t="s">
        <v>503</v>
      </c>
      <c r="J313" s="1">
        <v>0.58299999999999996</v>
      </c>
      <c r="K313">
        <v>71.5</v>
      </c>
      <c r="L313">
        <v>6.5</v>
      </c>
      <c r="M313">
        <v>3.2</v>
      </c>
      <c r="N313">
        <v>3.25</v>
      </c>
      <c r="O313">
        <v>2</v>
      </c>
      <c r="P313">
        <v>1</v>
      </c>
      <c r="Q313" s="4" t="d">
        <v>21:40:00.00000000000106275</v>
      </c>
      <c r="R313">
        <v>8.6999999999999993</v>
      </c>
      <c r="S313">
        <v>5.57</v>
      </c>
      <c r="T313">
        <v>20.78</v>
      </c>
      <c r="U313">
        <v>9.64</v>
      </c>
      <c r="V313">
        <v>9.64</v>
      </c>
      <c r="W313">
        <v>100</v>
      </c>
      <c r="Y313">
        <v>68</v>
      </c>
      <c r="Z313">
        <v>2.2000000000000002</v>
      </c>
      <c r="AA313">
        <v>0</v>
      </c>
      <c r="AB313" s="4" t="d">
        <v>21:02:59.99999999999936100</v>
      </c>
      <c r="AC313">
        <v>9.1</v>
      </c>
      <c r="AD313">
        <v>2.1</v>
      </c>
    </row>
    <row r="314" spans="1:30" x14ac:dyDescent="0.2">
      <c r="A314" t="s">
        <v>450</v>
      </c>
      <c r="C314">
        <v>0</v>
      </c>
      <c r="D314" t="s">
        <v>343</v>
      </c>
      <c r="E314">
        <v>2500</v>
      </c>
      <c r="F314" t="s">
        <v>52</v>
      </c>
      <c r="G314" t="s">
        <v>508</v>
      </c>
      <c r="H314" s="3" t="d">
        <v>20:00:00.0000000000031950</v>
      </c>
      <c r="I314" t="s">
        <v>499</v>
      </c>
      <c r="J314" s="1">
        <v>0.48599999999999999</v>
      </c>
      <c r="K314">
        <v>-94.5</v>
      </c>
      <c r="L314">
        <v>5.5</v>
      </c>
      <c r="M314">
        <v>3.07</v>
      </c>
      <c r="N314">
        <v>2.75</v>
      </c>
      <c r="Q314" s="4" t="d">
        <v>08:32:00.00000000000117375</v>
      </c>
      <c r="R314">
        <v>2.5</v>
      </c>
      <c r="S314">
        <v>4.72</v>
      </c>
      <c r="T314">
        <v>0</v>
      </c>
      <c r="U314">
        <v>0</v>
      </c>
      <c r="V314">
        <v>0</v>
      </c>
      <c r="W314">
        <v>100</v>
      </c>
      <c r="Y314">
        <v>6</v>
      </c>
      <c r="Z314">
        <v>0</v>
      </c>
      <c r="AA314">
        <v>0</v>
      </c>
    </row>
    <row r="315" spans="1:30" x14ac:dyDescent="0.2">
      <c r="A315" t="s">
        <v>610</v>
      </c>
      <c r="C315">
        <v>0</v>
      </c>
      <c r="D315" t="s">
        <v>343</v>
      </c>
      <c r="E315">
        <v>2500</v>
      </c>
      <c r="F315" t="s">
        <v>509</v>
      </c>
      <c r="G315" t="s">
        <v>510</v>
      </c>
      <c r="H315" s="3" t="d">
        <v>21:59:59.9999999999968050</v>
      </c>
      <c r="I315" t="s">
        <v>499</v>
      </c>
      <c r="J315" s="1">
        <v>0.47199999999999998</v>
      </c>
      <c r="K315">
        <v>-89.5</v>
      </c>
      <c r="L315">
        <v>6</v>
      </c>
      <c r="M315">
        <v>3</v>
      </c>
      <c r="N315">
        <v>2.77</v>
      </c>
      <c r="Q315" s="4" t="d">
        <v>10:40:59.9999999999976525</v>
      </c>
      <c r="R315">
        <v>2.9</v>
      </c>
      <c r="S315">
        <v>1.6</v>
      </c>
      <c r="T315">
        <v>0</v>
      </c>
      <c r="U315">
        <v>0</v>
      </c>
      <c r="V315">
        <v>0</v>
      </c>
      <c r="W315">
        <v>100</v>
      </c>
      <c r="Y315">
        <v>0</v>
      </c>
      <c r="Z315">
        <v>0</v>
      </c>
      <c r="AA315">
        <v>0</v>
      </c>
    </row>
    <row r="316" spans="1:30" x14ac:dyDescent="0.2">
      <c r="A316" t="s">
        <v>47</v>
      </c>
      <c r="C316">
        <v>0</v>
      </c>
      <c r="D316" t="s">
        <v>42</v>
      </c>
      <c r="E316">
        <v>10200</v>
      </c>
      <c r="F316" t="s">
        <v>48</v>
      </c>
      <c r="G316" t="s">
        <v>498</v>
      </c>
      <c r="H316" s="3" t="d">
        <v>21:00:00.000</v>
      </c>
      <c r="I316" t="s">
        <v>499</v>
      </c>
      <c r="J316" s="1">
        <v>0.623</v>
      </c>
      <c r="K316">
        <v>-165</v>
      </c>
      <c r="L316">
        <v>6.5</v>
      </c>
      <c r="M316">
        <v>4.18</v>
      </c>
      <c r="N316">
        <v>3.25</v>
      </c>
      <c r="O316">
        <v>1</v>
      </c>
      <c r="P316">
        <v>2</v>
      </c>
      <c r="Q316" s="4" t="d">
        <v>21:56:59.999999999997441975</v>
      </c>
      <c r="R316">
        <v>21.4</v>
      </c>
      <c r="S316">
        <v>11.36</v>
      </c>
      <c r="T316">
        <v>56.65</v>
      </c>
      <c r="U316">
        <v>33.93</v>
      </c>
      <c r="V316">
        <v>33.93</v>
      </c>
      <c r="W316">
        <v>100</v>
      </c>
      <c r="Y316">
        <v>73</v>
      </c>
      <c r="Z316">
        <v>3.3</v>
      </c>
      <c r="AA316">
        <v>0</v>
      </c>
      <c r="AB316" s="5" t="d">
        <v>PT26H15M0.000S</v>
      </c>
      <c r="AC316">
        <v>11.5</v>
      </c>
      <c r="AD316">
        <v>1.1000000000000001</v>
      </c>
    </row>
    <row r="317" spans="1:30" x14ac:dyDescent="0.2">
      <c r="A317" t="s">
        <v>422</v>
      </c>
      <c r="C317">
        <v>0</v>
      </c>
      <c r="D317" t="s">
        <v>343</v>
      </c>
      <c r="E317">
        <v>2500</v>
      </c>
      <c r="F317" t="s">
        <v>45</v>
      </c>
      <c r="G317" t="s">
        <v>523</v>
      </c>
      <c r="H317" s="3" t="d">
        <v>20:00:00.0000000000031950</v>
      </c>
      <c r="I317" t="s">
        <v>503</v>
      </c>
      <c r="J317" s="1">
        <v>0.51400000000000001</v>
      </c>
      <c r="K317">
        <v>94.5</v>
      </c>
      <c r="L317">
        <v>5.5</v>
      </c>
      <c r="M317">
        <v>2.75</v>
      </c>
      <c r="N317">
        <v>3.07</v>
      </c>
      <c r="Q317" s="4" t="d">
        <v>12:32:00.00000000000277125</v>
      </c>
      <c r="R317">
        <v>4.9000000000000004</v>
      </c>
      <c r="S317">
        <v>3.9</v>
      </c>
      <c r="T317">
        <v>0</v>
      </c>
      <c r="U317">
        <v>0</v>
      </c>
      <c r="V317">
        <v>0</v>
      </c>
      <c r="W317">
        <v>100</v>
      </c>
      <c r="Y317">
        <v>60</v>
      </c>
      <c r="Z317">
        <v>0</v>
      </c>
      <c r="AA317">
        <v>0</v>
      </c>
    </row>
    <row r="318" spans="1:30" x14ac:dyDescent="0.2">
      <c r="A318" t="s">
        <v>170</v>
      </c>
      <c r="C318">
        <v>0</v>
      </c>
      <c r="D318" t="s">
        <v>42</v>
      </c>
      <c r="E318">
        <v>5600</v>
      </c>
      <c r="F318" t="s">
        <v>117</v>
      </c>
      <c r="G318" t="s">
        <v>518</v>
      </c>
      <c r="H318" s="3" t="d">
        <v>21:00:00.000</v>
      </c>
      <c r="I318" t="s">
        <v>503</v>
      </c>
      <c r="J318" s="1">
        <v>0.54100000000000004</v>
      </c>
      <c r="K318">
        <v>85</v>
      </c>
      <c r="L318">
        <v>6</v>
      </c>
      <c r="M318">
        <v>2.8</v>
      </c>
      <c r="N318">
        <v>3</v>
      </c>
      <c r="O318">
        <v>1</v>
      </c>
      <c r="P318">
        <v>1</v>
      </c>
      <c r="Q318" s="4" t="d">
        <v>19:37:59.99999999999829150</v>
      </c>
      <c r="R318">
        <v>9.6999999999999993</v>
      </c>
      <c r="S318">
        <v>7.7</v>
      </c>
      <c r="T318">
        <v>25.35</v>
      </c>
      <c r="U318">
        <v>9.9499999999999993</v>
      </c>
      <c r="V318">
        <v>9.9499999999999993</v>
      </c>
      <c r="W318">
        <v>100</v>
      </c>
      <c r="Y318">
        <v>60</v>
      </c>
      <c r="Z318">
        <v>1.8</v>
      </c>
      <c r="AA318">
        <v>0</v>
      </c>
      <c r="AB318" s="4" t="d">
        <v>18:26:00.00000000000404925</v>
      </c>
      <c r="AC318">
        <v>1.5</v>
      </c>
      <c r="AD318">
        <v>0.3</v>
      </c>
    </row>
    <row r="319" spans="1:30" x14ac:dyDescent="0.2">
      <c r="A319" t="s">
        <v>172</v>
      </c>
      <c r="C319">
        <v>0</v>
      </c>
      <c r="D319" t="s">
        <v>42</v>
      </c>
      <c r="E319">
        <v>3000</v>
      </c>
      <c r="F319" t="s">
        <v>56</v>
      </c>
      <c r="G319" t="s">
        <v>513</v>
      </c>
      <c r="H319" s="3" t="d">
        <v>21:00:00.000</v>
      </c>
      <c r="I319" t="s">
        <v>499</v>
      </c>
      <c r="J319" s="1">
        <v>0.45900000000000002</v>
      </c>
      <c r="K319">
        <v>-85</v>
      </c>
      <c r="L319">
        <v>6</v>
      </c>
      <c r="M319">
        <v>3</v>
      </c>
      <c r="N319">
        <v>2.8</v>
      </c>
      <c r="O319">
        <v>3</v>
      </c>
      <c r="Q319" s="4" t="d">
        <v>15:38:00.00000000000149325</v>
      </c>
      <c r="R319">
        <v>3.9</v>
      </c>
      <c r="S319">
        <v>3.5</v>
      </c>
      <c r="T319">
        <v>11.52</v>
      </c>
      <c r="U319">
        <v>4.5199999999999996</v>
      </c>
      <c r="V319">
        <v>4.5199999999999996</v>
      </c>
      <c r="W319">
        <v>100</v>
      </c>
      <c r="Y319">
        <v>55</v>
      </c>
      <c r="Z319">
        <v>1.5</v>
      </c>
      <c r="AA319">
        <v>0</v>
      </c>
      <c r="AB319" s="4" t="d">
        <v>16:30:59.999999999999786775</v>
      </c>
      <c r="AC319">
        <v>0</v>
      </c>
    </row>
    <row r="320" spans="1:30" x14ac:dyDescent="0.2">
      <c r="A320" t="s">
        <v>289</v>
      </c>
      <c r="C320">
        <v>0</v>
      </c>
      <c r="D320" t="s">
        <v>343</v>
      </c>
      <c r="E320">
        <v>2800</v>
      </c>
      <c r="F320" t="s">
        <v>61</v>
      </c>
      <c r="G320" t="s">
        <v>502</v>
      </c>
      <c r="H320" s="3" t="d">
        <v>18:59:59.9999999999968050</v>
      </c>
      <c r="I320" t="s">
        <v>503</v>
      </c>
      <c r="J320" s="1">
        <v>0.58299999999999996</v>
      </c>
      <c r="K320">
        <v>71.5</v>
      </c>
      <c r="L320">
        <v>6.5</v>
      </c>
      <c r="M320">
        <v>3.2</v>
      </c>
      <c r="N320">
        <v>3.25</v>
      </c>
      <c r="O320">
        <v>3</v>
      </c>
      <c r="P320">
        <v>2</v>
      </c>
      <c r="Q320" s="4" t="d">
        <v>12:33:00.00000000000255600</v>
      </c>
      <c r="R320">
        <v>7</v>
      </c>
      <c r="S320">
        <v>5.82</v>
      </c>
      <c r="T320">
        <v>19.37</v>
      </c>
      <c r="U320">
        <v>7.73</v>
      </c>
      <c r="V320">
        <v>7.73</v>
      </c>
      <c r="W320">
        <v>100</v>
      </c>
      <c r="Y320">
        <v>58</v>
      </c>
      <c r="Z320">
        <v>2.8</v>
      </c>
      <c r="AA320">
        <v>0</v>
      </c>
      <c r="AB320" s="4" t="d">
        <v>12:39:00.00000000000127800</v>
      </c>
      <c r="AC320">
        <v>1.3</v>
      </c>
      <c r="AD320">
        <v>0.5</v>
      </c>
    </row>
    <row r="321" spans="1:30" x14ac:dyDescent="0.2">
      <c r="A321" t="s">
        <v>178</v>
      </c>
      <c r="C321">
        <v>0</v>
      </c>
      <c r="D321" t="s">
        <v>42</v>
      </c>
      <c r="E321">
        <v>2700</v>
      </c>
      <c r="F321" t="s">
        <v>45</v>
      </c>
      <c r="G321" t="s">
        <v>523</v>
      </c>
      <c r="H321" s="3" t="d">
        <v>20:00:00.0000000000031950</v>
      </c>
      <c r="I321" t="s">
        <v>503</v>
      </c>
      <c r="J321" s="1">
        <v>0.51400000000000001</v>
      </c>
      <c r="K321">
        <v>94.5</v>
      </c>
      <c r="L321">
        <v>5.5</v>
      </c>
      <c r="M321">
        <v>2.75</v>
      </c>
      <c r="N321">
        <v>3.07</v>
      </c>
      <c r="O321">
        <v>4</v>
      </c>
      <c r="Q321" s="4" t="d">
        <v>11:51:00.00000000000191700</v>
      </c>
      <c r="R321">
        <v>5.5</v>
      </c>
      <c r="S321">
        <v>5.0599999999999996</v>
      </c>
      <c r="T321">
        <v>15.55</v>
      </c>
      <c r="U321">
        <v>5.43</v>
      </c>
      <c r="V321">
        <v>5.43</v>
      </c>
      <c r="W321">
        <v>100</v>
      </c>
      <c r="Y321">
        <v>54</v>
      </c>
      <c r="Z321">
        <v>2</v>
      </c>
      <c r="AA321">
        <v>0</v>
      </c>
      <c r="AB321" s="4" t="d">
        <v>13:21:00.00000000000191700</v>
      </c>
      <c r="AC321">
        <v>1.5</v>
      </c>
      <c r="AD321">
        <v>0.6</v>
      </c>
    </row>
    <row r="322" spans="1:30" x14ac:dyDescent="0.2">
      <c r="A322" t="s">
        <v>161</v>
      </c>
      <c r="C322">
        <v>0</v>
      </c>
      <c r="D322" t="s">
        <v>343</v>
      </c>
      <c r="E322">
        <v>2500</v>
      </c>
      <c r="F322" t="s">
        <v>148</v>
      </c>
      <c r="G322" t="s">
        <v>512</v>
      </c>
      <c r="H322" s="3" t="d">
        <v>18:59:59.9999999999968050</v>
      </c>
      <c r="I322" t="s">
        <v>503</v>
      </c>
      <c r="J322" s="1">
        <v>0.38600000000000001</v>
      </c>
      <c r="K322">
        <v>159</v>
      </c>
      <c r="L322">
        <v>6</v>
      </c>
      <c r="M322">
        <v>2.2400000000000002</v>
      </c>
      <c r="N322">
        <v>3</v>
      </c>
      <c r="O322">
        <v>3</v>
      </c>
      <c r="P322">
        <v>2</v>
      </c>
      <c r="Q322" s="4" t="d">
        <v>13:35:59.99999999999872200</v>
      </c>
      <c r="R322">
        <v>4.8</v>
      </c>
      <c r="S322">
        <v>4.4000000000000004</v>
      </c>
      <c r="T322">
        <v>12.98</v>
      </c>
      <c r="U322">
        <v>4.18</v>
      </c>
      <c r="V322">
        <v>4.18</v>
      </c>
      <c r="W322">
        <v>100</v>
      </c>
      <c r="Y322">
        <v>54</v>
      </c>
      <c r="Z322">
        <v>1.7</v>
      </c>
      <c r="AA322">
        <v>0</v>
      </c>
      <c r="AB322" s="4" t="d">
        <v>05:40:59.99999999999925675</v>
      </c>
      <c r="AC322">
        <v>1.3</v>
      </c>
      <c r="AD322">
        <v>0.5</v>
      </c>
    </row>
    <row r="323" spans="1:30" x14ac:dyDescent="0.2">
      <c r="A323" t="s">
        <v>154</v>
      </c>
      <c r="C323">
        <v>0</v>
      </c>
      <c r="D323" t="s">
        <v>343</v>
      </c>
      <c r="E323">
        <v>2700</v>
      </c>
      <c r="F323" t="s">
        <v>148</v>
      </c>
      <c r="G323" t="s">
        <v>512</v>
      </c>
      <c r="H323" s="3" t="d">
        <v>18:59:59.9999999999968050</v>
      </c>
      <c r="I323" t="s">
        <v>503</v>
      </c>
      <c r="J323" s="1">
        <v>0.38600000000000001</v>
      </c>
      <c r="K323">
        <v>159</v>
      </c>
      <c r="L323">
        <v>6</v>
      </c>
      <c r="M323">
        <v>2.2400000000000002</v>
      </c>
      <c r="N323">
        <v>3</v>
      </c>
      <c r="O323">
        <v>4</v>
      </c>
      <c r="P323">
        <v>2</v>
      </c>
      <c r="Q323" s="4" t="d">
        <v>12:36:00.00000000000191700</v>
      </c>
      <c r="R323">
        <v>5.4</v>
      </c>
      <c r="S323">
        <v>5.26</v>
      </c>
      <c r="T323">
        <v>14.87</v>
      </c>
      <c r="U323">
        <v>4.3499999999999996</v>
      </c>
      <c r="V323">
        <v>4.3499999999999996</v>
      </c>
      <c r="W323">
        <v>100</v>
      </c>
      <c r="Y323">
        <v>51</v>
      </c>
      <c r="Z323">
        <v>1.6</v>
      </c>
      <c r="AA323">
        <v>0</v>
      </c>
      <c r="AB323" s="4" t="d">
        <v>12:09:59.99999999999786775</v>
      </c>
      <c r="AC323">
        <v>7.8</v>
      </c>
      <c r="AD323">
        <v>2.9</v>
      </c>
    </row>
    <row r="324" spans="1:30" x14ac:dyDescent="0.2">
      <c r="A324" t="s">
        <v>430</v>
      </c>
      <c r="C324">
        <v>0</v>
      </c>
      <c r="D324" t="s">
        <v>57</v>
      </c>
      <c r="E324">
        <v>2500</v>
      </c>
      <c r="F324" t="s">
        <v>500</v>
      </c>
      <c r="G324" t="s">
        <v>501</v>
      </c>
      <c r="H324" s="3" t="d">
        <v>21:59:59.9999999999968050</v>
      </c>
      <c r="I324" t="s">
        <v>499</v>
      </c>
      <c r="J324" s="1">
        <v>0.44600000000000001</v>
      </c>
      <c r="K324">
        <v>-80.5</v>
      </c>
      <c r="L324">
        <v>6.5</v>
      </c>
      <c r="M324">
        <v>3.38</v>
      </c>
      <c r="N324">
        <v>3.25</v>
      </c>
      <c r="Q324" s="4" t="d">
        <v>17:42:00.00000000000383400</v>
      </c>
      <c r="R324">
        <v>3.8</v>
      </c>
      <c r="S324">
        <v>2.74</v>
      </c>
      <c r="T324">
        <v>0</v>
      </c>
      <c r="U324">
        <v>0</v>
      </c>
      <c r="V324">
        <v>0</v>
      </c>
      <c r="W324">
        <v>100</v>
      </c>
      <c r="Y324">
        <v>64</v>
      </c>
      <c r="Z324">
        <v>0</v>
      </c>
      <c r="AA324">
        <v>0</v>
      </c>
    </row>
    <row r="325" spans="1:30" x14ac:dyDescent="0.2">
      <c r="A325" t="s">
        <v>208</v>
      </c>
      <c r="C325">
        <v>0</v>
      </c>
      <c r="D325" t="s">
        <v>343</v>
      </c>
      <c r="E325">
        <v>3000</v>
      </c>
      <c r="F325" t="s">
        <v>505</v>
      </c>
      <c r="G325" t="s">
        <v>506</v>
      </c>
      <c r="H325" s="3" t="d">
        <v>18:59:59.9999999999968050</v>
      </c>
      <c r="I325" t="s">
        <v>499</v>
      </c>
      <c r="J325" s="1">
        <v>0.61399999999999999</v>
      </c>
      <c r="K325">
        <v>-159</v>
      </c>
      <c r="L325">
        <v>6</v>
      </c>
      <c r="M325">
        <v>3</v>
      </c>
      <c r="N325">
        <v>2.2400000000000002</v>
      </c>
      <c r="O325">
        <v>4</v>
      </c>
      <c r="P325">
        <v>2</v>
      </c>
      <c r="Q325" s="4" t="d">
        <v>14:45:00.0000000000031950</v>
      </c>
      <c r="R325">
        <v>5.2</v>
      </c>
      <c r="S325">
        <v>4.37</v>
      </c>
      <c r="T325">
        <v>15.1</v>
      </c>
      <c r="U325">
        <v>6.36</v>
      </c>
      <c r="V325">
        <v>6.36</v>
      </c>
      <c r="W325">
        <v>100</v>
      </c>
      <c r="Y325">
        <v>58</v>
      </c>
      <c r="Z325">
        <v>2.1</v>
      </c>
      <c r="AA325">
        <v>0</v>
      </c>
      <c r="AB325" s="4" t="d">
        <v>09:35:00.00000000000213225</v>
      </c>
      <c r="AC325">
        <v>1.3</v>
      </c>
      <c r="AD325">
        <v>0.4</v>
      </c>
    </row>
    <row r="326" spans="1:30" x14ac:dyDescent="0.2">
      <c r="A326" t="s">
        <v>183</v>
      </c>
      <c r="C326">
        <v>0</v>
      </c>
      <c r="D326" t="s">
        <v>57</v>
      </c>
      <c r="E326">
        <v>2900</v>
      </c>
      <c r="F326" t="s">
        <v>35</v>
      </c>
      <c r="G326" t="s">
        <v>516</v>
      </c>
      <c r="H326" s="3" t="d">
        <v>21:00:00.000</v>
      </c>
      <c r="I326" t="s">
        <v>503</v>
      </c>
      <c r="J326" s="1">
        <v>0.377</v>
      </c>
      <c r="K326">
        <v>165</v>
      </c>
      <c r="L326">
        <v>6.5</v>
      </c>
      <c r="M326">
        <v>3.25</v>
      </c>
      <c r="N326">
        <v>4.18</v>
      </c>
      <c r="O326">
        <v>2</v>
      </c>
      <c r="Q326" s="4" t="d">
        <v>18:52:59.99999999999829150</v>
      </c>
      <c r="R326">
        <v>6.5</v>
      </c>
      <c r="S326">
        <v>4.83</v>
      </c>
      <c r="T326">
        <v>18.25</v>
      </c>
      <c r="U326">
        <v>8.59</v>
      </c>
      <c r="V326">
        <v>8.59</v>
      </c>
      <c r="W326">
        <v>100</v>
      </c>
      <c r="Y326">
        <v>63</v>
      </c>
      <c r="Z326">
        <v>3</v>
      </c>
      <c r="AA326">
        <v>0</v>
      </c>
      <c r="AB326" s="4" t="d">
        <v>22:16:00.00000000000298650</v>
      </c>
      <c r="AC326">
        <v>6.9</v>
      </c>
      <c r="AD326">
        <v>2.4</v>
      </c>
    </row>
    <row r="327" spans="1:30" x14ac:dyDescent="0.2">
      <c r="A327" t="s">
        <v>371</v>
      </c>
      <c r="C327">
        <v>0</v>
      </c>
      <c r="D327" t="s">
        <v>346</v>
      </c>
      <c r="E327">
        <v>6500</v>
      </c>
      <c r="F327" t="s">
        <v>509</v>
      </c>
      <c r="G327" t="s">
        <v>510</v>
      </c>
      <c r="H327" s="3" t="d">
        <v>21:59:59.9999999999968050</v>
      </c>
      <c r="I327" t="s">
        <v>499</v>
      </c>
      <c r="J327" s="1">
        <v>0.47199999999999998</v>
      </c>
      <c r="K327">
        <v>-89.5</v>
      </c>
      <c r="L327">
        <v>6</v>
      </c>
      <c r="M327">
        <v>3</v>
      </c>
      <c r="N327">
        <v>2.77</v>
      </c>
      <c r="O327" t="s">
        <v>528</v>
      </c>
      <c r="Q327" s="5" t="d">
        <v>PT60H0M0.000S</v>
      </c>
      <c r="R327">
        <v>22.8</v>
      </c>
      <c r="S327">
        <v>0</v>
      </c>
      <c r="T327">
        <v>0</v>
      </c>
      <c r="U327">
        <v>0</v>
      </c>
      <c r="V327">
        <v>0</v>
      </c>
      <c r="W327">
        <v>100</v>
      </c>
      <c r="Y327">
        <v>0</v>
      </c>
      <c r="Z327">
        <v>0</v>
      </c>
      <c r="AA327">
        <v>0</v>
      </c>
    </row>
    <row r="328" spans="1:30" x14ac:dyDescent="0.2">
      <c r="A328" t="s">
        <v>53</v>
      </c>
      <c r="C328">
        <v>0</v>
      </c>
      <c r="D328" t="s">
        <v>42</v>
      </c>
      <c r="E328">
        <v>6000</v>
      </c>
      <c r="F328" t="s">
        <v>509</v>
      </c>
      <c r="G328" t="s">
        <v>510</v>
      </c>
      <c r="H328" s="3" t="d">
        <v>21:59:59.9999999999968050</v>
      </c>
      <c r="I328" t="s">
        <v>499</v>
      </c>
      <c r="J328" s="1">
        <v>0.47199999999999998</v>
      </c>
      <c r="K328">
        <v>-89.5</v>
      </c>
      <c r="L328">
        <v>6</v>
      </c>
      <c r="M328">
        <v>3</v>
      </c>
      <c r="N328">
        <v>2.77</v>
      </c>
      <c r="O328">
        <v>2</v>
      </c>
      <c r="P328">
        <v>1</v>
      </c>
      <c r="Q328" s="4" t="d">
        <v>20:52:00.00000000000170850</v>
      </c>
      <c r="R328">
        <v>10.3</v>
      </c>
      <c r="S328">
        <v>7.82</v>
      </c>
      <c r="T328">
        <v>28.22</v>
      </c>
      <c r="U328">
        <v>12.58</v>
      </c>
      <c r="V328">
        <v>12.58</v>
      </c>
      <c r="W328">
        <v>100</v>
      </c>
      <c r="Y328">
        <v>62</v>
      </c>
      <c r="Z328">
        <v>2.1</v>
      </c>
      <c r="AA328">
        <v>0</v>
      </c>
      <c r="AB328" s="4" t="d">
        <v>19:57:00.00000000000383400</v>
      </c>
      <c r="AC328">
        <v>19.3</v>
      </c>
      <c r="AD328">
        <v>3.2</v>
      </c>
    </row>
    <row r="329" spans="1:30" x14ac:dyDescent="0.2">
      <c r="A329" t="s">
        <v>466</v>
      </c>
      <c r="C329">
        <v>0</v>
      </c>
      <c r="D329" t="s">
        <v>42</v>
      </c>
      <c r="E329">
        <v>2500</v>
      </c>
      <c r="F329" t="s">
        <v>35</v>
      </c>
      <c r="G329" t="s">
        <v>516</v>
      </c>
      <c r="H329" s="3" t="d">
        <v>21:00:00.000</v>
      </c>
      <c r="I329" t="s">
        <v>503</v>
      </c>
      <c r="J329" s="1">
        <v>0.377</v>
      </c>
      <c r="K329">
        <v>165</v>
      </c>
      <c r="L329">
        <v>6.5</v>
      </c>
      <c r="M329">
        <v>3.25</v>
      </c>
      <c r="N329">
        <v>4.18</v>
      </c>
      <c r="Q329" s="4" t="d">
        <v>08:13:00.00000000000042375</v>
      </c>
      <c r="R329">
        <v>1.1000000000000001</v>
      </c>
      <c r="S329">
        <v>1.1200000000000001</v>
      </c>
      <c r="T329">
        <v>0</v>
      </c>
      <c r="U329">
        <v>0</v>
      </c>
      <c r="V329">
        <v>0</v>
      </c>
      <c r="W329">
        <v>100</v>
      </c>
      <c r="Y329">
        <v>49</v>
      </c>
      <c r="Z329">
        <v>0</v>
      </c>
      <c r="AA329">
        <v>0</v>
      </c>
    </row>
    <row r="330" spans="1:30" x14ac:dyDescent="0.2">
      <c r="A330" t="s">
        <v>233</v>
      </c>
      <c r="C330">
        <v>0</v>
      </c>
      <c r="D330" t="s">
        <v>42</v>
      </c>
      <c r="E330">
        <v>2700</v>
      </c>
      <c r="F330" t="s">
        <v>61</v>
      </c>
      <c r="G330" t="s">
        <v>502</v>
      </c>
      <c r="H330" s="3" t="d">
        <v>18:59:59.9999999999968050</v>
      </c>
      <c r="I330" t="s">
        <v>503</v>
      </c>
      <c r="J330" s="1">
        <v>0.58299999999999996</v>
      </c>
      <c r="K330">
        <v>71.5</v>
      </c>
      <c r="L330">
        <v>6.5</v>
      </c>
      <c r="M330">
        <v>3.2</v>
      </c>
      <c r="N330">
        <v>3.25</v>
      </c>
      <c r="O330">
        <v>3</v>
      </c>
      <c r="Q330" s="4" t="d">
        <v>14:40:00.00000000000426450</v>
      </c>
      <c r="R330">
        <v>4.4000000000000004</v>
      </c>
      <c r="S330">
        <v>4.71</v>
      </c>
      <c r="T330">
        <v>15.25</v>
      </c>
      <c r="U330">
        <v>5.83</v>
      </c>
      <c r="V330">
        <v>5.83</v>
      </c>
      <c r="W330">
        <v>100</v>
      </c>
      <c r="Y330">
        <v>46</v>
      </c>
      <c r="Z330">
        <v>2.2000000000000002</v>
      </c>
      <c r="AA330">
        <v>0</v>
      </c>
      <c r="AB330" s="4" t="d">
        <v>13:49:59.99999999999573550</v>
      </c>
      <c r="AC330">
        <v>1.3</v>
      </c>
      <c r="AD330">
        <v>0.5</v>
      </c>
    </row>
    <row r="331" spans="1:30" x14ac:dyDescent="0.2">
      <c r="A331" t="s">
        <v>444</v>
      </c>
      <c r="C331">
        <v>0</v>
      </c>
      <c r="D331" t="s">
        <v>343</v>
      </c>
      <c r="E331">
        <v>2500</v>
      </c>
      <c r="F331" t="s">
        <v>35</v>
      </c>
      <c r="G331" t="s">
        <v>516</v>
      </c>
      <c r="H331" s="3" t="d">
        <v>21:00:00.000</v>
      </c>
      <c r="I331" t="s">
        <v>503</v>
      </c>
      <c r="J331" s="1">
        <v>0.377</v>
      </c>
      <c r="K331">
        <v>165</v>
      </c>
      <c r="L331">
        <v>6.5</v>
      </c>
      <c r="M331">
        <v>3.25</v>
      </c>
      <c r="N331">
        <v>4.18</v>
      </c>
      <c r="O331">
        <v>4</v>
      </c>
      <c r="Q331" s="4" t="d">
        <v>11:17:59.99999999999936100</v>
      </c>
      <c r="R331">
        <v>3</v>
      </c>
      <c r="S331">
        <v>4.24</v>
      </c>
      <c r="T331">
        <v>12.32</v>
      </c>
      <c r="U331">
        <v>3.84</v>
      </c>
      <c r="V331">
        <v>3.84</v>
      </c>
      <c r="W331">
        <v>100</v>
      </c>
      <c r="Y331">
        <v>29</v>
      </c>
      <c r="Z331">
        <v>1.5</v>
      </c>
      <c r="AA331">
        <v>0</v>
      </c>
    </row>
    <row r="332" spans="1:30" x14ac:dyDescent="0.2">
      <c r="A332" t="s">
        <v>86</v>
      </c>
      <c r="C332">
        <v>0</v>
      </c>
      <c r="D332" t="s">
        <v>343</v>
      </c>
      <c r="E332">
        <v>9200</v>
      </c>
      <c r="F332" t="s">
        <v>505</v>
      </c>
      <c r="G332" t="s">
        <v>506</v>
      </c>
      <c r="H332" s="3" t="d">
        <v>18:59:59.9999999999968050</v>
      </c>
      <c r="I332" t="s">
        <v>499</v>
      </c>
      <c r="J332" s="1">
        <v>0.61399999999999999</v>
      </c>
      <c r="K332">
        <v>-159</v>
      </c>
      <c r="L332">
        <v>6</v>
      </c>
      <c r="M332">
        <v>3</v>
      </c>
      <c r="N332">
        <v>2.2400000000000002</v>
      </c>
      <c r="O332">
        <v>1</v>
      </c>
      <c r="P332">
        <v>2</v>
      </c>
      <c r="Q332" s="4" t="d">
        <v>20:05:00.00000000000213225</v>
      </c>
      <c r="R332">
        <v>16.100000000000001</v>
      </c>
      <c r="S332">
        <v>9.26</v>
      </c>
      <c r="T332">
        <v>38.25</v>
      </c>
      <c r="U332">
        <v>19.73</v>
      </c>
      <c r="V332">
        <v>19.73</v>
      </c>
      <c r="W332">
        <v>100</v>
      </c>
      <c r="Y332">
        <v>71</v>
      </c>
      <c r="Z332">
        <v>2.1</v>
      </c>
      <c r="AA332">
        <v>0</v>
      </c>
      <c r="AB332" s="4" t="d">
        <v>23:48:00.00000000000255600</v>
      </c>
      <c r="AC332">
        <v>10</v>
      </c>
      <c r="AD332">
        <v>1.1000000000000001</v>
      </c>
    </row>
    <row r="333" spans="1:30" x14ac:dyDescent="0.2">
      <c r="A333" t="s">
        <v>425</v>
      </c>
      <c r="C333">
        <v>0</v>
      </c>
      <c r="D333" t="s">
        <v>343</v>
      </c>
      <c r="E333">
        <v>2500</v>
      </c>
      <c r="F333" t="s">
        <v>64</v>
      </c>
      <c r="G333" t="s">
        <v>517</v>
      </c>
      <c r="H333" s="3" t="d">
        <v>21:59:59.9999999999968050</v>
      </c>
      <c r="I333" t="s">
        <v>503</v>
      </c>
      <c r="J333" s="1">
        <v>0.52900000000000003</v>
      </c>
      <c r="K333">
        <v>89</v>
      </c>
      <c r="L333">
        <v>6</v>
      </c>
      <c r="M333">
        <v>3</v>
      </c>
      <c r="N333">
        <v>3.14</v>
      </c>
      <c r="Q333" s="4" t="d">
        <v>12:23:00.000000000004689600</v>
      </c>
      <c r="R333">
        <v>3.7</v>
      </c>
      <c r="S333">
        <v>5.55</v>
      </c>
      <c r="T333">
        <v>0</v>
      </c>
      <c r="U333">
        <v>0</v>
      </c>
      <c r="V333">
        <v>0</v>
      </c>
      <c r="W333">
        <v>100</v>
      </c>
      <c r="Y333">
        <v>25</v>
      </c>
      <c r="Z333">
        <v>0</v>
      </c>
      <c r="AA333">
        <v>0</v>
      </c>
    </row>
    <row r="334" spans="1:30" x14ac:dyDescent="0.2">
      <c r="A334" t="s">
        <v>417</v>
      </c>
      <c r="C334">
        <v>0</v>
      </c>
      <c r="D334" t="s">
        <v>346</v>
      </c>
      <c r="E334">
        <v>6500</v>
      </c>
      <c r="F334" t="s">
        <v>59</v>
      </c>
      <c r="G334" t="s">
        <v>521</v>
      </c>
      <c r="H334" s="3" t="d">
        <v>21:59:59.9999999999968050</v>
      </c>
      <c r="I334" t="s">
        <v>503</v>
      </c>
      <c r="J334" s="1">
        <v>0.52800000000000002</v>
      </c>
      <c r="K334">
        <v>89.5</v>
      </c>
      <c r="L334">
        <v>6</v>
      </c>
      <c r="M334">
        <v>2.77</v>
      </c>
      <c r="N334">
        <v>3</v>
      </c>
      <c r="O334" t="s">
        <v>528</v>
      </c>
      <c r="Q334" s="5" t="d">
        <v>PT52H46M0.000S</v>
      </c>
      <c r="R334">
        <v>9.6</v>
      </c>
      <c r="S334">
        <v>7.7</v>
      </c>
      <c r="T334">
        <v>0</v>
      </c>
      <c r="U334">
        <v>0</v>
      </c>
      <c r="V334">
        <v>0</v>
      </c>
      <c r="W334">
        <v>100</v>
      </c>
      <c r="Y334">
        <v>60</v>
      </c>
      <c r="Z334">
        <v>0</v>
      </c>
      <c r="AA334">
        <v>0</v>
      </c>
    </row>
    <row r="335" spans="1:30" x14ac:dyDescent="0.2">
      <c r="A335" t="s">
        <v>617</v>
      </c>
      <c r="C335">
        <v>0</v>
      </c>
      <c r="D335" t="s">
        <v>42</v>
      </c>
      <c r="E335">
        <v>2500</v>
      </c>
      <c r="F335" t="s">
        <v>59</v>
      </c>
      <c r="G335" t="s">
        <v>521</v>
      </c>
      <c r="H335" s="3" t="d">
        <v>21:59:59.9999999999968050</v>
      </c>
      <c r="I335" t="s">
        <v>503</v>
      </c>
      <c r="J335" s="1">
        <v>0.52800000000000002</v>
      </c>
      <c r="K335">
        <v>89.5</v>
      </c>
      <c r="L335">
        <v>6</v>
      </c>
      <c r="M335">
        <v>2.77</v>
      </c>
      <c r="N335">
        <v>3</v>
      </c>
      <c r="Q335" s="4" t="d">
        <v>08:38:59.99999999999968050</v>
      </c>
      <c r="R335">
        <v>1.4</v>
      </c>
      <c r="S335">
        <v>1.4</v>
      </c>
      <c r="T335">
        <v>0</v>
      </c>
      <c r="U335">
        <v>0</v>
      </c>
      <c r="V335">
        <v>0</v>
      </c>
      <c r="W335">
        <v>100</v>
      </c>
      <c r="Y335">
        <v>0</v>
      </c>
      <c r="Z335">
        <v>0</v>
      </c>
      <c r="AA335">
        <v>0</v>
      </c>
    </row>
    <row r="336" spans="1:30" x14ac:dyDescent="0.2">
      <c r="A336" t="s">
        <v>124</v>
      </c>
      <c r="C336">
        <v>0</v>
      </c>
      <c r="D336" t="s">
        <v>343</v>
      </c>
      <c r="E336">
        <v>2500</v>
      </c>
      <c r="F336" t="s">
        <v>59</v>
      </c>
      <c r="G336" t="s">
        <v>521</v>
      </c>
      <c r="H336" s="3" t="d">
        <v>21:59:59.9999999999968050</v>
      </c>
      <c r="I336" t="s">
        <v>503</v>
      </c>
      <c r="J336" s="1">
        <v>0.52800000000000002</v>
      </c>
      <c r="K336">
        <v>89.5</v>
      </c>
      <c r="L336">
        <v>6</v>
      </c>
      <c r="M336">
        <v>2.77</v>
      </c>
      <c r="N336">
        <v>3</v>
      </c>
      <c r="O336">
        <v>4</v>
      </c>
      <c r="Q336" s="4" t="d">
        <v>11:38:59.99999999999968050</v>
      </c>
      <c r="R336">
        <v>2.1</v>
      </c>
      <c r="S336">
        <v>1.9</v>
      </c>
      <c r="T336">
        <v>8.39</v>
      </c>
      <c r="U336">
        <v>4.59</v>
      </c>
      <c r="V336">
        <v>4.59</v>
      </c>
      <c r="W336">
        <v>100</v>
      </c>
      <c r="Y336">
        <v>55</v>
      </c>
      <c r="Z336">
        <v>1.8</v>
      </c>
      <c r="AA336">
        <v>0</v>
      </c>
      <c r="AB336" s="4" t="d">
        <v>12:25:00.00000000000426450</v>
      </c>
      <c r="AC336">
        <v>6.5</v>
      </c>
      <c r="AD336">
        <v>2.6</v>
      </c>
    </row>
    <row r="337" spans="1:30" x14ac:dyDescent="0.2">
      <c r="A337" t="s">
        <v>273</v>
      </c>
      <c r="C337">
        <v>0</v>
      </c>
      <c r="D337" t="s">
        <v>57</v>
      </c>
      <c r="E337">
        <v>2900</v>
      </c>
      <c r="F337" t="s">
        <v>52</v>
      </c>
      <c r="G337" t="s">
        <v>508</v>
      </c>
      <c r="H337" s="3" t="d">
        <v>20:00:00.0000000000031950</v>
      </c>
      <c r="I337" t="s">
        <v>499</v>
      </c>
      <c r="J337" s="1">
        <v>0.48599999999999999</v>
      </c>
      <c r="K337">
        <v>-94.5</v>
      </c>
      <c r="L337">
        <v>5.5</v>
      </c>
      <c r="M337">
        <v>3.07</v>
      </c>
      <c r="N337">
        <v>2.75</v>
      </c>
      <c r="O337">
        <v>2</v>
      </c>
      <c r="Q337" s="4" t="d">
        <v>16:00:59.99999999999658975</v>
      </c>
      <c r="R337">
        <v>4.4000000000000004</v>
      </c>
      <c r="S337">
        <v>4.16</v>
      </c>
      <c r="T337">
        <v>13.1</v>
      </c>
      <c r="U337">
        <v>4.78</v>
      </c>
      <c r="V337">
        <v>4.78</v>
      </c>
      <c r="W337">
        <v>100</v>
      </c>
      <c r="Y337">
        <v>53</v>
      </c>
      <c r="Z337">
        <v>1.6</v>
      </c>
      <c r="AA337">
        <v>0</v>
      </c>
      <c r="AB337" s="4" t="d">
        <v>19:16:00.00000000000298650</v>
      </c>
      <c r="AC337">
        <v>4.3</v>
      </c>
      <c r="AD337">
        <v>1.5</v>
      </c>
    </row>
    <row r="338" spans="1:30" x14ac:dyDescent="0.2">
      <c r="A338" t="s">
        <v>122</v>
      </c>
      <c r="C338">
        <v>0</v>
      </c>
      <c r="D338" t="s">
        <v>42</v>
      </c>
      <c r="E338">
        <v>3600</v>
      </c>
      <c r="F338" t="s">
        <v>35</v>
      </c>
      <c r="G338" t="s">
        <v>516</v>
      </c>
      <c r="H338" s="3" t="d">
        <v>21:00:00.000</v>
      </c>
      <c r="I338" t="s">
        <v>503</v>
      </c>
      <c r="J338" s="1">
        <v>0.377</v>
      </c>
      <c r="K338">
        <v>165</v>
      </c>
      <c r="L338">
        <v>6.5</v>
      </c>
      <c r="M338">
        <v>3.25</v>
      </c>
      <c r="N338">
        <v>4.18</v>
      </c>
      <c r="O338">
        <v>3</v>
      </c>
      <c r="P338">
        <v>2</v>
      </c>
      <c r="Q338" s="4" t="d">
        <v>16:17:00.00000000000277125</v>
      </c>
      <c r="R338">
        <v>6.7</v>
      </c>
      <c r="S338">
        <v>6.4</v>
      </c>
      <c r="T338">
        <v>20.73</v>
      </c>
      <c r="U338">
        <v>7.93</v>
      </c>
      <c r="V338">
        <v>7.93</v>
      </c>
      <c r="W338">
        <v>100</v>
      </c>
      <c r="Y338">
        <v>52</v>
      </c>
      <c r="Z338">
        <v>2.2000000000000002</v>
      </c>
      <c r="AA338">
        <v>0</v>
      </c>
      <c r="AB338" s="4" t="d">
        <v>15:00:00.000</v>
      </c>
      <c r="AC338">
        <v>6.3</v>
      </c>
      <c r="AD338">
        <v>1.8</v>
      </c>
    </row>
    <row r="339" spans="1:30" x14ac:dyDescent="0.2">
      <c r="A339" t="s">
        <v>226</v>
      </c>
      <c r="C339">
        <v>0</v>
      </c>
      <c r="D339" t="s">
        <v>57</v>
      </c>
      <c r="E339">
        <v>4700</v>
      </c>
      <c r="F339" t="s">
        <v>39</v>
      </c>
      <c r="G339" t="s">
        <v>504</v>
      </c>
      <c r="H339" s="3" t="d">
        <v>18:59:59.9999999999968050</v>
      </c>
      <c r="I339" t="s">
        <v>499</v>
      </c>
      <c r="J339" s="1">
        <v>0.41699999999999998</v>
      </c>
      <c r="K339">
        <v>-71.5</v>
      </c>
      <c r="L339">
        <v>6.5</v>
      </c>
      <c r="M339">
        <v>3.25</v>
      </c>
      <c r="N339">
        <v>3.2</v>
      </c>
      <c r="O339">
        <v>2</v>
      </c>
      <c r="P339">
        <v>2</v>
      </c>
      <c r="Q339" s="4" t="d">
        <v>23:30:59.99999999999658975</v>
      </c>
      <c r="R339">
        <v>8.9</v>
      </c>
      <c r="S339">
        <v>6.28</v>
      </c>
      <c r="T339">
        <v>23.45</v>
      </c>
      <c r="U339">
        <v>10.89</v>
      </c>
      <c r="V339">
        <v>10.89</v>
      </c>
      <c r="W339">
        <v>100</v>
      </c>
      <c r="Y339">
        <v>65</v>
      </c>
      <c r="Z339">
        <v>2.2999999999999998</v>
      </c>
      <c r="AA339">
        <v>0</v>
      </c>
      <c r="AB339" s="4" t="d">
        <v>22:27:00.00000000000063900</v>
      </c>
      <c r="AC339">
        <v>6.9</v>
      </c>
      <c r="AD339">
        <v>1.5</v>
      </c>
    </row>
    <row r="340" spans="1:30" x14ac:dyDescent="0.2">
      <c r="A340" t="s">
        <v>232</v>
      </c>
      <c r="C340">
        <v>0</v>
      </c>
      <c r="D340" t="s">
        <v>57</v>
      </c>
      <c r="E340">
        <v>2500</v>
      </c>
      <c r="F340" t="s">
        <v>35</v>
      </c>
      <c r="G340" t="s">
        <v>516</v>
      </c>
      <c r="H340" s="3" t="d">
        <v>21:00:00.000</v>
      </c>
      <c r="I340" t="s">
        <v>503</v>
      </c>
      <c r="J340" s="1">
        <v>0.377</v>
      </c>
      <c r="K340">
        <v>165</v>
      </c>
      <c r="L340">
        <v>6.5</v>
      </c>
      <c r="M340">
        <v>3.25</v>
      </c>
      <c r="N340">
        <v>4.18</v>
      </c>
      <c r="O340">
        <v>3</v>
      </c>
      <c r="Q340" s="4" t="d">
        <v>13:58:00.00000000000362550</v>
      </c>
      <c r="R340">
        <v>3.3</v>
      </c>
      <c r="S340">
        <v>3.32</v>
      </c>
      <c r="T340">
        <v>10.82</v>
      </c>
      <c r="U340">
        <v>4.18</v>
      </c>
      <c r="V340">
        <v>4.18</v>
      </c>
      <c r="W340">
        <v>100</v>
      </c>
      <c r="Y340">
        <v>50</v>
      </c>
      <c r="Z340">
        <v>1.7</v>
      </c>
      <c r="AA340">
        <v>0</v>
      </c>
      <c r="AB340" s="4" t="d">
        <v>15:49:59.99999999999893725</v>
      </c>
      <c r="AC340">
        <v>1.3</v>
      </c>
      <c r="AD340">
        <v>0.5</v>
      </c>
    </row>
    <row r="341" spans="1:30" x14ac:dyDescent="0.2">
      <c r="A341" t="s">
        <v>324</v>
      </c>
      <c r="C341">
        <v>0</v>
      </c>
      <c r="D341" t="s">
        <v>42</v>
      </c>
      <c r="E341">
        <v>2500</v>
      </c>
      <c r="F341" t="s">
        <v>85</v>
      </c>
      <c r="G341" t="s">
        <v>507</v>
      </c>
      <c r="H341" s="3" t="d">
        <v>21:59:59.9999999999968050</v>
      </c>
      <c r="I341" t="s">
        <v>503</v>
      </c>
      <c r="J341" s="1">
        <v>0.55400000000000005</v>
      </c>
      <c r="K341">
        <v>80.5</v>
      </c>
      <c r="L341">
        <v>6.5</v>
      </c>
      <c r="M341">
        <v>3.25</v>
      </c>
      <c r="N341">
        <v>3.38</v>
      </c>
      <c r="O341">
        <v>3</v>
      </c>
      <c r="P341">
        <v>2</v>
      </c>
      <c r="Q341" s="4" t="d">
        <v>13:27:00.00000000000063900</v>
      </c>
      <c r="R341">
        <v>4.5999999999999996</v>
      </c>
      <c r="S341">
        <v>4.6100000000000003</v>
      </c>
      <c r="T341">
        <v>14.53</v>
      </c>
      <c r="U341">
        <v>5.31</v>
      </c>
      <c r="V341">
        <v>5.31</v>
      </c>
      <c r="W341">
        <v>100</v>
      </c>
      <c r="Y341">
        <v>50</v>
      </c>
      <c r="Z341">
        <v>2.1</v>
      </c>
      <c r="AA341">
        <v>0</v>
      </c>
      <c r="AB341" s="4" t="d">
        <v>15:05:59.99999999999872200</v>
      </c>
      <c r="AC341">
        <v>0</v>
      </c>
    </row>
    <row r="342" spans="1:30" x14ac:dyDescent="0.2">
      <c r="A342" t="s">
        <v>313</v>
      </c>
      <c r="C342">
        <v>0</v>
      </c>
      <c r="D342" t="s">
        <v>57</v>
      </c>
      <c r="E342">
        <v>3200</v>
      </c>
      <c r="F342" t="s">
        <v>64</v>
      </c>
      <c r="G342" t="s">
        <v>517</v>
      </c>
      <c r="H342" s="3" t="d">
        <v>21:59:59.9999999999968050</v>
      </c>
      <c r="I342" t="s">
        <v>503</v>
      </c>
      <c r="J342" s="1">
        <v>0.52900000000000003</v>
      </c>
      <c r="K342">
        <v>89</v>
      </c>
      <c r="L342">
        <v>6</v>
      </c>
      <c r="M342">
        <v>3</v>
      </c>
      <c r="N342">
        <v>3.14</v>
      </c>
      <c r="O342">
        <v>3</v>
      </c>
      <c r="Q342" s="4" t="d">
        <v>17:47:00.00000000000277125</v>
      </c>
      <c r="R342">
        <v>6.6</v>
      </c>
      <c r="S342">
        <v>5.36</v>
      </c>
      <c r="T342">
        <v>17.75</v>
      </c>
      <c r="U342">
        <v>7.03</v>
      </c>
      <c r="V342">
        <v>7.03</v>
      </c>
      <c r="W342">
        <v>100</v>
      </c>
      <c r="Y342">
        <v>59</v>
      </c>
      <c r="Z342">
        <v>2.2000000000000002</v>
      </c>
      <c r="AA342">
        <v>0</v>
      </c>
      <c r="AB342" s="4" t="d">
        <v>16:42:59.99999999999722875</v>
      </c>
      <c r="AC342">
        <v>3</v>
      </c>
      <c r="AD342">
        <v>0.9</v>
      </c>
    </row>
    <row r="343" spans="1:30" x14ac:dyDescent="0.2">
      <c r="A343" t="s">
        <v>207</v>
      </c>
      <c r="C343">
        <v>0</v>
      </c>
      <c r="D343" t="s">
        <v>343</v>
      </c>
      <c r="E343">
        <v>3500</v>
      </c>
      <c r="F343" t="s">
        <v>505</v>
      </c>
      <c r="G343" t="s">
        <v>506</v>
      </c>
      <c r="H343" s="3" t="d">
        <v>18:59:59.9999999999968050</v>
      </c>
      <c r="I343" t="s">
        <v>499</v>
      </c>
      <c r="J343" s="1">
        <v>0.61399999999999999</v>
      </c>
      <c r="K343">
        <v>-159</v>
      </c>
      <c r="L343">
        <v>6</v>
      </c>
      <c r="M343">
        <v>3</v>
      </c>
      <c r="N343">
        <v>2.2400000000000002</v>
      </c>
      <c r="O343">
        <v>4</v>
      </c>
      <c r="P343">
        <v>1</v>
      </c>
      <c r="Q343" s="4" t="d">
        <v>14:05:00.00000000000213225</v>
      </c>
      <c r="R343">
        <v>6</v>
      </c>
      <c r="S343">
        <v>6.02</v>
      </c>
      <c r="T343">
        <v>19.260000000000002</v>
      </c>
      <c r="U343">
        <v>7.22</v>
      </c>
      <c r="V343">
        <v>7.22</v>
      </c>
      <c r="W343">
        <v>100</v>
      </c>
      <c r="Y343">
        <v>50</v>
      </c>
      <c r="Z343">
        <v>2.1</v>
      </c>
      <c r="AA343">
        <v>0</v>
      </c>
      <c r="AB343" s="4" t="d">
        <v>13:57:00.00000000000383400</v>
      </c>
      <c r="AC343">
        <v>3</v>
      </c>
      <c r="AD343">
        <v>0.9</v>
      </c>
    </row>
    <row r="344" spans="1:30" x14ac:dyDescent="0.2">
      <c r="A344" t="s">
        <v>169</v>
      </c>
      <c r="C344">
        <v>0</v>
      </c>
      <c r="D344" t="s">
        <v>57</v>
      </c>
      <c r="E344">
        <v>3200</v>
      </c>
      <c r="F344" t="s">
        <v>61</v>
      </c>
      <c r="G344" t="s">
        <v>502</v>
      </c>
      <c r="H344" s="3" t="d">
        <v>18:59:59.9999999999968050</v>
      </c>
      <c r="I344" t="s">
        <v>503</v>
      </c>
      <c r="J344" s="1">
        <v>0.58299999999999996</v>
      </c>
      <c r="K344">
        <v>71.5</v>
      </c>
      <c r="L344">
        <v>6.5</v>
      </c>
      <c r="M344">
        <v>3.2</v>
      </c>
      <c r="N344">
        <v>3.25</v>
      </c>
      <c r="O344">
        <v>1</v>
      </c>
      <c r="Q344" s="4" t="d">
        <v>20:30:59.99999999999658975</v>
      </c>
      <c r="R344">
        <v>7.3</v>
      </c>
      <c r="S344">
        <v>6.85</v>
      </c>
      <c r="T344">
        <v>22.06</v>
      </c>
      <c r="U344">
        <v>8.36</v>
      </c>
      <c r="V344">
        <v>8.36</v>
      </c>
      <c r="W344">
        <v>100</v>
      </c>
      <c r="Y344">
        <v>53</v>
      </c>
      <c r="Z344">
        <v>2.6</v>
      </c>
      <c r="AA344">
        <v>0</v>
      </c>
      <c r="AB344" s="5" t="d">
        <v>PT24H11M0.000S</v>
      </c>
      <c r="AC344">
        <v>4.3</v>
      </c>
      <c r="AD344">
        <v>1.3</v>
      </c>
    </row>
    <row r="345" spans="1:30" x14ac:dyDescent="0.2">
      <c r="A345" t="s">
        <v>155</v>
      </c>
      <c r="C345">
        <v>0</v>
      </c>
      <c r="D345" t="s">
        <v>42</v>
      </c>
      <c r="E345">
        <v>2800</v>
      </c>
      <c r="F345" t="s">
        <v>148</v>
      </c>
      <c r="G345" t="s">
        <v>512</v>
      </c>
      <c r="H345" s="3" t="d">
        <v>18:59:59.9999999999968050</v>
      </c>
      <c r="I345" t="s">
        <v>503</v>
      </c>
      <c r="J345" s="1">
        <v>0.38600000000000001</v>
      </c>
      <c r="K345">
        <v>159</v>
      </c>
      <c r="L345">
        <v>6</v>
      </c>
      <c r="M345">
        <v>2.2400000000000002</v>
      </c>
      <c r="N345">
        <v>3</v>
      </c>
      <c r="O345">
        <v>4</v>
      </c>
      <c r="P345">
        <v>2</v>
      </c>
      <c r="Q345" s="4" t="d">
        <v>13:10:00.00000000000426450</v>
      </c>
      <c r="R345">
        <v>4.7</v>
      </c>
      <c r="S345">
        <v>4.83</v>
      </c>
      <c r="T345">
        <v>13.06</v>
      </c>
      <c r="U345">
        <v>3.4</v>
      </c>
      <c r="V345">
        <v>3.4</v>
      </c>
      <c r="W345">
        <v>100</v>
      </c>
      <c r="Y345">
        <v>49</v>
      </c>
      <c r="Z345">
        <v>1.2</v>
      </c>
      <c r="AA345">
        <v>0</v>
      </c>
      <c r="AB345" s="4" t="d">
        <v>13:31:59.99999999999957625</v>
      </c>
      <c r="AC345">
        <v>5</v>
      </c>
      <c r="AD345">
        <v>1.8</v>
      </c>
    </row>
    <row r="346" spans="1:30" x14ac:dyDescent="0.2">
      <c r="A346" t="s">
        <v>181</v>
      </c>
      <c r="C346">
        <v>0</v>
      </c>
      <c r="D346" t="s">
        <v>343</v>
      </c>
      <c r="E346">
        <v>2500</v>
      </c>
      <c r="F346" t="s">
        <v>509</v>
      </c>
      <c r="G346" t="s">
        <v>510</v>
      </c>
      <c r="H346" s="3" t="d">
        <v>21:59:59.9999999999968050</v>
      </c>
      <c r="I346" t="s">
        <v>499</v>
      </c>
      <c r="J346" s="1">
        <v>0.47199999999999998</v>
      </c>
      <c r="K346">
        <v>-89.5</v>
      </c>
      <c r="L346">
        <v>6</v>
      </c>
      <c r="M346">
        <v>3</v>
      </c>
      <c r="N346">
        <v>2.77</v>
      </c>
      <c r="O346">
        <v>2</v>
      </c>
      <c r="Q346" s="4" t="d">
        <v>12:45:00.000</v>
      </c>
      <c r="R346">
        <v>4.4000000000000004</v>
      </c>
      <c r="S346">
        <v>4.6100000000000003</v>
      </c>
      <c r="T346">
        <v>14.16</v>
      </c>
      <c r="U346">
        <v>4.9400000000000004</v>
      </c>
      <c r="V346">
        <v>4.9400000000000004</v>
      </c>
      <c r="W346">
        <v>100</v>
      </c>
      <c r="Y346">
        <v>48</v>
      </c>
      <c r="Z346">
        <v>2</v>
      </c>
      <c r="AA346">
        <v>0</v>
      </c>
      <c r="AB346" s="4" t="d">
        <v>13:27:00.00000000000063900</v>
      </c>
      <c r="AC346">
        <v>1.5</v>
      </c>
      <c r="AD346">
        <v>0.6</v>
      </c>
    </row>
    <row r="347" spans="1:30" x14ac:dyDescent="0.2">
      <c r="A347" t="s">
        <v>630</v>
      </c>
      <c r="C347">
        <v>0</v>
      </c>
      <c r="D347" t="s">
        <v>42</v>
      </c>
      <c r="E347">
        <v>2500</v>
      </c>
      <c r="F347" t="s">
        <v>74</v>
      </c>
      <c r="G347" t="s">
        <v>514</v>
      </c>
      <c r="H347" s="3" t="d">
        <v>21:59:59.9999999999968050</v>
      </c>
      <c r="I347" t="s">
        <v>499</v>
      </c>
      <c r="J347" s="1">
        <v>0.47099999999999997</v>
      </c>
      <c r="K347">
        <v>-89</v>
      </c>
      <c r="L347">
        <v>6</v>
      </c>
      <c r="M347">
        <v>3.14</v>
      </c>
      <c r="N347">
        <v>3</v>
      </c>
      <c r="Q347" s="4" t="d">
        <v>05:10:00.00000000000106275</v>
      </c>
      <c r="R347">
        <v>1.5</v>
      </c>
      <c r="S347">
        <v>0</v>
      </c>
      <c r="T347">
        <v>0</v>
      </c>
      <c r="U347">
        <v>0</v>
      </c>
      <c r="V347">
        <v>0</v>
      </c>
      <c r="W347">
        <v>100</v>
      </c>
      <c r="Y347">
        <v>0</v>
      </c>
      <c r="Z347">
        <v>0</v>
      </c>
      <c r="AA347">
        <v>0</v>
      </c>
    </row>
    <row r="348" spans="1:30" x14ac:dyDescent="0.2">
      <c r="A348" t="s">
        <v>527</v>
      </c>
      <c r="C348">
        <v>0</v>
      </c>
      <c r="D348" t="s">
        <v>343</v>
      </c>
      <c r="E348">
        <v>2700</v>
      </c>
      <c r="F348" t="s">
        <v>52</v>
      </c>
      <c r="G348" t="s">
        <v>508</v>
      </c>
      <c r="H348" s="3" t="d">
        <v>20:00:00.0000000000031950</v>
      </c>
      <c r="I348" t="s">
        <v>499</v>
      </c>
      <c r="J348" s="1">
        <v>0.48599999999999999</v>
      </c>
      <c r="K348">
        <v>-94.5</v>
      </c>
      <c r="L348">
        <v>5.5</v>
      </c>
      <c r="M348">
        <v>3.07</v>
      </c>
      <c r="N348">
        <v>2.75</v>
      </c>
      <c r="O348">
        <v>3</v>
      </c>
      <c r="Q348" s="4" t="d">
        <v>12:21:59.99999999999531175</v>
      </c>
      <c r="R348">
        <v>2.9</v>
      </c>
      <c r="S348">
        <v>3.31</v>
      </c>
      <c r="T348">
        <v>9.8800000000000008</v>
      </c>
      <c r="U348">
        <v>3.26</v>
      </c>
      <c r="V348">
        <v>3.26</v>
      </c>
      <c r="W348">
        <v>100</v>
      </c>
      <c r="Y348">
        <v>43</v>
      </c>
      <c r="Z348">
        <v>1.2</v>
      </c>
      <c r="AA348">
        <v>0</v>
      </c>
      <c r="AB348" s="4" t="d">
        <v>11:11:00.00000000000085425</v>
      </c>
      <c r="AC348">
        <v>0</v>
      </c>
    </row>
    <row r="349" spans="1:30" x14ac:dyDescent="0.2">
      <c r="A349" t="s">
        <v>588</v>
      </c>
      <c r="C349">
        <v>0</v>
      </c>
      <c r="D349" t="s">
        <v>42</v>
      </c>
      <c r="E349">
        <v>2500</v>
      </c>
      <c r="F349" t="s">
        <v>45</v>
      </c>
      <c r="G349" t="s">
        <v>523</v>
      </c>
      <c r="H349" s="3" t="d">
        <v>20:00:00.0000000000031950</v>
      </c>
      <c r="I349" t="s">
        <v>503</v>
      </c>
      <c r="J349" s="1">
        <v>0.51400000000000001</v>
      </c>
      <c r="K349">
        <v>94.5</v>
      </c>
      <c r="L349">
        <v>5.5</v>
      </c>
      <c r="M349">
        <v>2.75</v>
      </c>
      <c r="N349">
        <v>3.07</v>
      </c>
      <c r="Q349" s="4" t="d">
        <v>13:22:00.00000000000170850</v>
      </c>
      <c r="R349">
        <v>4.3</v>
      </c>
      <c r="S349">
        <v>5.15</v>
      </c>
      <c r="T349">
        <v>0</v>
      </c>
      <c r="U349">
        <v>0</v>
      </c>
      <c r="V349">
        <v>0</v>
      </c>
      <c r="W349">
        <v>100</v>
      </c>
      <c r="Y349">
        <v>40</v>
      </c>
      <c r="Z349">
        <v>0</v>
      </c>
      <c r="AA349">
        <v>0</v>
      </c>
    </row>
    <row r="350" spans="1:30" x14ac:dyDescent="0.2">
      <c r="A350" t="s">
        <v>331</v>
      </c>
      <c r="C350">
        <v>0</v>
      </c>
      <c r="D350" t="s">
        <v>343</v>
      </c>
      <c r="E350">
        <v>2600</v>
      </c>
      <c r="F350" t="s">
        <v>45</v>
      </c>
      <c r="G350" t="s">
        <v>523</v>
      </c>
      <c r="H350" s="3" t="d">
        <v>20:00:00.0000000000031950</v>
      </c>
      <c r="I350" t="s">
        <v>503</v>
      </c>
      <c r="J350" s="1">
        <v>0.51400000000000001</v>
      </c>
      <c r="K350">
        <v>94.5</v>
      </c>
      <c r="L350">
        <v>5.5</v>
      </c>
      <c r="M350">
        <v>2.75</v>
      </c>
      <c r="N350">
        <v>3.07</v>
      </c>
      <c r="O350">
        <v>3</v>
      </c>
      <c r="P350">
        <v>2</v>
      </c>
      <c r="Q350" s="4" t="d">
        <v>14:05:00.00000000000213225</v>
      </c>
      <c r="R350">
        <v>5.2</v>
      </c>
      <c r="S350">
        <v>4.87</v>
      </c>
      <c r="T350">
        <v>15.36</v>
      </c>
      <c r="U350">
        <v>5.62</v>
      </c>
      <c r="V350">
        <v>5.62</v>
      </c>
      <c r="W350">
        <v>100</v>
      </c>
      <c r="Y350">
        <v>53</v>
      </c>
      <c r="Z350">
        <v>2.2000000000000002</v>
      </c>
      <c r="AA350">
        <v>0</v>
      </c>
      <c r="AB350" s="4" t="d">
        <v>15:45:00.000</v>
      </c>
      <c r="AC350">
        <v>4.3</v>
      </c>
      <c r="AD350">
        <v>1.7</v>
      </c>
    </row>
    <row r="351" spans="1:30" x14ac:dyDescent="0.2">
      <c r="A351" t="s">
        <v>34</v>
      </c>
      <c r="C351">
        <v>0</v>
      </c>
      <c r="D351" t="s">
        <v>343</v>
      </c>
      <c r="E351">
        <v>5000</v>
      </c>
      <c r="F351" t="s">
        <v>35</v>
      </c>
      <c r="G351" t="s">
        <v>516</v>
      </c>
      <c r="H351" s="3" t="d">
        <v>21:00:00.000</v>
      </c>
      <c r="I351" t="s">
        <v>503</v>
      </c>
      <c r="J351" s="1">
        <v>0.377</v>
      </c>
      <c r="K351">
        <v>165</v>
      </c>
      <c r="L351">
        <v>6.5</v>
      </c>
      <c r="M351">
        <v>3.25</v>
      </c>
      <c r="N351">
        <v>4.18</v>
      </c>
      <c r="O351">
        <v>2</v>
      </c>
      <c r="P351">
        <v>2</v>
      </c>
      <c r="Q351" s="4" t="d">
        <v>16:23:00.00000000000149325</v>
      </c>
      <c r="R351">
        <v>8.6999999999999993</v>
      </c>
      <c r="S351">
        <v>8.23</v>
      </c>
      <c r="T351">
        <v>27.09</v>
      </c>
      <c r="U351">
        <v>10.63</v>
      </c>
      <c r="V351">
        <v>10.63</v>
      </c>
      <c r="W351">
        <v>100</v>
      </c>
      <c r="Y351">
        <v>53</v>
      </c>
      <c r="Z351">
        <v>2.1</v>
      </c>
      <c r="AA351">
        <v>0</v>
      </c>
      <c r="AB351" s="4" t="d">
        <v>16:03:59.99999999999595075</v>
      </c>
      <c r="AC351">
        <v>45.1</v>
      </c>
      <c r="AD351">
        <v>9</v>
      </c>
    </row>
    <row r="352" spans="1:30" x14ac:dyDescent="0.2">
      <c r="A352" t="s">
        <v>123</v>
      </c>
      <c r="C352">
        <v>0</v>
      </c>
      <c r="D352" t="s">
        <v>42</v>
      </c>
      <c r="E352">
        <v>2700</v>
      </c>
      <c r="F352" t="s">
        <v>48</v>
      </c>
      <c r="G352" t="s">
        <v>498</v>
      </c>
      <c r="H352" s="3" t="d">
        <v>21:00:00.000</v>
      </c>
      <c r="I352" t="s">
        <v>499</v>
      </c>
      <c r="J352" s="1">
        <v>0.623</v>
      </c>
      <c r="K352">
        <v>-165</v>
      </c>
      <c r="L352">
        <v>6.5</v>
      </c>
      <c r="M352">
        <v>4.18</v>
      </c>
      <c r="N352">
        <v>3.25</v>
      </c>
      <c r="O352">
        <v>4</v>
      </c>
      <c r="Q352" s="4" t="d">
        <v>12:21:59.99999999999531175</v>
      </c>
      <c r="R352">
        <v>5.4</v>
      </c>
      <c r="S352">
        <v>6.41</v>
      </c>
      <c r="T352">
        <v>19.920000000000002</v>
      </c>
      <c r="U352">
        <v>7.1</v>
      </c>
      <c r="V352">
        <v>7.1</v>
      </c>
      <c r="W352">
        <v>100</v>
      </c>
      <c r="Y352">
        <v>41</v>
      </c>
      <c r="Z352">
        <v>2.6</v>
      </c>
      <c r="AA352">
        <v>0</v>
      </c>
      <c r="AB352" s="4" t="d">
        <v>14:06:00.00000000000191700</v>
      </c>
      <c r="AC352">
        <v>12.8</v>
      </c>
      <c r="AD352">
        <v>4.7</v>
      </c>
    </row>
    <row r="353" spans="1:30" x14ac:dyDescent="0.2">
      <c r="A353" t="s">
        <v>623</v>
      </c>
      <c r="C353">
        <v>0</v>
      </c>
      <c r="D353" t="s">
        <v>42</v>
      </c>
      <c r="E353">
        <v>2500</v>
      </c>
      <c r="F353" t="s">
        <v>500</v>
      </c>
      <c r="G353" t="s">
        <v>501</v>
      </c>
      <c r="H353" s="3" t="d">
        <v>21:59:59.9999999999968050</v>
      </c>
      <c r="I353" t="s">
        <v>499</v>
      </c>
      <c r="J353" s="1">
        <v>0.44600000000000001</v>
      </c>
      <c r="K353">
        <v>-80.5</v>
      </c>
      <c r="L353">
        <v>6.5</v>
      </c>
      <c r="M353">
        <v>3.38</v>
      </c>
      <c r="N353">
        <v>3.25</v>
      </c>
      <c r="Q353" s="4" t="d">
        <v>08:53:00.00000000000149325</v>
      </c>
      <c r="R353">
        <v>3.5</v>
      </c>
      <c r="S353">
        <v>2.08</v>
      </c>
      <c r="T353">
        <v>0</v>
      </c>
      <c r="U353">
        <v>0</v>
      </c>
      <c r="V353">
        <v>0</v>
      </c>
      <c r="W353">
        <v>100</v>
      </c>
      <c r="Y353">
        <v>70</v>
      </c>
      <c r="Z353">
        <v>0</v>
      </c>
      <c r="AA353">
        <v>0</v>
      </c>
    </row>
    <row r="354" spans="1:30" x14ac:dyDescent="0.2">
      <c r="A354" t="s">
        <v>279</v>
      </c>
      <c r="C354">
        <v>0</v>
      </c>
      <c r="D354" t="s">
        <v>42</v>
      </c>
      <c r="E354">
        <v>2500</v>
      </c>
      <c r="F354" t="s">
        <v>509</v>
      </c>
      <c r="G354" t="s">
        <v>510</v>
      </c>
      <c r="H354" s="3" t="d">
        <v>21:59:59.9999999999968050</v>
      </c>
      <c r="I354" t="s">
        <v>499</v>
      </c>
      <c r="J354" s="1">
        <v>0.47199999999999998</v>
      </c>
      <c r="K354">
        <v>-89.5</v>
      </c>
      <c r="L354">
        <v>6</v>
      </c>
      <c r="M354">
        <v>3</v>
      </c>
      <c r="N354">
        <v>2.77</v>
      </c>
      <c r="O354">
        <v>4</v>
      </c>
      <c r="Q354" s="4" t="d">
        <v>11:58:00.00000000000042375</v>
      </c>
      <c r="R354">
        <v>3.6</v>
      </c>
      <c r="S354">
        <v>4.78</v>
      </c>
      <c r="T354">
        <v>13.52</v>
      </c>
      <c r="U354">
        <v>3.96</v>
      </c>
      <c r="V354">
        <v>3.96</v>
      </c>
      <c r="W354">
        <v>100</v>
      </c>
      <c r="Y354">
        <v>34</v>
      </c>
      <c r="Z354">
        <v>1.6</v>
      </c>
      <c r="AA354">
        <v>0</v>
      </c>
      <c r="AB354" s="4" t="d">
        <v>10:11:59.99999999999904150</v>
      </c>
      <c r="AC354">
        <v>2.8</v>
      </c>
      <c r="AD354">
        <v>1.1000000000000001</v>
      </c>
    </row>
    <row r="355" spans="1:30" x14ac:dyDescent="0.2">
      <c r="A355" t="s">
        <v>44</v>
      </c>
      <c r="C355">
        <v>0</v>
      </c>
      <c r="D355" t="s">
        <v>42</v>
      </c>
      <c r="E355">
        <v>3300</v>
      </c>
      <c r="F355" t="s">
        <v>45</v>
      </c>
      <c r="G355" t="s">
        <v>523</v>
      </c>
      <c r="H355" s="3" t="d">
        <v>20:00:00.0000000000031950</v>
      </c>
      <c r="I355" t="s">
        <v>503</v>
      </c>
      <c r="J355" s="1">
        <v>0.51400000000000001</v>
      </c>
      <c r="K355">
        <v>94.5</v>
      </c>
      <c r="L355">
        <v>5.5</v>
      </c>
      <c r="M355">
        <v>2.75</v>
      </c>
      <c r="N355">
        <v>3.07</v>
      </c>
      <c r="O355">
        <v>2</v>
      </c>
      <c r="P355">
        <v>1</v>
      </c>
      <c r="Q355" s="4" t="d">
        <v>18:02:59.99999999999936100</v>
      </c>
      <c r="R355">
        <v>6.3</v>
      </c>
      <c r="S355">
        <v>4.53</v>
      </c>
      <c r="T355">
        <v>16.079999999999998</v>
      </c>
      <c r="U355">
        <v>7.02</v>
      </c>
      <c r="V355">
        <v>7.02</v>
      </c>
      <c r="W355">
        <v>100</v>
      </c>
      <c r="Y355">
        <v>64</v>
      </c>
      <c r="Z355">
        <v>2.1</v>
      </c>
      <c r="AA355">
        <v>0</v>
      </c>
      <c r="AB355" s="4" t="d">
        <v>19:41:59.999999999997441975</v>
      </c>
      <c r="AC355">
        <v>16.5</v>
      </c>
      <c r="AD355">
        <v>5</v>
      </c>
    </row>
    <row r="356" spans="1:30" x14ac:dyDescent="0.2">
      <c r="A356" t="s">
        <v>130</v>
      </c>
      <c r="C356">
        <v>0</v>
      </c>
      <c r="D356" t="s">
        <v>343</v>
      </c>
      <c r="E356">
        <v>6200</v>
      </c>
      <c r="F356" t="s">
        <v>39</v>
      </c>
      <c r="G356" t="s">
        <v>504</v>
      </c>
      <c r="H356" s="3" t="d">
        <v>18:59:59.9999999999968050</v>
      </c>
      <c r="I356" t="s">
        <v>499</v>
      </c>
      <c r="J356" s="1">
        <v>0.41699999999999998</v>
      </c>
      <c r="K356">
        <v>-71.5</v>
      </c>
      <c r="L356">
        <v>6.5</v>
      </c>
      <c r="M356">
        <v>3.25</v>
      </c>
      <c r="N356">
        <v>3.2</v>
      </c>
      <c r="O356">
        <v>2</v>
      </c>
      <c r="P356">
        <v>1</v>
      </c>
      <c r="Q356" s="4" t="d">
        <v>17:35:59.99999999999552025</v>
      </c>
      <c r="R356">
        <v>10.5</v>
      </c>
      <c r="S356">
        <v>8.8699999999999992</v>
      </c>
      <c r="T356">
        <v>29.88</v>
      </c>
      <c r="U356">
        <v>12.14</v>
      </c>
      <c r="V356">
        <v>12.14</v>
      </c>
      <c r="W356">
        <v>100</v>
      </c>
      <c r="Y356">
        <v>58</v>
      </c>
      <c r="Z356">
        <v>2</v>
      </c>
      <c r="AA356">
        <v>0</v>
      </c>
      <c r="AB356" s="4" t="d">
        <v>17:05:00.00000000000213225</v>
      </c>
      <c r="AC356">
        <v>13</v>
      </c>
      <c r="AD356">
        <v>2.1</v>
      </c>
    </row>
    <row r="357" spans="1:30" x14ac:dyDescent="0.2">
      <c r="A357" t="s">
        <v>65</v>
      </c>
      <c r="C357">
        <v>0</v>
      </c>
      <c r="D357" t="s">
        <v>57</v>
      </c>
      <c r="E357">
        <v>2900</v>
      </c>
      <c r="F357" t="s">
        <v>64</v>
      </c>
      <c r="G357" t="s">
        <v>517</v>
      </c>
      <c r="H357" s="3" t="d">
        <v>21:59:59.9999999999968050</v>
      </c>
      <c r="I357" t="s">
        <v>503</v>
      </c>
      <c r="J357" s="1">
        <v>0.52900000000000003</v>
      </c>
      <c r="K357">
        <v>89</v>
      </c>
      <c r="L357">
        <v>6</v>
      </c>
      <c r="M357">
        <v>3</v>
      </c>
      <c r="N357">
        <v>3.14</v>
      </c>
      <c r="O357">
        <v>2</v>
      </c>
      <c r="P357">
        <v>2</v>
      </c>
      <c r="Q357" s="4" t="d">
        <v>17:46:00.00000000000298650</v>
      </c>
      <c r="R357">
        <v>5.9</v>
      </c>
      <c r="S357">
        <v>5.41</v>
      </c>
      <c r="T357">
        <v>18.829999999999998</v>
      </c>
      <c r="U357">
        <v>8.01</v>
      </c>
      <c r="V357">
        <v>8.01</v>
      </c>
      <c r="W357">
        <v>100</v>
      </c>
      <c r="Y357">
        <v>54</v>
      </c>
      <c r="Z357">
        <v>2.8</v>
      </c>
      <c r="AA357">
        <v>0</v>
      </c>
      <c r="AB357" s="4" t="d">
        <v>20:26:59.999999999997441975</v>
      </c>
      <c r="AC357">
        <v>20.6</v>
      </c>
      <c r="AD357">
        <v>7.1</v>
      </c>
    </row>
    <row r="358" spans="1:30" x14ac:dyDescent="0.2">
      <c r="A358" t="s">
        <v>151</v>
      </c>
      <c r="C358">
        <v>0</v>
      </c>
      <c r="D358" t="s">
        <v>343</v>
      </c>
      <c r="E358">
        <v>3600</v>
      </c>
      <c r="F358" t="s">
        <v>500</v>
      </c>
      <c r="G358" t="s">
        <v>501</v>
      </c>
      <c r="H358" s="3" t="d">
        <v>21:59:59.9999999999968050</v>
      </c>
      <c r="I358" t="s">
        <v>499</v>
      </c>
      <c r="J358" s="1">
        <v>0.44600000000000001</v>
      </c>
      <c r="K358">
        <v>-80.5</v>
      </c>
      <c r="L358">
        <v>6.5</v>
      </c>
      <c r="M358">
        <v>3.38</v>
      </c>
      <c r="N358">
        <v>3.25</v>
      </c>
      <c r="O358">
        <v>2</v>
      </c>
      <c r="P358">
        <v>2</v>
      </c>
      <c r="Q358" s="4" t="d">
        <v>14:08:00.00000000000149325</v>
      </c>
      <c r="R358">
        <v>11.1</v>
      </c>
      <c r="S358">
        <v>11.49</v>
      </c>
      <c r="T358">
        <v>34.76</v>
      </c>
      <c r="U358">
        <v>11.78</v>
      </c>
      <c r="V358">
        <v>11.78</v>
      </c>
      <c r="W358">
        <v>100</v>
      </c>
      <c r="Y358">
        <v>48</v>
      </c>
      <c r="Z358">
        <v>3.3</v>
      </c>
      <c r="AA358">
        <v>0</v>
      </c>
      <c r="AB358" s="4" t="d">
        <v>18:54:59.99999999999786775</v>
      </c>
      <c r="AC358">
        <v>13</v>
      </c>
      <c r="AD358">
        <v>3.6</v>
      </c>
    </row>
    <row r="359" spans="1:30" x14ac:dyDescent="0.2">
      <c r="A359" t="s">
        <v>533</v>
      </c>
      <c r="C359">
        <v>0</v>
      </c>
      <c r="D359" t="s">
        <v>346</v>
      </c>
      <c r="E359">
        <v>7400</v>
      </c>
      <c r="F359" t="s">
        <v>64</v>
      </c>
      <c r="G359" t="s">
        <v>517</v>
      </c>
      <c r="H359" s="3" t="d">
        <v>21:59:59.9999999999968050</v>
      </c>
      <c r="I359" t="s">
        <v>503</v>
      </c>
      <c r="J359" s="1">
        <v>0.52900000000000003</v>
      </c>
      <c r="K359">
        <v>89</v>
      </c>
      <c r="L359">
        <v>6</v>
      </c>
      <c r="M359">
        <v>3</v>
      </c>
      <c r="N359">
        <v>3.14</v>
      </c>
      <c r="O359" t="s">
        <v>528</v>
      </c>
      <c r="Q359" s="5" t="d">
        <v>PT51H35M0.000S</v>
      </c>
      <c r="R359">
        <v>4.9000000000000004</v>
      </c>
      <c r="S359">
        <v>9.67</v>
      </c>
      <c r="T359">
        <v>0</v>
      </c>
      <c r="U359">
        <v>0</v>
      </c>
      <c r="V359">
        <v>0</v>
      </c>
      <c r="W359">
        <v>100</v>
      </c>
      <c r="Y359">
        <v>1</v>
      </c>
      <c r="Z359">
        <v>0</v>
      </c>
      <c r="AA359">
        <v>0</v>
      </c>
    </row>
    <row r="360" spans="1:30" x14ac:dyDescent="0.2">
      <c r="A360" t="s">
        <v>290</v>
      </c>
      <c r="C360">
        <v>0</v>
      </c>
      <c r="D360" t="s">
        <v>57</v>
      </c>
      <c r="E360">
        <v>3200</v>
      </c>
      <c r="F360" t="s">
        <v>45</v>
      </c>
      <c r="G360" t="s">
        <v>523</v>
      </c>
      <c r="H360" s="3" t="d">
        <v>20:00:00.0000000000031950</v>
      </c>
      <c r="I360" t="s">
        <v>503</v>
      </c>
      <c r="J360" s="1">
        <v>0.51400000000000001</v>
      </c>
      <c r="K360">
        <v>94.5</v>
      </c>
      <c r="L360">
        <v>5.5</v>
      </c>
      <c r="M360">
        <v>2.75</v>
      </c>
      <c r="N360">
        <v>3.07</v>
      </c>
      <c r="O360">
        <v>1</v>
      </c>
      <c r="P360">
        <v>2</v>
      </c>
      <c r="Q360" s="4" t="d">
        <v>23:16:59.99999999999957625</v>
      </c>
      <c r="R360">
        <v>6.5</v>
      </c>
      <c r="S360">
        <v>5.66</v>
      </c>
      <c r="T360">
        <v>17.579999999999998</v>
      </c>
      <c r="U360">
        <v>6.26</v>
      </c>
      <c r="V360">
        <v>6.26</v>
      </c>
      <c r="W360">
        <v>100</v>
      </c>
      <c r="Y360">
        <v>56</v>
      </c>
      <c r="Z360">
        <v>2</v>
      </c>
      <c r="AA360">
        <v>0</v>
      </c>
      <c r="AB360" s="4" t="d">
        <v>23:50:00.00000000000213225</v>
      </c>
      <c r="AC360">
        <v>4.5</v>
      </c>
      <c r="AD360">
        <v>1.4</v>
      </c>
    </row>
    <row r="361" spans="1:30" x14ac:dyDescent="0.2">
      <c r="A361" t="s">
        <v>345</v>
      </c>
      <c r="C361">
        <v>0</v>
      </c>
      <c r="D361" t="s">
        <v>346</v>
      </c>
      <c r="E361">
        <v>7800</v>
      </c>
      <c r="F361" t="s">
        <v>74</v>
      </c>
      <c r="G361" t="s">
        <v>514</v>
      </c>
      <c r="H361" s="3" t="d">
        <v>21:59:59.9999999999968050</v>
      </c>
      <c r="I361" t="s">
        <v>499</v>
      </c>
      <c r="J361" s="1">
        <v>0.47099999999999997</v>
      </c>
      <c r="K361">
        <v>-89</v>
      </c>
      <c r="L361">
        <v>6</v>
      </c>
      <c r="M361">
        <v>3.14</v>
      </c>
      <c r="N361">
        <v>3</v>
      </c>
      <c r="O361" t="s">
        <v>511</v>
      </c>
      <c r="Q361" s="5" t="d">
        <v>PT55H24M0.000S</v>
      </c>
      <c r="R361">
        <v>13.9</v>
      </c>
      <c r="S361">
        <v>9.86</v>
      </c>
      <c r="T361">
        <v>32.36</v>
      </c>
      <c r="U361">
        <v>12.64</v>
      </c>
      <c r="V361">
        <v>12.64</v>
      </c>
      <c r="W361">
        <v>100</v>
      </c>
      <c r="Y361">
        <v>65</v>
      </c>
      <c r="Z361">
        <v>1.6</v>
      </c>
      <c r="AA361">
        <v>0</v>
      </c>
      <c r="AB361" s="5" t="d">
        <v>PT58H41M0.000S</v>
      </c>
      <c r="AC361">
        <v>8.4</v>
      </c>
      <c r="AD361">
        <v>1.1000000000000001</v>
      </c>
    </row>
    <row r="362" spans="1:30" x14ac:dyDescent="0.2">
      <c r="A362" t="s">
        <v>621</v>
      </c>
      <c r="C362">
        <v>0</v>
      </c>
      <c r="D362" t="s">
        <v>343</v>
      </c>
      <c r="E362">
        <v>2500</v>
      </c>
      <c r="F362" t="s">
        <v>500</v>
      </c>
      <c r="G362" t="s">
        <v>501</v>
      </c>
      <c r="H362" s="3" t="d">
        <v>21:59:59.9999999999968050</v>
      </c>
      <c r="I362" t="s">
        <v>499</v>
      </c>
      <c r="J362" s="1">
        <v>0.44600000000000001</v>
      </c>
      <c r="K362">
        <v>-80.5</v>
      </c>
      <c r="L362">
        <v>6.5</v>
      </c>
      <c r="M362">
        <v>3.38</v>
      </c>
      <c r="N362">
        <v>3.25</v>
      </c>
      <c r="Q362" s="4" t="d">
        <v>15:58:59.99999999999701350</v>
      </c>
      <c r="R362">
        <v>5.7</v>
      </c>
      <c r="S362">
        <v>6.44</v>
      </c>
      <c r="T362">
        <v>0</v>
      </c>
      <c r="U362">
        <v>0</v>
      </c>
      <c r="V362">
        <v>0</v>
      </c>
      <c r="W362">
        <v>100</v>
      </c>
      <c r="Y362">
        <v>44</v>
      </c>
      <c r="Z362">
        <v>0</v>
      </c>
      <c r="AA362">
        <v>0</v>
      </c>
    </row>
    <row r="363" spans="1:30" x14ac:dyDescent="0.2">
      <c r="A363" t="s">
        <v>421</v>
      </c>
      <c r="C363">
        <v>0</v>
      </c>
      <c r="D363" t="s">
        <v>57</v>
      </c>
      <c r="E363">
        <v>2500</v>
      </c>
      <c r="F363" t="s">
        <v>61</v>
      </c>
      <c r="G363" t="s">
        <v>502</v>
      </c>
      <c r="H363" s="3" t="d">
        <v>18:59:59.9999999999968050</v>
      </c>
      <c r="I363" t="s">
        <v>503</v>
      </c>
      <c r="J363" s="1">
        <v>0.58299999999999996</v>
      </c>
      <c r="K363">
        <v>71.5</v>
      </c>
      <c r="L363">
        <v>6.5</v>
      </c>
      <c r="M363">
        <v>3.2</v>
      </c>
      <c r="N363">
        <v>3.25</v>
      </c>
      <c r="Q363" s="4" t="d">
        <v>14:09:00.00000000000127800</v>
      </c>
      <c r="R363">
        <v>4.5</v>
      </c>
      <c r="S363">
        <v>4</v>
      </c>
      <c r="T363">
        <v>0</v>
      </c>
      <c r="U363">
        <v>0</v>
      </c>
      <c r="V363">
        <v>0</v>
      </c>
      <c r="W363">
        <v>100</v>
      </c>
      <c r="Y363">
        <v>56</v>
      </c>
      <c r="Z363">
        <v>0</v>
      </c>
      <c r="AA363">
        <v>0</v>
      </c>
    </row>
    <row r="364" spans="1:30" x14ac:dyDescent="0.2">
      <c r="A364" t="s">
        <v>561</v>
      </c>
      <c r="C364">
        <v>0</v>
      </c>
      <c r="D364" t="s">
        <v>42</v>
      </c>
      <c r="E364">
        <v>2800</v>
      </c>
      <c r="F364" t="s">
        <v>56</v>
      </c>
      <c r="G364" t="s">
        <v>513</v>
      </c>
      <c r="H364" s="3" t="d">
        <v>21:00:00.000</v>
      </c>
      <c r="I364" t="s">
        <v>499</v>
      </c>
      <c r="J364" s="1">
        <v>0.45900000000000002</v>
      </c>
      <c r="K364">
        <v>-85</v>
      </c>
      <c r="L364">
        <v>6</v>
      </c>
      <c r="M364">
        <v>3</v>
      </c>
      <c r="N364">
        <v>2.8</v>
      </c>
      <c r="Q364" s="4" t="d">
        <v>15:42:00.00000000000063900</v>
      </c>
      <c r="R364">
        <v>4.0999999999999996</v>
      </c>
      <c r="S364">
        <v>3.88</v>
      </c>
      <c r="T364">
        <v>0</v>
      </c>
      <c r="U364">
        <v>0</v>
      </c>
      <c r="V364">
        <v>0</v>
      </c>
      <c r="W364">
        <v>100</v>
      </c>
      <c r="Y364">
        <v>53</v>
      </c>
      <c r="Z364">
        <v>0</v>
      </c>
      <c r="AA364">
        <v>0</v>
      </c>
    </row>
    <row r="365" spans="1:30" x14ac:dyDescent="0.2">
      <c r="A365" t="s">
        <v>431</v>
      </c>
      <c r="C365">
        <v>0</v>
      </c>
      <c r="D365" t="s">
        <v>57</v>
      </c>
      <c r="E365">
        <v>2500</v>
      </c>
      <c r="F365" t="s">
        <v>59</v>
      </c>
      <c r="G365" t="s">
        <v>521</v>
      </c>
      <c r="H365" s="3" t="d">
        <v>21:59:59.9999999999968050</v>
      </c>
      <c r="I365" t="s">
        <v>503</v>
      </c>
      <c r="J365" s="1">
        <v>0.52800000000000002</v>
      </c>
      <c r="K365">
        <v>89.5</v>
      </c>
      <c r="L365">
        <v>6</v>
      </c>
      <c r="M365">
        <v>2.77</v>
      </c>
      <c r="N365">
        <v>3</v>
      </c>
      <c r="T365">
        <v>0</v>
      </c>
      <c r="U365">
        <v>0</v>
      </c>
      <c r="V365">
        <v>0</v>
      </c>
      <c r="W365">
        <v>100</v>
      </c>
      <c r="Y365">
        <v>0</v>
      </c>
      <c r="Z365">
        <v>0</v>
      </c>
      <c r="AA365">
        <v>0</v>
      </c>
    </row>
    <row r="366" spans="1:30" x14ac:dyDescent="0.2">
      <c r="A366" t="s">
        <v>587</v>
      </c>
      <c r="C366">
        <v>0</v>
      </c>
      <c r="D366" t="s">
        <v>343</v>
      </c>
      <c r="E366">
        <v>2500</v>
      </c>
      <c r="F366" t="s">
        <v>45</v>
      </c>
      <c r="G366" t="s">
        <v>523</v>
      </c>
      <c r="H366" s="3" t="d">
        <v>20:00:00.0000000000031950</v>
      </c>
      <c r="I366" t="s">
        <v>503</v>
      </c>
      <c r="J366" s="1">
        <v>0.51400000000000001</v>
      </c>
      <c r="K366">
        <v>94.5</v>
      </c>
      <c r="L366">
        <v>5.5</v>
      </c>
      <c r="M366">
        <v>2.75</v>
      </c>
      <c r="N366">
        <v>3.07</v>
      </c>
      <c r="Q366" s="4" t="d">
        <v>16:18:00.00000000000255600</v>
      </c>
      <c r="R366">
        <v>5.7</v>
      </c>
      <c r="S366">
        <v>5.42</v>
      </c>
      <c r="T366">
        <v>0</v>
      </c>
      <c r="U366">
        <v>0</v>
      </c>
      <c r="V366">
        <v>0</v>
      </c>
      <c r="W366">
        <v>100</v>
      </c>
      <c r="Y366">
        <v>52</v>
      </c>
      <c r="Z366">
        <v>0</v>
      </c>
      <c r="AA366">
        <v>0</v>
      </c>
    </row>
    <row r="367" spans="1:30" x14ac:dyDescent="0.2">
      <c r="A367" t="s">
        <v>275</v>
      </c>
      <c r="C367">
        <v>0</v>
      </c>
      <c r="D367" t="s">
        <v>343</v>
      </c>
      <c r="E367">
        <v>2700</v>
      </c>
      <c r="F367" t="s">
        <v>505</v>
      </c>
      <c r="G367" t="s">
        <v>506</v>
      </c>
      <c r="H367" s="3" t="d">
        <v>18:59:59.9999999999968050</v>
      </c>
      <c r="I367" t="s">
        <v>499</v>
      </c>
      <c r="J367" s="1">
        <v>0.61399999999999999</v>
      </c>
      <c r="K367">
        <v>-159</v>
      </c>
      <c r="L367">
        <v>6</v>
      </c>
      <c r="M367">
        <v>3</v>
      </c>
      <c r="N367">
        <v>2.2400000000000002</v>
      </c>
      <c r="O367">
        <v>3</v>
      </c>
      <c r="Q367" s="4" t="d">
        <v>13:21:00.00000000000191700</v>
      </c>
      <c r="R367">
        <v>5.0999999999999996</v>
      </c>
      <c r="S367">
        <v>4.79</v>
      </c>
      <c r="T367">
        <v>15.41</v>
      </c>
      <c r="U367">
        <v>5.83</v>
      </c>
      <c r="V367">
        <v>5.83</v>
      </c>
      <c r="W367">
        <v>100</v>
      </c>
      <c r="Y367">
        <v>53</v>
      </c>
      <c r="Z367">
        <v>2.2000000000000002</v>
      </c>
      <c r="AA367">
        <v>0</v>
      </c>
      <c r="AB367" s="4" t="d">
        <v>14:46:00.00000000000298650</v>
      </c>
      <c r="AC367">
        <v>4.3</v>
      </c>
      <c r="AD367">
        <v>1.6</v>
      </c>
    </row>
    <row r="368" spans="1:30" x14ac:dyDescent="0.2">
      <c r="A368" t="s">
        <v>197</v>
      </c>
      <c r="C368">
        <v>0</v>
      </c>
      <c r="D368" t="s">
        <v>42</v>
      </c>
      <c r="E368">
        <v>2500</v>
      </c>
      <c r="F368" t="s">
        <v>52</v>
      </c>
      <c r="G368" t="s">
        <v>508</v>
      </c>
      <c r="H368" s="3" t="d">
        <v>20:00:00.0000000000031950</v>
      </c>
      <c r="I368" t="s">
        <v>499</v>
      </c>
      <c r="J368" s="1">
        <v>0.48599999999999999</v>
      </c>
      <c r="K368">
        <v>-94.5</v>
      </c>
      <c r="L368">
        <v>5.5</v>
      </c>
      <c r="M368">
        <v>3.07</v>
      </c>
      <c r="N368">
        <v>2.75</v>
      </c>
      <c r="O368">
        <v>4</v>
      </c>
      <c r="Q368" s="4" t="d">
        <v>11:42:59.99999999999882625</v>
      </c>
      <c r="R368">
        <v>3.8</v>
      </c>
      <c r="S368">
        <v>4.3</v>
      </c>
      <c r="T368">
        <v>12.95</v>
      </c>
      <c r="U368">
        <v>4.3499999999999996</v>
      </c>
      <c r="V368">
        <v>4.3499999999999996</v>
      </c>
      <c r="W368">
        <v>100</v>
      </c>
      <c r="Y368">
        <v>43</v>
      </c>
      <c r="Z368">
        <v>1.7</v>
      </c>
      <c r="AA368">
        <v>0</v>
      </c>
      <c r="AB368" s="4" t="d">
        <v>12:11:59.999999999997441975</v>
      </c>
      <c r="AC368">
        <v>1.3</v>
      </c>
      <c r="AD368">
        <v>0.5</v>
      </c>
    </row>
    <row r="369" spans="1:30" x14ac:dyDescent="0.2">
      <c r="A369" t="s">
        <v>174</v>
      </c>
      <c r="C369">
        <v>0</v>
      </c>
      <c r="D369" t="s">
        <v>57</v>
      </c>
      <c r="E369">
        <v>2800</v>
      </c>
      <c r="F369" t="s">
        <v>64</v>
      </c>
      <c r="G369" t="s">
        <v>517</v>
      </c>
      <c r="H369" s="3" t="d">
        <v>21:59:59.9999999999968050</v>
      </c>
      <c r="I369" t="s">
        <v>503</v>
      </c>
      <c r="J369" s="1">
        <v>0.52900000000000003</v>
      </c>
      <c r="K369">
        <v>89</v>
      </c>
      <c r="L369">
        <v>6</v>
      </c>
      <c r="M369">
        <v>3</v>
      </c>
      <c r="N369">
        <v>3.14</v>
      </c>
      <c r="O369">
        <v>3</v>
      </c>
      <c r="Q369" s="4" t="d">
        <v>16:53:00.000000000004689600</v>
      </c>
      <c r="R369">
        <v>6.2</v>
      </c>
      <c r="S369">
        <v>4.21</v>
      </c>
      <c r="T369">
        <v>15.52</v>
      </c>
      <c r="U369">
        <v>7.1</v>
      </c>
      <c r="V369">
        <v>7.1</v>
      </c>
      <c r="W369">
        <v>100</v>
      </c>
      <c r="Y369">
        <v>66</v>
      </c>
      <c r="Z369">
        <v>2.5</v>
      </c>
      <c r="AA369">
        <v>0</v>
      </c>
      <c r="AB369" s="4" t="d">
        <v>16:10:00.00000000000426450</v>
      </c>
      <c r="AC369">
        <v>1.5</v>
      </c>
      <c r="AD369">
        <v>0.5</v>
      </c>
    </row>
    <row r="370" spans="1:30" x14ac:dyDescent="0.2">
      <c r="A370" t="s">
        <v>101</v>
      </c>
      <c r="C370">
        <v>0</v>
      </c>
      <c r="D370" t="s">
        <v>57</v>
      </c>
      <c r="E370">
        <v>5500</v>
      </c>
      <c r="F370" t="s">
        <v>39</v>
      </c>
      <c r="G370" t="s">
        <v>504</v>
      </c>
      <c r="H370" s="3" t="d">
        <v>18:59:59.9999999999968050</v>
      </c>
      <c r="I370" t="s">
        <v>499</v>
      </c>
      <c r="J370" s="1">
        <v>0.41699999999999998</v>
      </c>
      <c r="K370">
        <v>-71.5</v>
      </c>
      <c r="L370">
        <v>6.5</v>
      </c>
      <c r="M370">
        <v>3.25</v>
      </c>
      <c r="N370">
        <v>3.2</v>
      </c>
      <c r="Q370" s="5" t="d">
        <v>PT24H10M0.000S</v>
      </c>
      <c r="R370">
        <v>11.3</v>
      </c>
      <c r="S370">
        <v>7.78</v>
      </c>
      <c r="T370">
        <v>0</v>
      </c>
      <c r="U370">
        <v>0</v>
      </c>
      <c r="V370">
        <v>0</v>
      </c>
      <c r="W370">
        <v>100</v>
      </c>
      <c r="Y370">
        <v>66</v>
      </c>
      <c r="Z370">
        <v>0</v>
      </c>
      <c r="AA370">
        <v>0</v>
      </c>
      <c r="AB370" s="4" t="d">
        <v>21:33:00.00000000000255600</v>
      </c>
      <c r="AC370">
        <v>14.9</v>
      </c>
      <c r="AD370">
        <v>2.7</v>
      </c>
    </row>
    <row r="371" spans="1:30" x14ac:dyDescent="0.2">
      <c r="A371" t="s">
        <v>553</v>
      </c>
      <c r="C371">
        <v>0</v>
      </c>
      <c r="D371" t="s">
        <v>57</v>
      </c>
      <c r="E371">
        <v>3600</v>
      </c>
      <c r="F371" t="s">
        <v>35</v>
      </c>
      <c r="G371" t="s">
        <v>516</v>
      </c>
      <c r="H371" s="3" t="d">
        <v>21:00:00.000</v>
      </c>
      <c r="I371" t="s">
        <v>503</v>
      </c>
      <c r="J371" s="1">
        <v>0.377</v>
      </c>
      <c r="K371">
        <v>165</v>
      </c>
      <c r="L371">
        <v>6.5</v>
      </c>
      <c r="M371">
        <v>3.25</v>
      </c>
      <c r="N371">
        <v>4.18</v>
      </c>
      <c r="Q371" s="4" t="d">
        <v>20:56:00.00000000000085425</v>
      </c>
      <c r="R371">
        <v>6.6</v>
      </c>
      <c r="S371">
        <v>3.99</v>
      </c>
      <c r="T371">
        <v>0</v>
      </c>
      <c r="U371">
        <v>0</v>
      </c>
      <c r="V371">
        <v>0</v>
      </c>
      <c r="W371">
        <v>100</v>
      </c>
      <c r="Y371">
        <v>70</v>
      </c>
      <c r="Z371">
        <v>0</v>
      </c>
      <c r="AA371">
        <v>0</v>
      </c>
    </row>
    <row r="372" spans="1:30" x14ac:dyDescent="0.2">
      <c r="A372" t="s">
        <v>272</v>
      </c>
      <c r="C372">
        <v>0</v>
      </c>
      <c r="D372" t="s">
        <v>57</v>
      </c>
      <c r="E372">
        <v>2800</v>
      </c>
      <c r="F372" t="s">
        <v>56</v>
      </c>
      <c r="G372" t="s">
        <v>513</v>
      </c>
      <c r="H372" s="3" t="d">
        <v>21:00:00.000</v>
      </c>
      <c r="I372" t="s">
        <v>499</v>
      </c>
      <c r="J372" s="1">
        <v>0.45900000000000002</v>
      </c>
      <c r="K372">
        <v>-85</v>
      </c>
      <c r="L372">
        <v>6</v>
      </c>
      <c r="M372">
        <v>3</v>
      </c>
      <c r="N372">
        <v>2.8</v>
      </c>
      <c r="O372">
        <v>3</v>
      </c>
      <c r="Q372" s="4" t="d">
        <v>19:16:00.00000000000298650</v>
      </c>
      <c r="R372">
        <v>6.8</v>
      </c>
      <c r="S372">
        <v>6.42</v>
      </c>
      <c r="T372">
        <v>20.51</v>
      </c>
      <c r="U372">
        <v>7.67</v>
      </c>
      <c r="V372">
        <v>7.67</v>
      </c>
      <c r="W372">
        <v>100</v>
      </c>
      <c r="Y372">
        <v>53</v>
      </c>
      <c r="Z372">
        <v>2.7</v>
      </c>
      <c r="AA372">
        <v>0</v>
      </c>
      <c r="AB372" s="4" t="d">
        <v>19:37:59.99999999999829150</v>
      </c>
      <c r="AC372">
        <v>9.6999999999999993</v>
      </c>
      <c r="AD372">
        <v>3.5</v>
      </c>
    </row>
    <row r="373" spans="1:30" x14ac:dyDescent="0.2">
      <c r="A373" t="s">
        <v>79</v>
      </c>
      <c r="C373">
        <v>0</v>
      </c>
      <c r="D373" t="s">
        <v>343</v>
      </c>
      <c r="E373">
        <v>3000</v>
      </c>
      <c r="F373" t="s">
        <v>39</v>
      </c>
      <c r="G373" t="s">
        <v>504</v>
      </c>
      <c r="H373" s="3" t="d">
        <v>18:59:59.9999999999968050</v>
      </c>
      <c r="I373" t="s">
        <v>499</v>
      </c>
      <c r="J373" s="1">
        <v>0.41699999999999998</v>
      </c>
      <c r="K373">
        <v>-71.5</v>
      </c>
      <c r="L373">
        <v>6.5</v>
      </c>
      <c r="M373">
        <v>3.25</v>
      </c>
      <c r="N373">
        <v>3.2</v>
      </c>
      <c r="O373">
        <v>2</v>
      </c>
      <c r="Q373" s="4" t="d">
        <v>13:55:00.00000000000426450</v>
      </c>
      <c r="R373">
        <v>4.3</v>
      </c>
      <c r="S373">
        <v>4.95</v>
      </c>
      <c r="T373">
        <v>15.6</v>
      </c>
      <c r="U373">
        <v>5.7</v>
      </c>
      <c r="V373">
        <v>5.7</v>
      </c>
      <c r="W373">
        <v>100</v>
      </c>
      <c r="Y373">
        <v>42</v>
      </c>
      <c r="Z373">
        <v>1.9</v>
      </c>
      <c r="AA373">
        <v>0</v>
      </c>
      <c r="AB373" s="4" t="d">
        <v>14:23:59.99999999999808300</v>
      </c>
      <c r="AC373">
        <v>6.5</v>
      </c>
      <c r="AD373">
        <v>2.2000000000000002</v>
      </c>
    </row>
    <row r="374" spans="1:30" x14ac:dyDescent="0.2">
      <c r="A374" t="s">
        <v>221</v>
      </c>
      <c r="C374">
        <v>0</v>
      </c>
      <c r="D374" t="s">
        <v>343</v>
      </c>
      <c r="E374">
        <v>2500</v>
      </c>
      <c r="F374" t="s">
        <v>45</v>
      </c>
      <c r="G374" t="s">
        <v>523</v>
      </c>
      <c r="H374" s="3" t="d">
        <v>20:00:00.0000000000031950</v>
      </c>
      <c r="I374" t="s">
        <v>503</v>
      </c>
      <c r="J374" s="1">
        <v>0.51400000000000001</v>
      </c>
      <c r="K374">
        <v>94.5</v>
      </c>
      <c r="L374">
        <v>5.5</v>
      </c>
      <c r="M374">
        <v>2.75</v>
      </c>
      <c r="N374">
        <v>3.07</v>
      </c>
      <c r="O374">
        <v>4</v>
      </c>
      <c r="Q374" s="4" t="d">
        <v>12:38:00.00000000000149325</v>
      </c>
      <c r="R374">
        <v>4.5999999999999996</v>
      </c>
      <c r="S374">
        <v>3.54</v>
      </c>
      <c r="T374">
        <v>12.7</v>
      </c>
      <c r="U374">
        <v>5.62</v>
      </c>
      <c r="V374">
        <v>5.62</v>
      </c>
      <c r="W374">
        <v>100</v>
      </c>
      <c r="Y374">
        <v>62</v>
      </c>
      <c r="Z374">
        <v>2.2000000000000002</v>
      </c>
      <c r="AA374">
        <v>0</v>
      </c>
      <c r="AB374" s="4" t="d">
        <v>12:00:00.000</v>
      </c>
      <c r="AC374">
        <v>1.3</v>
      </c>
      <c r="AD374">
        <v>0.5</v>
      </c>
    </row>
    <row r="375" spans="1:30" x14ac:dyDescent="0.2">
      <c r="A375" t="s">
        <v>544</v>
      </c>
      <c r="C375">
        <v>0</v>
      </c>
      <c r="D375" t="s">
        <v>42</v>
      </c>
      <c r="E375">
        <v>5300</v>
      </c>
      <c r="F375" t="s">
        <v>45</v>
      </c>
      <c r="G375" t="s">
        <v>523</v>
      </c>
      <c r="H375" s="3" t="d">
        <v>20:00:00.0000000000031950</v>
      </c>
      <c r="I375" t="s">
        <v>503</v>
      </c>
      <c r="J375" s="1">
        <v>0.51400000000000001</v>
      </c>
      <c r="K375">
        <v>94.5</v>
      </c>
      <c r="L375">
        <v>5.5</v>
      </c>
      <c r="M375">
        <v>2.75</v>
      </c>
      <c r="N375">
        <v>3.07</v>
      </c>
      <c r="Q375" s="4" t="d">
        <v>18:44:00.00000000000021525</v>
      </c>
      <c r="R375">
        <v>8.6</v>
      </c>
      <c r="S375">
        <v>7.1</v>
      </c>
      <c r="T375">
        <v>0</v>
      </c>
      <c r="U375">
        <v>0</v>
      </c>
      <c r="V375">
        <v>0</v>
      </c>
      <c r="W375">
        <v>100</v>
      </c>
      <c r="Y375">
        <v>59</v>
      </c>
      <c r="Z375">
        <v>0</v>
      </c>
      <c r="AA375">
        <v>0</v>
      </c>
    </row>
    <row r="376" spans="1:30" x14ac:dyDescent="0.2">
      <c r="A376" t="s">
        <v>595</v>
      </c>
      <c r="C376">
        <v>0</v>
      </c>
      <c r="D376" t="s">
        <v>42</v>
      </c>
      <c r="E376">
        <v>2500</v>
      </c>
      <c r="F376" t="s">
        <v>35</v>
      </c>
      <c r="G376" t="s">
        <v>516</v>
      </c>
      <c r="H376" s="3" t="d">
        <v>21:00:00.000</v>
      </c>
      <c r="I376" t="s">
        <v>503</v>
      </c>
      <c r="J376" s="1">
        <v>0.377</v>
      </c>
      <c r="K376">
        <v>165</v>
      </c>
      <c r="L376">
        <v>6.5</v>
      </c>
      <c r="M376">
        <v>3.25</v>
      </c>
      <c r="N376">
        <v>4.18</v>
      </c>
      <c r="Q376" s="4" t="d">
        <v>10:29:00.00000000000021525</v>
      </c>
      <c r="R376">
        <v>3.6</v>
      </c>
      <c r="S376">
        <v>3.78</v>
      </c>
      <c r="T376">
        <v>0</v>
      </c>
      <c r="U376">
        <v>0</v>
      </c>
      <c r="V376">
        <v>0</v>
      </c>
      <c r="W376">
        <v>100</v>
      </c>
      <c r="Y376">
        <v>48</v>
      </c>
      <c r="Z376">
        <v>0</v>
      </c>
      <c r="AA376">
        <v>0</v>
      </c>
    </row>
    <row r="377" spans="1:30" x14ac:dyDescent="0.2">
      <c r="A377" t="s">
        <v>51</v>
      </c>
      <c r="C377">
        <v>0</v>
      </c>
      <c r="D377" t="s">
        <v>42</v>
      </c>
      <c r="E377">
        <v>5500</v>
      </c>
      <c r="F377" t="s">
        <v>52</v>
      </c>
      <c r="G377" t="s">
        <v>508</v>
      </c>
      <c r="H377" s="3" t="d">
        <v>20:00:00.0000000000031950</v>
      </c>
      <c r="I377" t="s">
        <v>499</v>
      </c>
      <c r="J377" s="1">
        <v>0.48599999999999999</v>
      </c>
      <c r="K377">
        <v>-94.5</v>
      </c>
      <c r="L377">
        <v>5.5</v>
      </c>
      <c r="M377">
        <v>3.07</v>
      </c>
      <c r="N377">
        <v>2.75</v>
      </c>
      <c r="O377">
        <v>1</v>
      </c>
      <c r="P377">
        <v>1</v>
      </c>
      <c r="Q377" s="4" t="d">
        <v>17:29:59.9999999999968050</v>
      </c>
      <c r="R377">
        <v>9.5</v>
      </c>
      <c r="S377">
        <v>7.18</v>
      </c>
      <c r="T377">
        <v>24.15</v>
      </c>
      <c r="U377">
        <v>9.7899999999999991</v>
      </c>
      <c r="V377">
        <v>9.7899999999999991</v>
      </c>
      <c r="W377">
        <v>100</v>
      </c>
      <c r="Y377">
        <v>62</v>
      </c>
      <c r="Z377">
        <v>1.8</v>
      </c>
      <c r="AA377">
        <v>0</v>
      </c>
      <c r="AB377" s="4" t="d">
        <v>20:12:00.00000000000063900</v>
      </c>
      <c r="AC377">
        <v>12.8</v>
      </c>
      <c r="AD377">
        <v>2.2999999999999998</v>
      </c>
    </row>
    <row r="378" spans="1:30" x14ac:dyDescent="0.2">
      <c r="A378" t="s">
        <v>605</v>
      </c>
      <c r="C378">
        <v>0</v>
      </c>
      <c r="D378" t="s">
        <v>42</v>
      </c>
      <c r="E378">
        <v>2500</v>
      </c>
      <c r="F378" t="s">
        <v>117</v>
      </c>
      <c r="G378" t="s">
        <v>518</v>
      </c>
      <c r="H378" s="3" t="d">
        <v>21:00:00.000</v>
      </c>
      <c r="I378" t="s">
        <v>503</v>
      </c>
      <c r="J378" s="1">
        <v>0.54100000000000004</v>
      </c>
      <c r="K378">
        <v>85</v>
      </c>
      <c r="L378">
        <v>6</v>
      </c>
      <c r="M378">
        <v>2.8</v>
      </c>
      <c r="N378">
        <v>3</v>
      </c>
      <c r="Q378" s="4" t="d">
        <v>13:54:00.00000000000447975</v>
      </c>
      <c r="R378">
        <v>3.7</v>
      </c>
      <c r="S378">
        <v>1.46</v>
      </c>
      <c r="T378">
        <v>0</v>
      </c>
      <c r="U378">
        <v>0</v>
      </c>
      <c r="V378">
        <v>0</v>
      </c>
      <c r="W378">
        <v>100</v>
      </c>
      <c r="Y378">
        <v>80</v>
      </c>
      <c r="Z378">
        <v>0</v>
      </c>
      <c r="AA378">
        <v>0</v>
      </c>
    </row>
    <row r="379" spans="1:30" x14ac:dyDescent="0.2">
      <c r="A379" t="s">
        <v>375</v>
      </c>
      <c r="C379">
        <v>0</v>
      </c>
      <c r="D379" t="s">
        <v>343</v>
      </c>
      <c r="E379">
        <v>4100</v>
      </c>
      <c r="F379" t="s">
        <v>48</v>
      </c>
      <c r="G379" t="s">
        <v>498</v>
      </c>
      <c r="H379" s="3" t="d">
        <v>21:00:00.000</v>
      </c>
      <c r="I379" t="s">
        <v>499</v>
      </c>
      <c r="J379" s="1">
        <v>0.623</v>
      </c>
      <c r="K379">
        <v>-165</v>
      </c>
      <c r="L379">
        <v>6.5</v>
      </c>
      <c r="M379">
        <v>4.18</v>
      </c>
      <c r="N379">
        <v>3.25</v>
      </c>
      <c r="O379">
        <v>3</v>
      </c>
      <c r="P379">
        <v>2</v>
      </c>
      <c r="Q379" s="4" t="d">
        <v>12:55:59.9999999999976525</v>
      </c>
      <c r="R379">
        <v>7.1</v>
      </c>
      <c r="S379">
        <v>5.55</v>
      </c>
      <c r="T379">
        <v>22.84</v>
      </c>
      <c r="U379">
        <v>11.74</v>
      </c>
      <c r="V379">
        <v>11.74</v>
      </c>
      <c r="W379">
        <v>100</v>
      </c>
      <c r="Y379">
        <v>61</v>
      </c>
      <c r="Z379">
        <v>2.9</v>
      </c>
      <c r="AA379">
        <v>0</v>
      </c>
    </row>
    <row r="380" spans="1:30" x14ac:dyDescent="0.2">
      <c r="A380" t="s">
        <v>217</v>
      </c>
      <c r="C380">
        <v>0</v>
      </c>
      <c r="D380" t="s">
        <v>343</v>
      </c>
      <c r="E380">
        <v>2500</v>
      </c>
      <c r="F380" t="s">
        <v>64</v>
      </c>
      <c r="G380" t="s">
        <v>517</v>
      </c>
      <c r="H380" s="3" t="d">
        <v>21:59:59.9999999999968050</v>
      </c>
      <c r="I380" t="s">
        <v>503</v>
      </c>
      <c r="J380" s="1">
        <v>0.52900000000000003</v>
      </c>
      <c r="K380">
        <v>89</v>
      </c>
      <c r="L380">
        <v>6</v>
      </c>
      <c r="M380">
        <v>3</v>
      </c>
      <c r="N380">
        <v>3.14</v>
      </c>
      <c r="O380">
        <v>4</v>
      </c>
      <c r="Q380" s="4" t="d">
        <v>09:41:00.00000000000085425</v>
      </c>
      <c r="R380">
        <v>2.6</v>
      </c>
      <c r="S380">
        <v>4.13</v>
      </c>
      <c r="T380">
        <v>11.41</v>
      </c>
      <c r="U380">
        <v>3.15</v>
      </c>
      <c r="V380">
        <v>3.15</v>
      </c>
      <c r="W380">
        <v>100</v>
      </c>
      <c r="Y380">
        <v>21</v>
      </c>
      <c r="Z380">
        <v>1.3</v>
      </c>
      <c r="AA380">
        <v>0</v>
      </c>
      <c r="AB380" s="4" t="d">
        <v>12:46:59.99999999999957625</v>
      </c>
      <c r="AC380">
        <v>0</v>
      </c>
    </row>
    <row r="381" spans="1:30" x14ac:dyDescent="0.2">
      <c r="A381" t="s">
        <v>223</v>
      </c>
      <c r="C381">
        <v>0</v>
      </c>
      <c r="D381" t="s">
        <v>343</v>
      </c>
      <c r="E381">
        <v>3000</v>
      </c>
      <c r="F381" t="s">
        <v>148</v>
      </c>
      <c r="G381" t="s">
        <v>512</v>
      </c>
      <c r="H381" s="3" t="d">
        <v>18:59:59.9999999999968050</v>
      </c>
      <c r="I381" t="s">
        <v>503</v>
      </c>
      <c r="J381" s="1">
        <v>0.38600000000000001</v>
      </c>
      <c r="K381">
        <v>159</v>
      </c>
      <c r="L381">
        <v>6</v>
      </c>
      <c r="M381">
        <v>2.2400000000000002</v>
      </c>
      <c r="N381">
        <v>3</v>
      </c>
      <c r="O381">
        <v>4</v>
      </c>
      <c r="Q381" s="4" t="d">
        <v>15:13:59.99999999999701350</v>
      </c>
      <c r="R381">
        <v>5.5</v>
      </c>
      <c r="S381">
        <v>5.48</v>
      </c>
      <c r="T381">
        <v>14.75</v>
      </c>
      <c r="U381">
        <v>3.79</v>
      </c>
      <c r="V381">
        <v>3.79</v>
      </c>
      <c r="W381">
        <v>100</v>
      </c>
      <c r="Y381">
        <v>50</v>
      </c>
      <c r="Z381">
        <v>1.3</v>
      </c>
      <c r="AA381">
        <v>0</v>
      </c>
      <c r="AB381" s="4" t="d">
        <v>12:08:59.99999999999808300</v>
      </c>
      <c r="AC381">
        <v>0</v>
      </c>
    </row>
    <row r="382" spans="1:30" x14ac:dyDescent="0.2">
      <c r="A382" t="s">
        <v>578</v>
      </c>
      <c r="C382">
        <v>0</v>
      </c>
      <c r="D382" t="s">
        <v>57</v>
      </c>
      <c r="E382">
        <v>2500</v>
      </c>
      <c r="F382" t="s">
        <v>148</v>
      </c>
      <c r="G382" t="s">
        <v>512</v>
      </c>
      <c r="H382" s="3" t="d">
        <v>18:59:59.9999999999968050</v>
      </c>
      <c r="I382" t="s">
        <v>503</v>
      </c>
      <c r="J382" s="1">
        <v>0.38600000000000001</v>
      </c>
      <c r="K382">
        <v>159</v>
      </c>
      <c r="L382">
        <v>6</v>
      </c>
      <c r="M382">
        <v>2.2400000000000002</v>
      </c>
      <c r="N382">
        <v>3</v>
      </c>
      <c r="T382">
        <v>0</v>
      </c>
      <c r="U382">
        <v>0</v>
      </c>
      <c r="V382">
        <v>0</v>
      </c>
      <c r="W382">
        <v>100</v>
      </c>
      <c r="Y382">
        <v>0</v>
      </c>
      <c r="Z382">
        <v>0</v>
      </c>
      <c r="AA382">
        <v>0</v>
      </c>
    </row>
    <row r="383" spans="1:30" x14ac:dyDescent="0.2">
      <c r="A383" t="s">
        <v>147</v>
      </c>
      <c r="C383">
        <v>0</v>
      </c>
      <c r="D383" t="s">
        <v>343</v>
      </c>
      <c r="E383">
        <v>3300</v>
      </c>
      <c r="F383" t="s">
        <v>148</v>
      </c>
      <c r="G383" t="s">
        <v>512</v>
      </c>
      <c r="H383" s="3" t="d">
        <v>18:59:59.9999999999968050</v>
      </c>
      <c r="I383" t="s">
        <v>503</v>
      </c>
      <c r="J383" s="1">
        <v>0.38600000000000001</v>
      </c>
      <c r="K383">
        <v>159</v>
      </c>
      <c r="L383">
        <v>6</v>
      </c>
      <c r="M383">
        <v>2.2400000000000002</v>
      </c>
      <c r="N383">
        <v>3</v>
      </c>
      <c r="O383">
        <v>2</v>
      </c>
      <c r="P383">
        <v>1</v>
      </c>
      <c r="Q383" s="4" t="d">
        <v>16:49:59.99999999999573550</v>
      </c>
      <c r="R383">
        <v>4.8</v>
      </c>
      <c r="S383">
        <v>4.45</v>
      </c>
      <c r="T383">
        <v>13.91</v>
      </c>
      <c r="U383">
        <v>5.01</v>
      </c>
      <c r="V383">
        <v>5.01</v>
      </c>
      <c r="W383">
        <v>100</v>
      </c>
      <c r="Y383">
        <v>54</v>
      </c>
      <c r="Z383">
        <v>1.5</v>
      </c>
      <c r="AA383">
        <v>0</v>
      </c>
      <c r="AB383" s="4" t="d">
        <v>17:04:00.000000000002344800</v>
      </c>
      <c r="AC383">
        <v>11.3</v>
      </c>
      <c r="AD383">
        <v>3.4</v>
      </c>
    </row>
    <row r="384" spans="1:30" x14ac:dyDescent="0.2">
      <c r="A384" t="s">
        <v>329</v>
      </c>
      <c r="C384">
        <v>0</v>
      </c>
      <c r="D384" t="s">
        <v>343</v>
      </c>
      <c r="E384">
        <v>4900</v>
      </c>
      <c r="F384" t="s">
        <v>56</v>
      </c>
      <c r="G384" t="s">
        <v>513</v>
      </c>
      <c r="H384" s="3" t="d">
        <v>21:00:00.000</v>
      </c>
      <c r="I384" t="s">
        <v>499</v>
      </c>
      <c r="J384" s="1">
        <v>0.45900000000000002</v>
      </c>
      <c r="K384">
        <v>-85</v>
      </c>
      <c r="L384">
        <v>6</v>
      </c>
      <c r="M384">
        <v>3</v>
      </c>
      <c r="N384">
        <v>2.8</v>
      </c>
      <c r="O384">
        <v>1</v>
      </c>
      <c r="P384">
        <v>1</v>
      </c>
      <c r="Q384" s="4" t="d">
        <v>14:17:59.99999999999936100</v>
      </c>
      <c r="R384">
        <v>7.9</v>
      </c>
      <c r="S384">
        <v>7.17</v>
      </c>
      <c r="T384">
        <v>23.75</v>
      </c>
      <c r="U384">
        <v>9.41</v>
      </c>
      <c r="V384">
        <v>9.41</v>
      </c>
      <c r="W384">
        <v>100</v>
      </c>
      <c r="Y384">
        <v>55</v>
      </c>
      <c r="Z384">
        <v>1.9</v>
      </c>
      <c r="AA384">
        <v>0</v>
      </c>
      <c r="AB384" s="4" t="d">
        <v>18:11:59.999999999997441975</v>
      </c>
      <c r="AC384">
        <v>10.5</v>
      </c>
      <c r="AD384">
        <v>2.1</v>
      </c>
    </row>
    <row r="385" spans="1:30" x14ac:dyDescent="0.2">
      <c r="A385" t="s">
        <v>250</v>
      </c>
      <c r="C385">
        <v>0</v>
      </c>
      <c r="D385" t="s">
        <v>57</v>
      </c>
      <c r="E385">
        <v>2900</v>
      </c>
      <c r="F385" t="s">
        <v>74</v>
      </c>
      <c r="G385" t="s">
        <v>514</v>
      </c>
      <c r="H385" s="3" t="d">
        <v>21:59:59.9999999999968050</v>
      </c>
      <c r="I385" t="s">
        <v>499</v>
      </c>
      <c r="J385" s="1">
        <v>0.47099999999999997</v>
      </c>
      <c r="K385">
        <v>-89</v>
      </c>
      <c r="L385">
        <v>6</v>
      </c>
      <c r="M385">
        <v>3.14</v>
      </c>
      <c r="N385">
        <v>3</v>
      </c>
      <c r="O385">
        <v>3</v>
      </c>
      <c r="Q385" s="4" t="d">
        <v>18:51:59.99999999999850675</v>
      </c>
      <c r="R385">
        <v>4.7</v>
      </c>
      <c r="S385">
        <v>3.45</v>
      </c>
      <c r="T385">
        <v>12.65</v>
      </c>
      <c r="U385">
        <v>5.75</v>
      </c>
      <c r="V385">
        <v>5.75</v>
      </c>
      <c r="W385">
        <v>100</v>
      </c>
      <c r="Y385">
        <v>63</v>
      </c>
      <c r="Z385">
        <v>2</v>
      </c>
      <c r="AA385">
        <v>0</v>
      </c>
      <c r="AB385" s="4" t="d">
        <v>14:36:59.99999999999531175</v>
      </c>
      <c r="AC385">
        <v>6.9</v>
      </c>
      <c r="AD385">
        <v>2.4</v>
      </c>
    </row>
    <row r="386" spans="1:30" x14ac:dyDescent="0.2">
      <c r="A386" t="s">
        <v>248</v>
      </c>
      <c r="C386">
        <v>0</v>
      </c>
      <c r="D386" t="s">
        <v>343</v>
      </c>
      <c r="E386">
        <v>2500</v>
      </c>
      <c r="F386" t="s">
        <v>117</v>
      </c>
      <c r="G386" t="s">
        <v>518</v>
      </c>
      <c r="H386" s="3" t="d">
        <v>21:00:00.000</v>
      </c>
      <c r="I386" t="s">
        <v>503</v>
      </c>
      <c r="J386" s="1">
        <v>0.54100000000000004</v>
      </c>
      <c r="K386">
        <v>85</v>
      </c>
      <c r="L386">
        <v>6</v>
      </c>
      <c r="M386">
        <v>2.8</v>
      </c>
      <c r="N386">
        <v>3</v>
      </c>
      <c r="O386">
        <v>4</v>
      </c>
      <c r="Q386" s="4" t="d">
        <v>08:53:00.00000000000149325</v>
      </c>
      <c r="R386">
        <v>2.7</v>
      </c>
      <c r="S386">
        <v>2.93</v>
      </c>
      <c r="T386">
        <v>9.2799999999999994</v>
      </c>
      <c r="U386">
        <v>3.42</v>
      </c>
      <c r="V386">
        <v>3.42</v>
      </c>
      <c r="W386">
        <v>100</v>
      </c>
      <c r="Y386">
        <v>46</v>
      </c>
      <c r="Z386">
        <v>1.4</v>
      </c>
      <c r="AA386">
        <v>0</v>
      </c>
      <c r="AB386" s="4" t="d">
        <v>08:59:00.00000000000021525</v>
      </c>
      <c r="AC386">
        <v>4.5</v>
      </c>
      <c r="AD386">
        <v>1.8</v>
      </c>
    </row>
    <row r="387" spans="1:30" x14ac:dyDescent="0.2">
      <c r="A387" t="s">
        <v>555</v>
      </c>
      <c r="C387">
        <v>0</v>
      </c>
      <c r="D387" t="s">
        <v>57</v>
      </c>
      <c r="E387">
        <v>3500</v>
      </c>
      <c r="F387" t="s">
        <v>505</v>
      </c>
      <c r="G387" t="s">
        <v>506</v>
      </c>
      <c r="H387" s="3" t="d">
        <v>18:59:59.9999999999968050</v>
      </c>
      <c r="I387" t="s">
        <v>499</v>
      </c>
      <c r="J387" s="1">
        <v>0.61399999999999999</v>
      </c>
      <c r="K387">
        <v>-159</v>
      </c>
      <c r="L387">
        <v>6</v>
      </c>
      <c r="M387">
        <v>3</v>
      </c>
      <c r="N387">
        <v>2.2400000000000002</v>
      </c>
      <c r="Q387" s="4" t="d">
        <v>20:00:00.0000000000031950</v>
      </c>
      <c r="R387">
        <v>6.9</v>
      </c>
      <c r="S387">
        <v>5.0999999999999996</v>
      </c>
      <c r="T387">
        <v>0</v>
      </c>
      <c r="U387">
        <v>0</v>
      </c>
      <c r="V387">
        <v>0</v>
      </c>
      <c r="W387">
        <v>100</v>
      </c>
      <c r="Y387">
        <v>63</v>
      </c>
      <c r="Z387">
        <v>0</v>
      </c>
      <c r="AA387">
        <v>0</v>
      </c>
    </row>
    <row r="388" spans="1:30" x14ac:dyDescent="0.2">
      <c r="A388" t="s">
        <v>119</v>
      </c>
      <c r="C388">
        <v>0</v>
      </c>
      <c r="D388" t="s">
        <v>42</v>
      </c>
      <c r="E388">
        <v>3100</v>
      </c>
      <c r="F388" t="s">
        <v>64</v>
      </c>
      <c r="G388" t="s">
        <v>517</v>
      </c>
      <c r="H388" s="3" t="d">
        <v>21:59:59.9999999999968050</v>
      </c>
      <c r="I388" t="s">
        <v>503</v>
      </c>
      <c r="J388" s="1">
        <v>0.52900000000000003</v>
      </c>
      <c r="K388">
        <v>89</v>
      </c>
      <c r="L388">
        <v>6</v>
      </c>
      <c r="M388">
        <v>3</v>
      </c>
      <c r="N388">
        <v>3.14</v>
      </c>
      <c r="O388">
        <v>3</v>
      </c>
      <c r="Q388" s="4" t="d">
        <v>13:49:59.99999999999573550</v>
      </c>
      <c r="R388">
        <v>5.7</v>
      </c>
      <c r="S388">
        <v>5.17</v>
      </c>
      <c r="T388">
        <v>17.100000000000001</v>
      </c>
      <c r="U388">
        <v>6.76</v>
      </c>
      <c r="V388">
        <v>6.76</v>
      </c>
      <c r="W388">
        <v>100</v>
      </c>
      <c r="Y388">
        <v>55</v>
      </c>
      <c r="Z388">
        <v>2.2000000000000002</v>
      </c>
      <c r="AA388">
        <v>0</v>
      </c>
      <c r="AB388" s="4" t="d">
        <v>18:12:59.99999999999722875</v>
      </c>
      <c r="AC388">
        <v>10</v>
      </c>
      <c r="AD388">
        <v>3.2</v>
      </c>
    </row>
    <row r="389" spans="1:30" x14ac:dyDescent="0.2">
      <c r="A389" t="s">
        <v>160</v>
      </c>
      <c r="C389">
        <v>0</v>
      </c>
      <c r="D389" t="s">
        <v>343</v>
      </c>
      <c r="E389">
        <v>2500</v>
      </c>
      <c r="F389" t="s">
        <v>500</v>
      </c>
      <c r="G389" t="s">
        <v>501</v>
      </c>
      <c r="H389" s="3" t="d">
        <v>21:59:59.9999999999968050</v>
      </c>
      <c r="I389" t="s">
        <v>499</v>
      </c>
      <c r="J389" s="1">
        <v>0.44600000000000001</v>
      </c>
      <c r="K389">
        <v>-80.5</v>
      </c>
      <c r="L389">
        <v>6.5</v>
      </c>
      <c r="M389">
        <v>3.38</v>
      </c>
      <c r="N389">
        <v>3.25</v>
      </c>
      <c r="O389">
        <v>4</v>
      </c>
      <c r="Q389" s="4" t="d">
        <v>08:10:00.00000000000106275</v>
      </c>
      <c r="R389">
        <v>1.8</v>
      </c>
      <c r="S389">
        <v>2.71</v>
      </c>
      <c r="T389">
        <v>7.39</v>
      </c>
      <c r="U389">
        <v>1.97</v>
      </c>
      <c r="V389">
        <v>1.97</v>
      </c>
      <c r="W389">
        <v>100</v>
      </c>
      <c r="Y389">
        <v>25</v>
      </c>
      <c r="Z389">
        <v>0.8</v>
      </c>
      <c r="AA389">
        <v>0</v>
      </c>
      <c r="AB389" s="4" t="d">
        <v>03:56:00.00000000000005550</v>
      </c>
      <c r="AC389">
        <v>2.8</v>
      </c>
      <c r="AD389">
        <v>1.1000000000000001</v>
      </c>
    </row>
    <row r="390" spans="1:30" x14ac:dyDescent="0.2">
      <c r="A390" t="s">
        <v>187</v>
      </c>
      <c r="C390">
        <v>0</v>
      </c>
      <c r="D390" t="s">
        <v>343</v>
      </c>
      <c r="E390">
        <v>2700</v>
      </c>
      <c r="F390" t="s">
        <v>64</v>
      </c>
      <c r="G390" t="s">
        <v>517</v>
      </c>
      <c r="H390" s="3" t="d">
        <v>21:59:59.9999999999968050</v>
      </c>
      <c r="I390" t="s">
        <v>503</v>
      </c>
      <c r="J390" s="1">
        <v>0.52900000000000003</v>
      </c>
      <c r="K390">
        <v>89</v>
      </c>
      <c r="L390">
        <v>6</v>
      </c>
      <c r="M390">
        <v>3</v>
      </c>
      <c r="N390">
        <v>3.14</v>
      </c>
      <c r="O390">
        <v>2</v>
      </c>
      <c r="P390">
        <v>2</v>
      </c>
      <c r="Q390" s="4" t="d">
        <v>12:23:00.000000000004689600</v>
      </c>
      <c r="R390">
        <v>3.7</v>
      </c>
      <c r="S390">
        <v>4.7699999999999996</v>
      </c>
      <c r="T390">
        <v>13.75</v>
      </c>
      <c r="U390">
        <v>4.21</v>
      </c>
      <c r="V390">
        <v>4.21</v>
      </c>
      <c r="W390">
        <v>100</v>
      </c>
      <c r="Y390">
        <v>36</v>
      </c>
      <c r="Z390">
        <v>1.6</v>
      </c>
      <c r="AA390">
        <v>0</v>
      </c>
      <c r="AB390" s="4" t="d">
        <v>10:10:59.99999999999925675</v>
      </c>
      <c r="AC390">
        <v>3</v>
      </c>
      <c r="AD390">
        <v>1.1000000000000001</v>
      </c>
    </row>
    <row r="391" spans="1:30" x14ac:dyDescent="0.2">
      <c r="A391" t="s">
        <v>312</v>
      </c>
      <c r="C391">
        <v>0</v>
      </c>
      <c r="D391" t="s">
        <v>343</v>
      </c>
      <c r="E391">
        <v>2500</v>
      </c>
      <c r="F391" t="s">
        <v>74</v>
      </c>
      <c r="G391" t="s">
        <v>514</v>
      </c>
      <c r="H391" s="3" t="d">
        <v>21:59:59.9999999999968050</v>
      </c>
      <c r="I391" t="s">
        <v>499</v>
      </c>
      <c r="J391" s="1">
        <v>0.47099999999999997</v>
      </c>
      <c r="K391">
        <v>-89</v>
      </c>
      <c r="L391">
        <v>6</v>
      </c>
      <c r="M391">
        <v>3.14</v>
      </c>
      <c r="N391">
        <v>3</v>
      </c>
      <c r="O391">
        <v>4</v>
      </c>
      <c r="Q391" s="4" t="d">
        <v>11:25:59.9999999999976525</v>
      </c>
      <c r="R391">
        <v>4.0999999999999996</v>
      </c>
      <c r="S391">
        <v>4.26</v>
      </c>
      <c r="T391">
        <v>12.96</v>
      </c>
      <c r="U391">
        <v>4.4400000000000004</v>
      </c>
      <c r="V391">
        <v>4.4400000000000004</v>
      </c>
      <c r="W391">
        <v>100</v>
      </c>
      <c r="Y391">
        <v>48</v>
      </c>
      <c r="Z391">
        <v>1.8</v>
      </c>
      <c r="AA391">
        <v>0</v>
      </c>
      <c r="AB391" s="4" t="d">
        <v>12:19:59.99999999999573550</v>
      </c>
      <c r="AC391">
        <v>1.3</v>
      </c>
      <c r="AD391">
        <v>0.5</v>
      </c>
    </row>
    <row r="392" spans="1:30" x14ac:dyDescent="0.2">
      <c r="A392" t="s">
        <v>314</v>
      </c>
      <c r="C392">
        <v>0</v>
      </c>
      <c r="D392" t="s">
        <v>57</v>
      </c>
      <c r="E392">
        <v>2500</v>
      </c>
      <c r="F392" t="s">
        <v>74</v>
      </c>
      <c r="G392" t="s">
        <v>514</v>
      </c>
      <c r="H392" s="3" t="d">
        <v>21:59:59.9999999999968050</v>
      </c>
      <c r="I392" t="s">
        <v>499</v>
      </c>
      <c r="J392" s="1">
        <v>0.47099999999999997</v>
      </c>
      <c r="K392">
        <v>-89</v>
      </c>
      <c r="L392">
        <v>6</v>
      </c>
      <c r="M392">
        <v>3.14</v>
      </c>
      <c r="N392">
        <v>3</v>
      </c>
      <c r="Q392" s="4" t="d">
        <v>17:28:59.99999999999701350</v>
      </c>
      <c r="R392">
        <v>4.5999999999999996</v>
      </c>
      <c r="S392">
        <v>4.1100000000000003</v>
      </c>
      <c r="T392">
        <v>0</v>
      </c>
      <c r="U392">
        <v>0</v>
      </c>
      <c r="V392">
        <v>0</v>
      </c>
      <c r="W392">
        <v>100</v>
      </c>
      <c r="Y392">
        <v>55</v>
      </c>
      <c r="Z392">
        <v>0</v>
      </c>
      <c r="AA392">
        <v>0</v>
      </c>
      <c r="AB392" s="4" t="d">
        <v>16:31:59.99999999999957625</v>
      </c>
      <c r="AC392">
        <v>1.5</v>
      </c>
      <c r="AD392">
        <v>0.6</v>
      </c>
    </row>
    <row r="393" spans="1:30" x14ac:dyDescent="0.2">
      <c r="A393" t="s">
        <v>84</v>
      </c>
      <c r="C393">
        <v>0</v>
      </c>
      <c r="D393" t="s">
        <v>42</v>
      </c>
      <c r="E393">
        <v>2500</v>
      </c>
      <c r="F393" t="s">
        <v>85</v>
      </c>
      <c r="G393" t="s">
        <v>507</v>
      </c>
      <c r="H393" s="3" t="d">
        <v>21:59:59.9999999999968050</v>
      </c>
      <c r="I393" t="s">
        <v>503</v>
      </c>
      <c r="J393" s="1">
        <v>0.55400000000000005</v>
      </c>
      <c r="K393">
        <v>80.5</v>
      </c>
      <c r="L393">
        <v>6.5</v>
      </c>
      <c r="M393">
        <v>3.25</v>
      </c>
      <c r="N393">
        <v>3.38</v>
      </c>
      <c r="O393">
        <v>4</v>
      </c>
      <c r="Q393" s="4" t="d">
        <v>10:31:59.99999999999957625</v>
      </c>
      <c r="R393">
        <v>3.2</v>
      </c>
      <c r="S393">
        <v>3.73</v>
      </c>
      <c r="T393">
        <v>10.78</v>
      </c>
      <c r="U393">
        <v>3.32</v>
      </c>
      <c r="V393">
        <v>3.32</v>
      </c>
      <c r="W393">
        <v>100</v>
      </c>
      <c r="Y393">
        <v>42</v>
      </c>
      <c r="Z393">
        <v>1.3</v>
      </c>
      <c r="AA393">
        <v>0</v>
      </c>
      <c r="AB393" s="4" t="d">
        <v>09:06:59.99999999999850675</v>
      </c>
      <c r="AC393">
        <v>10</v>
      </c>
      <c r="AD393">
        <v>4</v>
      </c>
    </row>
    <row r="394" spans="1:30" x14ac:dyDescent="0.2">
      <c r="A394" t="s">
        <v>448</v>
      </c>
      <c r="C394">
        <v>0</v>
      </c>
      <c r="D394" t="s">
        <v>343</v>
      </c>
      <c r="E394">
        <v>2500</v>
      </c>
      <c r="F394" t="s">
        <v>64</v>
      </c>
      <c r="G394" t="s">
        <v>517</v>
      </c>
      <c r="H394" s="3" t="d">
        <v>21:59:59.9999999999968050</v>
      </c>
      <c r="I394" t="s">
        <v>503</v>
      </c>
      <c r="J394" s="1">
        <v>0.52900000000000003</v>
      </c>
      <c r="K394">
        <v>89</v>
      </c>
      <c r="L394">
        <v>6</v>
      </c>
      <c r="M394">
        <v>3</v>
      </c>
      <c r="N394">
        <v>3.14</v>
      </c>
      <c r="Q394" s="4" t="d">
        <v>10:23:00.00000000000149325</v>
      </c>
      <c r="R394">
        <v>3.2</v>
      </c>
      <c r="S394">
        <v>4.45</v>
      </c>
      <c r="T394">
        <v>0</v>
      </c>
      <c r="U394">
        <v>0</v>
      </c>
      <c r="V394">
        <v>0</v>
      </c>
      <c r="W394">
        <v>100</v>
      </c>
      <c r="Y394">
        <v>30</v>
      </c>
      <c r="Z394">
        <v>0</v>
      </c>
      <c r="AA394">
        <v>0</v>
      </c>
    </row>
    <row r="395" spans="1:30" x14ac:dyDescent="0.2">
      <c r="A395" t="s">
        <v>336</v>
      </c>
      <c r="C395">
        <v>0</v>
      </c>
      <c r="D395" t="s">
        <v>57</v>
      </c>
      <c r="E395">
        <v>2500</v>
      </c>
      <c r="F395" t="s">
        <v>500</v>
      </c>
      <c r="G395" t="s">
        <v>501</v>
      </c>
      <c r="H395" s="3" t="d">
        <v>21:59:59.9999999999968050</v>
      </c>
      <c r="I395" t="s">
        <v>499</v>
      </c>
      <c r="J395" s="1">
        <v>0.44600000000000001</v>
      </c>
      <c r="K395">
        <v>-80.5</v>
      </c>
      <c r="L395">
        <v>6.5</v>
      </c>
      <c r="M395">
        <v>3.38</v>
      </c>
      <c r="N395">
        <v>3.25</v>
      </c>
      <c r="O395">
        <v>3</v>
      </c>
      <c r="Q395" s="4" t="d">
        <v>16:01:59.99999999999637450</v>
      </c>
      <c r="R395">
        <v>3.3</v>
      </c>
      <c r="S395">
        <v>2.99</v>
      </c>
      <c r="T395">
        <v>10.39</v>
      </c>
      <c r="U395">
        <v>4.41</v>
      </c>
      <c r="V395">
        <v>4.41</v>
      </c>
      <c r="W395">
        <v>100</v>
      </c>
      <c r="Y395">
        <v>55</v>
      </c>
      <c r="Z395">
        <v>1.8</v>
      </c>
      <c r="AA395">
        <v>0</v>
      </c>
      <c r="AB395" s="4" t="d">
        <v>13:06:59.99999999999531175</v>
      </c>
      <c r="AC395">
        <v>4.3</v>
      </c>
      <c r="AD395">
        <v>1.7</v>
      </c>
    </row>
    <row r="396" spans="1:30" x14ac:dyDescent="0.2">
      <c r="A396" t="s">
        <v>464</v>
      </c>
      <c r="C396">
        <v>0</v>
      </c>
      <c r="D396" t="s">
        <v>343</v>
      </c>
      <c r="E396">
        <v>2500</v>
      </c>
      <c r="F396" t="s">
        <v>148</v>
      </c>
      <c r="G396" t="s">
        <v>512</v>
      </c>
      <c r="H396" s="3" t="d">
        <v>18:59:59.9999999999968050</v>
      </c>
      <c r="I396" t="s">
        <v>503</v>
      </c>
      <c r="J396" s="1">
        <v>0.38600000000000001</v>
      </c>
      <c r="K396">
        <v>159</v>
      </c>
      <c r="L396">
        <v>6</v>
      </c>
      <c r="M396">
        <v>2.2400000000000002</v>
      </c>
      <c r="N396">
        <v>3</v>
      </c>
      <c r="Q396" s="4" t="d">
        <v>09:16:00.00000000000138225</v>
      </c>
      <c r="R396">
        <v>1.4</v>
      </c>
      <c r="S396">
        <v>2.78</v>
      </c>
      <c r="T396">
        <v>0</v>
      </c>
      <c r="U396">
        <v>0</v>
      </c>
      <c r="V396">
        <v>0</v>
      </c>
      <c r="W396">
        <v>100</v>
      </c>
      <c r="Y396">
        <v>1</v>
      </c>
      <c r="Z396">
        <v>0</v>
      </c>
      <c r="AA396">
        <v>0</v>
      </c>
    </row>
    <row r="397" spans="1:30" x14ac:dyDescent="0.2">
      <c r="A397" t="s">
        <v>332</v>
      </c>
      <c r="C397">
        <v>0</v>
      </c>
      <c r="D397" t="s">
        <v>57</v>
      </c>
      <c r="E397">
        <v>4200</v>
      </c>
      <c r="F397" t="s">
        <v>48</v>
      </c>
      <c r="G397" t="s">
        <v>498</v>
      </c>
      <c r="H397" s="3" t="d">
        <v>21:00:00.000</v>
      </c>
      <c r="I397" t="s">
        <v>499</v>
      </c>
      <c r="J397" s="1">
        <v>0.623</v>
      </c>
      <c r="K397">
        <v>-165</v>
      </c>
      <c r="L397">
        <v>6.5</v>
      </c>
      <c r="M397">
        <v>4.18</v>
      </c>
      <c r="N397">
        <v>3.25</v>
      </c>
      <c r="O397">
        <v>1</v>
      </c>
      <c r="Q397" s="4" t="d">
        <v>16:54:00.00000000000447975</v>
      </c>
      <c r="R397">
        <v>7.5</v>
      </c>
      <c r="S397">
        <v>5.23</v>
      </c>
      <c r="T397">
        <v>22.84</v>
      </c>
      <c r="U397">
        <v>12.38</v>
      </c>
      <c r="V397">
        <v>12.38</v>
      </c>
      <c r="W397">
        <v>100</v>
      </c>
      <c r="Y397">
        <v>65</v>
      </c>
      <c r="Z397">
        <v>2.9</v>
      </c>
      <c r="AA397">
        <v>0</v>
      </c>
      <c r="AB397" s="4" t="d">
        <v>17:47:00.00000000000277125</v>
      </c>
      <c r="AC397">
        <v>4.3</v>
      </c>
      <c r="AD397">
        <v>1</v>
      </c>
    </row>
    <row r="398" spans="1:30" x14ac:dyDescent="0.2">
      <c r="A398" t="s">
        <v>600</v>
      </c>
      <c r="C398">
        <v>0</v>
      </c>
      <c r="D398" t="s">
        <v>343</v>
      </c>
      <c r="E398">
        <v>2500</v>
      </c>
      <c r="F398" t="s">
        <v>117</v>
      </c>
      <c r="G398" t="s">
        <v>518</v>
      </c>
      <c r="H398" s="3" t="d">
        <v>21:00:00.000</v>
      </c>
      <c r="I398" t="s">
        <v>503</v>
      </c>
      <c r="J398" s="1">
        <v>0.54100000000000004</v>
      </c>
      <c r="K398">
        <v>85</v>
      </c>
      <c r="L398">
        <v>6</v>
      </c>
      <c r="M398">
        <v>2.8</v>
      </c>
      <c r="N398">
        <v>3</v>
      </c>
      <c r="Q398" s="4" t="d">
        <v>09:20:00.00000000000053475</v>
      </c>
      <c r="R398">
        <v>1.9</v>
      </c>
      <c r="S398">
        <v>1.37</v>
      </c>
      <c r="T398">
        <v>0</v>
      </c>
      <c r="U398">
        <v>0</v>
      </c>
      <c r="V398">
        <v>0</v>
      </c>
      <c r="W398">
        <v>100</v>
      </c>
      <c r="Y398">
        <v>64</v>
      </c>
      <c r="Z398">
        <v>0</v>
      </c>
      <c r="AA398">
        <v>0</v>
      </c>
    </row>
    <row r="399" spans="1:30" x14ac:dyDescent="0.2">
      <c r="A399" t="s">
        <v>418</v>
      </c>
      <c r="C399">
        <v>0</v>
      </c>
      <c r="D399" t="s">
        <v>57</v>
      </c>
      <c r="E399">
        <v>2500</v>
      </c>
      <c r="F399" t="s">
        <v>148</v>
      </c>
      <c r="G399" t="s">
        <v>512</v>
      </c>
      <c r="H399" s="3" t="d">
        <v>18:59:59.9999999999968050</v>
      </c>
      <c r="I399" t="s">
        <v>503</v>
      </c>
      <c r="J399" s="1">
        <v>0.38600000000000001</v>
      </c>
      <c r="K399">
        <v>159</v>
      </c>
      <c r="L399">
        <v>6</v>
      </c>
      <c r="M399">
        <v>2.2400000000000002</v>
      </c>
      <c r="N399">
        <v>3</v>
      </c>
      <c r="Q399" s="4" t="d">
        <v>16:45:59.99999999999658975</v>
      </c>
      <c r="R399">
        <v>5.7</v>
      </c>
      <c r="S399">
        <v>4.93</v>
      </c>
      <c r="T399">
        <v>0</v>
      </c>
      <c r="U399">
        <v>0</v>
      </c>
      <c r="V399">
        <v>0</v>
      </c>
      <c r="W399">
        <v>100</v>
      </c>
      <c r="Y399">
        <v>57</v>
      </c>
      <c r="Z399">
        <v>0</v>
      </c>
      <c r="AA399">
        <v>0</v>
      </c>
    </row>
    <row r="400" spans="1:30" x14ac:dyDescent="0.2">
      <c r="A400" t="s">
        <v>253</v>
      </c>
      <c r="C400">
        <v>0</v>
      </c>
      <c r="D400" t="s">
        <v>343</v>
      </c>
      <c r="E400">
        <v>3100</v>
      </c>
      <c r="F400" t="s">
        <v>52</v>
      </c>
      <c r="G400" t="s">
        <v>508</v>
      </c>
      <c r="H400" s="3" t="d">
        <v>20:00:00.0000000000031950</v>
      </c>
      <c r="I400" t="s">
        <v>499</v>
      </c>
      <c r="J400" s="1">
        <v>0.48599999999999999</v>
      </c>
      <c r="K400">
        <v>-94.5</v>
      </c>
      <c r="L400">
        <v>5.5</v>
      </c>
      <c r="M400">
        <v>3.07</v>
      </c>
      <c r="N400">
        <v>2.75</v>
      </c>
      <c r="O400">
        <v>2</v>
      </c>
      <c r="Q400" s="4" t="d">
        <v>16:20:00.00000000000213225</v>
      </c>
      <c r="R400">
        <v>4.3</v>
      </c>
      <c r="S400">
        <v>4.7</v>
      </c>
      <c r="T400">
        <v>14.76</v>
      </c>
      <c r="U400">
        <v>5.36</v>
      </c>
      <c r="V400">
        <v>5.36</v>
      </c>
      <c r="W400">
        <v>100</v>
      </c>
      <c r="Y400">
        <v>45</v>
      </c>
      <c r="Z400">
        <v>1.7</v>
      </c>
      <c r="AA400">
        <v>0</v>
      </c>
      <c r="AB400" s="4" t="d">
        <v>15:56:59.999999999997441975</v>
      </c>
      <c r="AC400">
        <v>3</v>
      </c>
      <c r="AD400">
        <v>1</v>
      </c>
    </row>
    <row r="401" spans="1:30" x14ac:dyDescent="0.2">
      <c r="A401" t="s">
        <v>361</v>
      </c>
      <c r="C401">
        <v>0</v>
      </c>
      <c r="D401" t="s">
        <v>346</v>
      </c>
      <c r="E401">
        <v>7100</v>
      </c>
      <c r="F401" t="s">
        <v>35</v>
      </c>
      <c r="G401" t="s">
        <v>516</v>
      </c>
      <c r="H401" s="3" t="d">
        <v>21:00:00.000</v>
      </c>
      <c r="I401" t="s">
        <v>503</v>
      </c>
      <c r="J401" s="1">
        <v>0.377</v>
      </c>
      <c r="K401">
        <v>165</v>
      </c>
      <c r="L401">
        <v>6.5</v>
      </c>
      <c r="M401">
        <v>3.25</v>
      </c>
      <c r="N401">
        <v>4.18</v>
      </c>
      <c r="O401" t="s">
        <v>511</v>
      </c>
      <c r="Q401" s="5" t="d">
        <v>PT58H15M0.000S</v>
      </c>
      <c r="R401">
        <v>4.7</v>
      </c>
      <c r="S401">
        <v>8.7200000000000006</v>
      </c>
      <c r="T401">
        <v>23.11</v>
      </c>
      <c r="U401">
        <v>5.67</v>
      </c>
      <c r="V401">
        <v>5.67</v>
      </c>
      <c r="W401">
        <v>100</v>
      </c>
      <c r="Y401">
        <v>7</v>
      </c>
      <c r="Z401">
        <v>0.8</v>
      </c>
      <c r="AA401">
        <v>0</v>
      </c>
      <c r="AB401" s="5" t="d">
        <v>PT59H54M0.000S</v>
      </c>
      <c r="AC401">
        <v>17.899999999999999</v>
      </c>
      <c r="AD401">
        <v>2.5</v>
      </c>
    </row>
    <row r="402" spans="1:30" x14ac:dyDescent="0.2">
      <c r="A402" t="s">
        <v>254</v>
      </c>
      <c r="C402">
        <v>0</v>
      </c>
      <c r="D402" t="s">
        <v>57</v>
      </c>
      <c r="E402">
        <v>2800</v>
      </c>
      <c r="F402" t="s">
        <v>48</v>
      </c>
      <c r="G402" t="s">
        <v>498</v>
      </c>
      <c r="H402" s="3" t="d">
        <v>21:00:00.000</v>
      </c>
      <c r="I402" t="s">
        <v>499</v>
      </c>
      <c r="J402" s="1">
        <v>0.623</v>
      </c>
      <c r="K402">
        <v>-165</v>
      </c>
      <c r="L402">
        <v>6.5</v>
      </c>
      <c r="M402">
        <v>4.18</v>
      </c>
      <c r="N402">
        <v>3.25</v>
      </c>
      <c r="O402">
        <v>3</v>
      </c>
      <c r="Q402" s="4" t="d">
        <v>17:51:00.00000000000191700</v>
      </c>
      <c r="R402">
        <v>4.5999999999999996</v>
      </c>
      <c r="S402">
        <v>4.49</v>
      </c>
      <c r="T402">
        <v>16.149999999999999</v>
      </c>
      <c r="U402">
        <v>7.17</v>
      </c>
      <c r="V402">
        <v>7.17</v>
      </c>
      <c r="W402">
        <v>100</v>
      </c>
      <c r="Y402">
        <v>51</v>
      </c>
      <c r="Z402">
        <v>2.6</v>
      </c>
      <c r="AA402">
        <v>0</v>
      </c>
      <c r="AB402" s="4" t="d">
        <v>17:35:59.99999999999552025</v>
      </c>
      <c r="AC402">
        <v>3</v>
      </c>
      <c r="AD402">
        <v>1.1000000000000001</v>
      </c>
    </row>
    <row r="403" spans="1:30" x14ac:dyDescent="0.2">
      <c r="A403" t="s">
        <v>602</v>
      </c>
      <c r="C403">
        <v>0</v>
      </c>
      <c r="D403" t="s">
        <v>343</v>
      </c>
      <c r="E403">
        <v>2500</v>
      </c>
      <c r="F403" t="s">
        <v>117</v>
      </c>
      <c r="G403" t="s">
        <v>518</v>
      </c>
      <c r="H403" s="3" t="d">
        <v>21:00:00.000</v>
      </c>
      <c r="I403" t="s">
        <v>503</v>
      </c>
      <c r="J403" s="1">
        <v>0.54100000000000004</v>
      </c>
      <c r="K403">
        <v>85</v>
      </c>
      <c r="L403">
        <v>6</v>
      </c>
      <c r="M403">
        <v>2.8</v>
      </c>
      <c r="N403">
        <v>3</v>
      </c>
      <c r="Q403" s="4" t="d">
        <v>12:19:59.99999999999573550</v>
      </c>
      <c r="R403">
        <v>3.8</v>
      </c>
      <c r="S403">
        <v>3.66</v>
      </c>
      <c r="T403">
        <v>0</v>
      </c>
      <c r="U403">
        <v>0</v>
      </c>
      <c r="V403">
        <v>0</v>
      </c>
      <c r="W403">
        <v>100</v>
      </c>
      <c r="Y403">
        <v>52</v>
      </c>
      <c r="Z403">
        <v>0</v>
      </c>
      <c r="AA403">
        <v>0</v>
      </c>
    </row>
    <row r="404" spans="1:30" x14ac:dyDescent="0.2">
      <c r="A404" t="s">
        <v>91</v>
      </c>
      <c r="C404">
        <v>0</v>
      </c>
      <c r="D404" t="s">
        <v>42</v>
      </c>
      <c r="E404">
        <v>2900</v>
      </c>
      <c r="F404" t="s">
        <v>61</v>
      </c>
      <c r="G404" t="s">
        <v>502</v>
      </c>
      <c r="H404" s="3" t="d">
        <v>18:59:59.9999999999968050</v>
      </c>
      <c r="I404" t="s">
        <v>503</v>
      </c>
      <c r="J404" s="1">
        <v>0.58299999999999996</v>
      </c>
      <c r="K404">
        <v>71.5</v>
      </c>
      <c r="L404">
        <v>6.5</v>
      </c>
      <c r="M404">
        <v>3.2</v>
      </c>
      <c r="N404">
        <v>3.25</v>
      </c>
      <c r="O404">
        <v>4</v>
      </c>
      <c r="Q404" s="4" t="d">
        <v>13:42:59.99999999999722875</v>
      </c>
      <c r="R404">
        <v>5.0999999999999996</v>
      </c>
      <c r="S404">
        <v>4.99</v>
      </c>
      <c r="T404">
        <v>16.52</v>
      </c>
      <c r="U404">
        <v>6.54</v>
      </c>
      <c r="V404">
        <v>6.54</v>
      </c>
      <c r="W404">
        <v>100</v>
      </c>
      <c r="Y404">
        <v>51</v>
      </c>
      <c r="Z404">
        <v>2.2999999999999998</v>
      </c>
      <c r="AA404">
        <v>0</v>
      </c>
      <c r="AB404" s="4" t="d">
        <v>09:27:59.99999999999882625</v>
      </c>
      <c r="AC404">
        <v>10</v>
      </c>
      <c r="AD404">
        <v>3.4</v>
      </c>
    </row>
    <row r="405" spans="1:30" x14ac:dyDescent="0.2">
      <c r="A405" t="s">
        <v>307</v>
      </c>
      <c r="C405">
        <v>0</v>
      </c>
      <c r="D405" t="s">
        <v>57</v>
      </c>
      <c r="E405">
        <v>3000</v>
      </c>
      <c r="F405" t="s">
        <v>85</v>
      </c>
      <c r="G405" t="s">
        <v>507</v>
      </c>
      <c r="H405" s="3" t="d">
        <v>21:59:59.9999999999968050</v>
      </c>
      <c r="I405" t="s">
        <v>503</v>
      </c>
      <c r="J405" s="1">
        <v>0.55400000000000005</v>
      </c>
      <c r="K405">
        <v>80.5</v>
      </c>
      <c r="L405">
        <v>6.5</v>
      </c>
      <c r="M405">
        <v>3.25</v>
      </c>
      <c r="N405">
        <v>3.38</v>
      </c>
      <c r="O405">
        <v>3</v>
      </c>
      <c r="P405">
        <v>2</v>
      </c>
      <c r="Q405" s="4" t="d">
        <v>15:46:59.99999999999957625</v>
      </c>
      <c r="R405">
        <v>4.5999999999999996</v>
      </c>
      <c r="S405">
        <v>3.7</v>
      </c>
      <c r="T405">
        <v>13.04</v>
      </c>
      <c r="U405">
        <v>5.64</v>
      </c>
      <c r="V405">
        <v>5.64</v>
      </c>
      <c r="W405">
        <v>100</v>
      </c>
      <c r="Y405">
        <v>60</v>
      </c>
      <c r="Z405">
        <v>1.9</v>
      </c>
      <c r="AA405">
        <v>0</v>
      </c>
      <c r="AB405" s="4" t="d">
        <v>16:11:00.00000000000404925</v>
      </c>
      <c r="AC405">
        <v>1.3</v>
      </c>
      <c r="AD405">
        <v>0.4</v>
      </c>
    </row>
    <row r="406" spans="1:30" x14ac:dyDescent="0.2">
      <c r="A406" t="s">
        <v>438</v>
      </c>
      <c r="C406">
        <v>0</v>
      </c>
      <c r="D406" t="s">
        <v>343</v>
      </c>
      <c r="E406">
        <v>2500</v>
      </c>
      <c r="F406" t="s">
        <v>505</v>
      </c>
      <c r="G406" t="s">
        <v>506</v>
      </c>
      <c r="H406" s="3" t="d">
        <v>18:59:59.9999999999968050</v>
      </c>
      <c r="I406" t="s">
        <v>499</v>
      </c>
      <c r="J406" s="1">
        <v>0.61399999999999999</v>
      </c>
      <c r="K406">
        <v>-159</v>
      </c>
      <c r="L406">
        <v>6</v>
      </c>
      <c r="M406">
        <v>3</v>
      </c>
      <c r="N406">
        <v>2.2400000000000002</v>
      </c>
      <c r="Q406" s="4" t="d">
        <v>08:12:00.00000000000063900</v>
      </c>
      <c r="R406">
        <v>3.5</v>
      </c>
      <c r="S406">
        <v>3.98</v>
      </c>
      <c r="T406">
        <v>0</v>
      </c>
      <c r="U406">
        <v>0</v>
      </c>
      <c r="V406">
        <v>0</v>
      </c>
      <c r="W406">
        <v>100</v>
      </c>
      <c r="Y406">
        <v>43</v>
      </c>
      <c r="Z406">
        <v>0</v>
      </c>
      <c r="AA406">
        <v>0</v>
      </c>
    </row>
    <row r="407" spans="1:30" x14ac:dyDescent="0.2">
      <c r="A407" t="s">
        <v>387</v>
      </c>
      <c r="C407">
        <v>0</v>
      </c>
      <c r="D407" t="s">
        <v>346</v>
      </c>
      <c r="E407">
        <v>8300</v>
      </c>
      <c r="F407" t="s">
        <v>48</v>
      </c>
      <c r="G407" t="s">
        <v>498</v>
      </c>
      <c r="H407" s="3" t="d">
        <v>21:00:00.000</v>
      </c>
      <c r="I407" t="s">
        <v>499</v>
      </c>
      <c r="J407" s="1">
        <v>0.623</v>
      </c>
      <c r="K407">
        <v>-165</v>
      </c>
      <c r="L407">
        <v>6.5</v>
      </c>
      <c r="M407">
        <v>4.18</v>
      </c>
      <c r="N407">
        <v>3.25</v>
      </c>
      <c r="O407" t="s">
        <v>528</v>
      </c>
      <c r="Q407" s="5" t="d">
        <v>PT56H43M0.000S</v>
      </c>
      <c r="R407">
        <v>13.3</v>
      </c>
      <c r="S407">
        <v>9.11</v>
      </c>
      <c r="T407">
        <v>0</v>
      </c>
      <c r="U407">
        <v>0</v>
      </c>
      <c r="V407">
        <v>0</v>
      </c>
      <c r="W407">
        <v>100</v>
      </c>
      <c r="Y407">
        <v>66</v>
      </c>
      <c r="Z407">
        <v>0</v>
      </c>
      <c r="AA407">
        <v>0</v>
      </c>
      <c r="AB407" s="4" t="d">
        <v>1899-12-30</v>
      </c>
      <c r="AC407">
        <v>0</v>
      </c>
    </row>
    <row r="408" spans="1:30" x14ac:dyDescent="0.2">
      <c r="A408" t="s">
        <v>607</v>
      </c>
      <c r="C408">
        <v>0</v>
      </c>
      <c r="D408" t="s">
        <v>57</v>
      </c>
      <c r="E408">
        <v>2500</v>
      </c>
      <c r="F408" t="s">
        <v>509</v>
      </c>
      <c r="G408" t="s">
        <v>510</v>
      </c>
      <c r="H408" s="3" t="d">
        <v>21:59:59.9999999999968050</v>
      </c>
      <c r="I408" t="s">
        <v>499</v>
      </c>
      <c r="J408" s="1">
        <v>0.47199999999999998</v>
      </c>
      <c r="K408">
        <v>-89.5</v>
      </c>
      <c r="L408">
        <v>6</v>
      </c>
      <c r="M408">
        <v>3</v>
      </c>
      <c r="N408">
        <v>2.77</v>
      </c>
      <c r="Q408" s="4" t="d">
        <v>18:00:59.999999999999786775</v>
      </c>
      <c r="R408">
        <v>3.7</v>
      </c>
      <c r="S408">
        <v>0.65</v>
      </c>
      <c r="T408">
        <v>0</v>
      </c>
      <c r="U408">
        <v>0</v>
      </c>
      <c r="V408">
        <v>0</v>
      </c>
      <c r="W408">
        <v>100</v>
      </c>
      <c r="Y408">
        <v>0</v>
      </c>
      <c r="Z408">
        <v>0</v>
      </c>
      <c r="AA408">
        <v>0</v>
      </c>
    </row>
    <row r="409" spans="1:30" x14ac:dyDescent="0.2">
      <c r="A409" t="s">
        <v>88</v>
      </c>
      <c r="C409">
        <v>0</v>
      </c>
      <c r="D409" t="s">
        <v>42</v>
      </c>
      <c r="E409">
        <v>3500</v>
      </c>
      <c r="F409" t="s">
        <v>35</v>
      </c>
      <c r="G409" t="s">
        <v>516</v>
      </c>
      <c r="H409" s="3" t="d">
        <v>21:00:00.000</v>
      </c>
      <c r="I409" t="s">
        <v>503</v>
      </c>
      <c r="J409" s="1">
        <v>0.377</v>
      </c>
      <c r="K409">
        <v>165</v>
      </c>
      <c r="L409">
        <v>6.5</v>
      </c>
      <c r="M409">
        <v>3.25</v>
      </c>
      <c r="N409">
        <v>4.18</v>
      </c>
      <c r="O409">
        <v>2</v>
      </c>
      <c r="Q409" s="4" t="d">
        <v>17:16:59.99999999999957625</v>
      </c>
      <c r="R409">
        <v>6.3</v>
      </c>
      <c r="S409">
        <v>6.55</v>
      </c>
      <c r="T409">
        <v>20.5</v>
      </c>
      <c r="U409">
        <v>7.4</v>
      </c>
      <c r="V409">
        <v>7.4</v>
      </c>
      <c r="W409">
        <v>100</v>
      </c>
      <c r="Y409">
        <v>48</v>
      </c>
      <c r="Z409">
        <v>2.1</v>
      </c>
      <c r="AA409">
        <v>0</v>
      </c>
      <c r="AB409" s="4" t="d">
        <v>17:36:59.99999999999531175</v>
      </c>
      <c r="AC409">
        <v>7.8</v>
      </c>
      <c r="AD409">
        <v>2.2000000000000002</v>
      </c>
    </row>
    <row r="410" spans="1:30" x14ac:dyDescent="0.2">
      <c r="A410" t="s">
        <v>619</v>
      </c>
      <c r="C410">
        <v>0</v>
      </c>
      <c r="D410" t="s">
        <v>57</v>
      </c>
      <c r="E410">
        <v>2500</v>
      </c>
      <c r="F410" t="s">
        <v>500</v>
      </c>
      <c r="G410" t="s">
        <v>501</v>
      </c>
      <c r="H410" s="3" t="d">
        <v>21:59:59.9999999999968050</v>
      </c>
      <c r="I410" t="s">
        <v>499</v>
      </c>
      <c r="J410" s="1">
        <v>0.44600000000000001</v>
      </c>
      <c r="K410">
        <v>-80.5</v>
      </c>
      <c r="L410">
        <v>6.5</v>
      </c>
      <c r="M410">
        <v>3.38</v>
      </c>
      <c r="N410">
        <v>3.25</v>
      </c>
      <c r="Q410" s="4" t="d">
        <v>16:41:59.999999999997441975</v>
      </c>
      <c r="R410">
        <v>5</v>
      </c>
      <c r="S410">
        <v>5.08</v>
      </c>
      <c r="T410">
        <v>0</v>
      </c>
      <c r="U410">
        <v>0</v>
      </c>
      <c r="V410">
        <v>0</v>
      </c>
      <c r="W410">
        <v>100</v>
      </c>
      <c r="Y410">
        <v>49</v>
      </c>
      <c r="Z410">
        <v>0</v>
      </c>
      <c r="AA410">
        <v>0</v>
      </c>
    </row>
    <row r="411" spans="1:30" x14ac:dyDescent="0.2">
      <c r="A411" t="s">
        <v>150</v>
      </c>
      <c r="C411">
        <v>0</v>
      </c>
      <c r="D411" t="s">
        <v>42</v>
      </c>
      <c r="E411">
        <v>3400</v>
      </c>
      <c r="F411" t="s">
        <v>74</v>
      </c>
      <c r="G411" t="s">
        <v>514</v>
      </c>
      <c r="H411" s="3" t="d">
        <v>21:59:59.9999999999968050</v>
      </c>
      <c r="I411" t="s">
        <v>499</v>
      </c>
      <c r="J411" s="1">
        <v>0.47099999999999997</v>
      </c>
      <c r="K411">
        <v>-89</v>
      </c>
      <c r="L411">
        <v>6</v>
      </c>
      <c r="M411">
        <v>3.14</v>
      </c>
      <c r="N411">
        <v>3</v>
      </c>
      <c r="O411">
        <v>2</v>
      </c>
      <c r="P411">
        <v>2</v>
      </c>
      <c r="Q411" s="4" t="d">
        <v>13:42:59.99999999999722875</v>
      </c>
      <c r="R411">
        <v>5.7</v>
      </c>
      <c r="S411">
        <v>5.12</v>
      </c>
      <c r="T411">
        <v>16.72</v>
      </c>
      <c r="U411">
        <v>6.48</v>
      </c>
      <c r="V411">
        <v>6.48</v>
      </c>
      <c r="W411">
        <v>100</v>
      </c>
      <c r="Y411">
        <v>55</v>
      </c>
      <c r="Z411">
        <v>1.9</v>
      </c>
      <c r="AA411">
        <v>0</v>
      </c>
      <c r="AB411" s="4" t="d">
        <v>15:20:59.99999999999552025</v>
      </c>
      <c r="AC411">
        <v>9.3000000000000007</v>
      </c>
      <c r="AD411">
        <v>2.7</v>
      </c>
    </row>
    <row r="412" spans="1:30" x14ac:dyDescent="0.2">
      <c r="A412" t="s">
        <v>210</v>
      </c>
      <c r="C412">
        <v>0</v>
      </c>
      <c r="D412" t="s">
        <v>57</v>
      </c>
      <c r="E412">
        <v>5300</v>
      </c>
      <c r="F412" t="s">
        <v>39</v>
      </c>
      <c r="G412" t="s">
        <v>504</v>
      </c>
      <c r="H412" s="3" t="d">
        <v>18:59:59.9999999999968050</v>
      </c>
      <c r="I412" t="s">
        <v>499</v>
      </c>
      <c r="J412" s="1">
        <v>0.41699999999999998</v>
      </c>
      <c r="K412">
        <v>-71.5</v>
      </c>
      <c r="L412">
        <v>6.5</v>
      </c>
      <c r="M412">
        <v>3.25</v>
      </c>
      <c r="N412">
        <v>3.2</v>
      </c>
      <c r="O412">
        <v>1</v>
      </c>
      <c r="P412">
        <v>2</v>
      </c>
      <c r="Q412" s="4" t="d">
        <v>23:48:00.00000000000255600</v>
      </c>
      <c r="R412">
        <v>10.5</v>
      </c>
      <c r="S412">
        <v>7.1</v>
      </c>
      <c r="T412">
        <v>27.59</v>
      </c>
      <c r="U412">
        <v>13.39</v>
      </c>
      <c r="V412">
        <v>13.39</v>
      </c>
      <c r="W412">
        <v>100</v>
      </c>
      <c r="Y412">
        <v>66</v>
      </c>
      <c r="Z412">
        <v>2.5</v>
      </c>
      <c r="AA412">
        <v>0</v>
      </c>
      <c r="AB412" s="4" t="d">
        <v>22:09:00.00000000000447975</v>
      </c>
      <c r="AC412">
        <v>2.6</v>
      </c>
      <c r="AD412">
        <v>0.5</v>
      </c>
    </row>
    <row r="413" spans="1:30" x14ac:dyDescent="0.2">
      <c r="A413" t="s">
        <v>281</v>
      </c>
      <c r="C413">
        <v>0</v>
      </c>
      <c r="D413" t="s">
        <v>57</v>
      </c>
      <c r="E413">
        <v>2500</v>
      </c>
      <c r="F413" t="s">
        <v>61</v>
      </c>
      <c r="G413" t="s">
        <v>502</v>
      </c>
      <c r="H413" s="3" t="d">
        <v>18:59:59.9999999999968050</v>
      </c>
      <c r="I413" t="s">
        <v>503</v>
      </c>
      <c r="J413" s="1">
        <v>0.58299999999999996</v>
      </c>
      <c r="K413">
        <v>71.5</v>
      </c>
      <c r="L413">
        <v>6.5</v>
      </c>
      <c r="M413">
        <v>3.2</v>
      </c>
      <c r="N413">
        <v>3.25</v>
      </c>
      <c r="O413">
        <v>3</v>
      </c>
      <c r="Q413" s="4" t="d">
        <v>17:31:59.99999999999637450</v>
      </c>
      <c r="R413">
        <v>4</v>
      </c>
      <c r="S413">
        <v>3.44</v>
      </c>
      <c r="T413">
        <v>11.42</v>
      </c>
      <c r="U413">
        <v>4.54</v>
      </c>
      <c r="V413">
        <v>4.54</v>
      </c>
      <c r="W413">
        <v>100</v>
      </c>
      <c r="Y413">
        <v>57</v>
      </c>
      <c r="Z413">
        <v>1.8</v>
      </c>
      <c r="AA413">
        <v>0</v>
      </c>
      <c r="AB413" s="4" t="d">
        <v>15:26:00.00000000000404925</v>
      </c>
      <c r="AC413">
        <v>1.5</v>
      </c>
      <c r="AD413">
        <v>0.6</v>
      </c>
    </row>
    <row r="414" spans="1:30" x14ac:dyDescent="0.2">
      <c r="A414" t="s">
        <v>576</v>
      </c>
      <c r="C414">
        <v>0</v>
      </c>
      <c r="D414" t="s">
        <v>57</v>
      </c>
      <c r="E414">
        <v>2500</v>
      </c>
      <c r="F414" t="s">
        <v>505</v>
      </c>
      <c r="G414" t="s">
        <v>506</v>
      </c>
      <c r="H414" s="3" t="d">
        <v>18:59:59.9999999999968050</v>
      </c>
      <c r="I414" t="s">
        <v>499</v>
      </c>
      <c r="J414" s="1">
        <v>0.61399999999999999</v>
      </c>
      <c r="K414">
        <v>-159</v>
      </c>
      <c r="L414">
        <v>6</v>
      </c>
      <c r="M414">
        <v>3</v>
      </c>
      <c r="N414">
        <v>2.2400000000000002</v>
      </c>
      <c r="T414">
        <v>0</v>
      </c>
      <c r="U414">
        <v>0</v>
      </c>
      <c r="V414">
        <v>0</v>
      </c>
      <c r="W414">
        <v>100</v>
      </c>
      <c r="Y414">
        <v>0</v>
      </c>
      <c r="Z414">
        <v>0</v>
      </c>
      <c r="AA414">
        <v>0</v>
      </c>
    </row>
    <row r="415" spans="1:30" x14ac:dyDescent="0.2">
      <c r="A415" t="s">
        <v>149</v>
      </c>
      <c r="C415">
        <v>0</v>
      </c>
      <c r="D415" t="s">
        <v>57</v>
      </c>
      <c r="E415">
        <v>3000</v>
      </c>
      <c r="F415" t="s">
        <v>509</v>
      </c>
      <c r="G415" t="s">
        <v>510</v>
      </c>
      <c r="H415" s="3" t="d">
        <v>21:59:59.9999999999968050</v>
      </c>
      <c r="I415" t="s">
        <v>499</v>
      </c>
      <c r="J415" s="1">
        <v>0.47199999999999998</v>
      </c>
      <c r="K415">
        <v>-89.5</v>
      </c>
      <c r="L415">
        <v>6</v>
      </c>
      <c r="M415">
        <v>3</v>
      </c>
      <c r="N415">
        <v>2.77</v>
      </c>
      <c r="O415">
        <v>3</v>
      </c>
      <c r="P415">
        <v>2</v>
      </c>
      <c r="Q415" s="4" t="d">
        <v>20:02:00.00000000000277125</v>
      </c>
      <c r="R415">
        <v>8.4</v>
      </c>
      <c r="S415">
        <v>8.4499999999999993</v>
      </c>
      <c r="T415">
        <v>27.15</v>
      </c>
      <c r="U415">
        <v>10.25</v>
      </c>
      <c r="V415">
        <v>10.25</v>
      </c>
      <c r="W415">
        <v>100</v>
      </c>
      <c r="Y415">
        <v>50</v>
      </c>
      <c r="Z415">
        <v>3.4</v>
      </c>
      <c r="AA415">
        <v>0</v>
      </c>
      <c r="AB415" s="4" t="d">
        <v>13:10:00.00000000000426450</v>
      </c>
      <c r="AC415">
        <v>9.3000000000000007</v>
      </c>
      <c r="AD415">
        <v>3.1</v>
      </c>
    </row>
    <row r="416" spans="1:30" x14ac:dyDescent="0.2">
      <c r="A416" t="s">
        <v>435</v>
      </c>
      <c r="C416">
        <v>0</v>
      </c>
      <c r="D416" t="s">
        <v>343</v>
      </c>
      <c r="E416">
        <v>2500</v>
      </c>
      <c r="F416" t="s">
        <v>56</v>
      </c>
      <c r="G416" t="s">
        <v>513</v>
      </c>
      <c r="H416" s="3" t="d">
        <v>21:00:00.000</v>
      </c>
      <c r="I416" t="s">
        <v>499</v>
      </c>
      <c r="J416" s="1">
        <v>0.45900000000000002</v>
      </c>
      <c r="K416">
        <v>-85</v>
      </c>
      <c r="L416">
        <v>6</v>
      </c>
      <c r="M416">
        <v>3</v>
      </c>
      <c r="N416">
        <v>2.8</v>
      </c>
      <c r="Q416" s="4" t="d">
        <v>09:18:00.00000000000095850</v>
      </c>
      <c r="R416">
        <v>3.4</v>
      </c>
      <c r="S416">
        <v>4.41</v>
      </c>
      <c r="T416">
        <v>0</v>
      </c>
      <c r="U416">
        <v>0</v>
      </c>
      <c r="V416">
        <v>0</v>
      </c>
      <c r="W416">
        <v>100</v>
      </c>
      <c r="Y416">
        <v>35</v>
      </c>
      <c r="Z416">
        <v>0</v>
      </c>
      <c r="AA416">
        <v>0</v>
      </c>
    </row>
    <row r="417" spans="1:30" x14ac:dyDescent="0.2">
      <c r="A417" t="s">
        <v>384</v>
      </c>
      <c r="C417">
        <v>0</v>
      </c>
      <c r="D417" t="s">
        <v>346</v>
      </c>
      <c r="E417">
        <v>7000</v>
      </c>
      <c r="F417" t="s">
        <v>148</v>
      </c>
      <c r="G417" t="s">
        <v>512</v>
      </c>
      <c r="H417" s="3" t="d">
        <v>18:59:59.9999999999968050</v>
      </c>
      <c r="I417" t="s">
        <v>503</v>
      </c>
      <c r="J417" s="1">
        <v>0.38600000000000001</v>
      </c>
      <c r="K417">
        <v>159</v>
      </c>
      <c r="L417">
        <v>6</v>
      </c>
      <c r="M417">
        <v>2.2400000000000002</v>
      </c>
      <c r="N417">
        <v>3</v>
      </c>
      <c r="O417" t="s">
        <v>528</v>
      </c>
      <c r="Q417" s="5" t="d">
        <v>PT59H43M0.000S</v>
      </c>
      <c r="R417">
        <v>13</v>
      </c>
      <c r="S417">
        <v>9.9</v>
      </c>
      <c r="T417">
        <v>0</v>
      </c>
      <c r="U417">
        <v>0</v>
      </c>
      <c r="V417">
        <v>0</v>
      </c>
      <c r="W417">
        <v>100</v>
      </c>
      <c r="Y417">
        <v>62</v>
      </c>
      <c r="Z417">
        <v>0</v>
      </c>
      <c r="AA417">
        <v>0</v>
      </c>
      <c r="AB417" s="4" t="d">
        <v>1899-12-30</v>
      </c>
      <c r="AC417">
        <v>2</v>
      </c>
      <c r="AD417">
        <v>0.3</v>
      </c>
    </row>
    <row r="418" spans="1:30" x14ac:dyDescent="0.2">
      <c r="A418" t="s">
        <v>358</v>
      </c>
      <c r="C418">
        <v>0</v>
      </c>
      <c r="D418" t="s">
        <v>346</v>
      </c>
      <c r="E418">
        <v>7400</v>
      </c>
      <c r="F418" t="s">
        <v>85</v>
      </c>
      <c r="G418" t="s">
        <v>507</v>
      </c>
      <c r="H418" s="3" t="d">
        <v>21:59:59.9999999999968050</v>
      </c>
      <c r="I418" t="s">
        <v>503</v>
      </c>
      <c r="J418" s="1">
        <v>0.55400000000000005</v>
      </c>
      <c r="K418">
        <v>80.5</v>
      </c>
      <c r="L418">
        <v>6.5</v>
      </c>
      <c r="M418">
        <v>3.25</v>
      </c>
      <c r="N418">
        <v>3.38</v>
      </c>
      <c r="O418" t="s">
        <v>511</v>
      </c>
      <c r="Q418" s="5" t="d">
        <v>PT43H37M0.000S</v>
      </c>
      <c r="R418">
        <v>2.7</v>
      </c>
      <c r="S418">
        <v>7.18</v>
      </c>
      <c r="T418">
        <v>18.59</v>
      </c>
      <c r="U418">
        <v>4.2300000000000004</v>
      </c>
      <c r="V418">
        <v>4.2300000000000004</v>
      </c>
      <c r="W418">
        <v>100</v>
      </c>
      <c r="Y418">
        <v>0</v>
      </c>
      <c r="Z418">
        <v>0.6</v>
      </c>
      <c r="AA418">
        <v>0</v>
      </c>
      <c r="AB418" s="5" t="d">
        <v>PT56H8M0.000S</v>
      </c>
      <c r="AC418">
        <v>9.1</v>
      </c>
      <c r="AD418">
        <v>1.2</v>
      </c>
    </row>
    <row r="419" spans="1:30" x14ac:dyDescent="0.2">
      <c r="A419" t="s">
        <v>612</v>
      </c>
      <c r="C419">
        <v>0</v>
      </c>
      <c r="D419" t="s">
        <v>343</v>
      </c>
      <c r="E419">
        <v>2500</v>
      </c>
      <c r="F419" t="s">
        <v>509</v>
      </c>
      <c r="G419" t="s">
        <v>510</v>
      </c>
      <c r="H419" s="3" t="d">
        <v>21:59:59.9999999999968050</v>
      </c>
      <c r="I419" t="s">
        <v>499</v>
      </c>
      <c r="J419" s="1">
        <v>0.47199999999999998</v>
      </c>
      <c r="K419">
        <v>-89.5</v>
      </c>
      <c r="L419">
        <v>6</v>
      </c>
      <c r="M419">
        <v>3</v>
      </c>
      <c r="N419">
        <v>2.77</v>
      </c>
      <c r="Q419" s="4" t="d">
        <v>11:41:59.99999999999904150</v>
      </c>
      <c r="R419">
        <v>3.9</v>
      </c>
      <c r="S419">
        <v>4.28</v>
      </c>
      <c r="T419">
        <v>0</v>
      </c>
      <c r="U419">
        <v>0</v>
      </c>
      <c r="V419">
        <v>0</v>
      </c>
      <c r="W419">
        <v>100</v>
      </c>
      <c r="Y419">
        <v>45</v>
      </c>
      <c r="Z419">
        <v>0</v>
      </c>
      <c r="AA419">
        <v>0</v>
      </c>
    </row>
    <row r="420" spans="1:30" x14ac:dyDescent="0.2">
      <c r="A420" t="s">
        <v>574</v>
      </c>
      <c r="C420">
        <v>0</v>
      </c>
      <c r="D420" t="s">
        <v>57</v>
      </c>
      <c r="E420">
        <v>2500</v>
      </c>
      <c r="F420" t="s">
        <v>505</v>
      </c>
      <c r="G420" t="s">
        <v>506</v>
      </c>
      <c r="H420" s="3" t="d">
        <v>18:59:59.9999999999968050</v>
      </c>
      <c r="I420" t="s">
        <v>499</v>
      </c>
      <c r="J420" s="1">
        <v>0.61399999999999999</v>
      </c>
      <c r="K420">
        <v>-159</v>
      </c>
      <c r="L420">
        <v>6</v>
      </c>
      <c r="M420">
        <v>3</v>
      </c>
      <c r="N420">
        <v>2.2400000000000002</v>
      </c>
      <c r="Q420" s="4" t="d">
        <v>11:33:00.00000000000095850</v>
      </c>
      <c r="R420">
        <v>1.9</v>
      </c>
      <c r="S420">
        <v>2.73</v>
      </c>
      <c r="T420">
        <v>0</v>
      </c>
      <c r="U420">
        <v>0</v>
      </c>
      <c r="V420">
        <v>0</v>
      </c>
      <c r="W420">
        <v>100</v>
      </c>
      <c r="Y420">
        <v>28</v>
      </c>
      <c r="Z420">
        <v>0</v>
      </c>
      <c r="AA420">
        <v>0</v>
      </c>
    </row>
    <row r="421" spans="1:30" x14ac:dyDescent="0.2">
      <c r="A421" t="s">
        <v>245</v>
      </c>
      <c r="C421">
        <v>0</v>
      </c>
      <c r="D421" t="s">
        <v>343</v>
      </c>
      <c r="E421">
        <v>2500</v>
      </c>
      <c r="F421" t="s">
        <v>61</v>
      </c>
      <c r="G421" t="s">
        <v>502</v>
      </c>
      <c r="H421" s="3" t="d">
        <v>18:59:59.9999999999968050</v>
      </c>
      <c r="I421" t="s">
        <v>503</v>
      </c>
      <c r="J421" s="1">
        <v>0.58299999999999996</v>
      </c>
      <c r="K421">
        <v>71.5</v>
      </c>
      <c r="L421">
        <v>6.5</v>
      </c>
      <c r="M421">
        <v>3.2</v>
      </c>
      <c r="N421">
        <v>3.25</v>
      </c>
      <c r="O421">
        <v>4</v>
      </c>
      <c r="Q421" s="4" t="d">
        <v>11:49:00.000000000002344800</v>
      </c>
      <c r="R421">
        <v>4.3</v>
      </c>
      <c r="S421">
        <v>4.2699999999999996</v>
      </c>
      <c r="T421">
        <v>13.96</v>
      </c>
      <c r="U421">
        <v>5.42</v>
      </c>
      <c r="V421">
        <v>5.42</v>
      </c>
      <c r="W421">
        <v>100</v>
      </c>
      <c r="Y421">
        <v>50</v>
      </c>
      <c r="Z421">
        <v>2.2000000000000002</v>
      </c>
      <c r="AA421">
        <v>0</v>
      </c>
      <c r="AB421" s="4" t="d">
        <v>09:32:59.99999999999776350</v>
      </c>
      <c r="AC421">
        <v>1.3</v>
      </c>
      <c r="AD421">
        <v>0.5</v>
      </c>
    </row>
    <row r="422" spans="1:30" x14ac:dyDescent="0.2">
      <c r="A422" t="s">
        <v>112</v>
      </c>
      <c r="C422">
        <v>0</v>
      </c>
      <c r="D422" t="s">
        <v>42</v>
      </c>
      <c r="E422">
        <v>2500</v>
      </c>
      <c r="F422" t="s">
        <v>39</v>
      </c>
      <c r="G422" t="s">
        <v>504</v>
      </c>
      <c r="H422" s="3" t="d">
        <v>18:59:59.9999999999968050</v>
      </c>
      <c r="I422" t="s">
        <v>499</v>
      </c>
      <c r="J422" s="1">
        <v>0.41699999999999998</v>
      </c>
      <c r="K422">
        <v>-71.5</v>
      </c>
      <c r="L422">
        <v>6.5</v>
      </c>
      <c r="M422">
        <v>3.25</v>
      </c>
      <c r="N422">
        <v>3.2</v>
      </c>
      <c r="O422">
        <v>4</v>
      </c>
      <c r="P422">
        <v>2</v>
      </c>
      <c r="Q422" s="4" t="d">
        <v>11:16:59.99999999999957625</v>
      </c>
      <c r="R422">
        <v>4.9000000000000004</v>
      </c>
      <c r="S422">
        <v>3.57</v>
      </c>
      <c r="T422">
        <v>12.42</v>
      </c>
      <c r="U422">
        <v>5.28</v>
      </c>
      <c r="V422">
        <v>5.28</v>
      </c>
      <c r="W422">
        <v>100</v>
      </c>
      <c r="Y422">
        <v>64</v>
      </c>
      <c r="Z422">
        <v>2.1</v>
      </c>
      <c r="AA422">
        <v>0</v>
      </c>
      <c r="AB422" s="4" t="d">
        <v>09:30:59.99999999999818725</v>
      </c>
      <c r="AC422">
        <v>11</v>
      </c>
      <c r="AD422">
        <v>4.4000000000000004</v>
      </c>
    </row>
    <row r="423" spans="1:30" x14ac:dyDescent="0.2">
      <c r="A423" t="s">
        <v>317</v>
      </c>
      <c r="C423">
        <v>0</v>
      </c>
      <c r="D423" t="s">
        <v>343</v>
      </c>
      <c r="E423">
        <v>2500</v>
      </c>
      <c r="F423" t="s">
        <v>48</v>
      </c>
      <c r="G423" t="s">
        <v>498</v>
      </c>
      <c r="H423" s="3" t="d">
        <v>21:00:00.000</v>
      </c>
      <c r="I423" t="s">
        <v>499</v>
      </c>
      <c r="J423" s="1">
        <v>0.623</v>
      </c>
      <c r="K423">
        <v>-165</v>
      </c>
      <c r="L423">
        <v>6.5</v>
      </c>
      <c r="M423">
        <v>4.18</v>
      </c>
      <c r="N423">
        <v>3.25</v>
      </c>
      <c r="O423">
        <v>4</v>
      </c>
      <c r="Q423" s="4" t="d">
        <v>06:52:59.99999999999829150</v>
      </c>
      <c r="R423">
        <v>1.8</v>
      </c>
      <c r="S423">
        <v>2.13</v>
      </c>
      <c r="T423">
        <v>8.65</v>
      </c>
      <c r="U423">
        <v>4.3899999999999997</v>
      </c>
      <c r="V423">
        <v>4.3899999999999997</v>
      </c>
      <c r="W423">
        <v>100</v>
      </c>
      <c r="Y423">
        <v>41</v>
      </c>
      <c r="Z423">
        <v>1.8</v>
      </c>
      <c r="AA423">
        <v>0</v>
      </c>
      <c r="AB423" s="4" t="d">
        <v>07:15:59.99999999999818725</v>
      </c>
      <c r="AC423">
        <v>1.5</v>
      </c>
      <c r="AD423">
        <v>0.6</v>
      </c>
    </row>
    <row r="424" spans="1:30" x14ac:dyDescent="0.2">
      <c r="A424" t="s">
        <v>110</v>
      </c>
      <c r="C424">
        <v>0</v>
      </c>
      <c r="D424" t="s">
        <v>343</v>
      </c>
      <c r="E424">
        <v>2500</v>
      </c>
      <c r="F424" t="s">
        <v>85</v>
      </c>
      <c r="G424" t="s">
        <v>507</v>
      </c>
      <c r="H424" s="3" t="d">
        <v>21:59:59.9999999999968050</v>
      </c>
      <c r="I424" t="s">
        <v>503</v>
      </c>
      <c r="J424" s="1">
        <v>0.55400000000000005</v>
      </c>
      <c r="K424">
        <v>80.5</v>
      </c>
      <c r="L424">
        <v>6.5</v>
      </c>
      <c r="M424">
        <v>3.25</v>
      </c>
      <c r="N424">
        <v>3.38</v>
      </c>
      <c r="O424">
        <v>4</v>
      </c>
      <c r="Q424" s="4" t="d">
        <v>12:06:59.99999999999850675</v>
      </c>
      <c r="R424">
        <v>3.7</v>
      </c>
      <c r="S424">
        <v>7.27</v>
      </c>
      <c r="T424">
        <v>17.95</v>
      </c>
      <c r="U424">
        <v>3.41</v>
      </c>
      <c r="V424">
        <v>3.41</v>
      </c>
      <c r="W424">
        <v>100</v>
      </c>
      <c r="Y424">
        <v>2</v>
      </c>
      <c r="Z424">
        <v>1.4</v>
      </c>
      <c r="AA424">
        <v>0</v>
      </c>
      <c r="AB424" s="4" t="d">
        <v>08:23:59.99999999999808300</v>
      </c>
      <c r="AC424">
        <v>6.3</v>
      </c>
      <c r="AD424">
        <v>2.5</v>
      </c>
    </row>
    <row r="425" spans="1:30" x14ac:dyDescent="0.2">
      <c r="A425" t="s">
        <v>93</v>
      </c>
      <c r="C425">
        <v>0</v>
      </c>
      <c r="D425" t="s">
        <v>42</v>
      </c>
      <c r="E425">
        <v>2500</v>
      </c>
      <c r="F425" t="s">
        <v>59</v>
      </c>
      <c r="G425" t="s">
        <v>521</v>
      </c>
      <c r="H425" s="3" t="d">
        <v>21:59:59.9999999999968050</v>
      </c>
      <c r="I425" t="s">
        <v>503</v>
      </c>
      <c r="J425" s="1">
        <v>0.52800000000000002</v>
      </c>
      <c r="K425">
        <v>89.5</v>
      </c>
      <c r="L425">
        <v>6</v>
      </c>
      <c r="M425">
        <v>2.77</v>
      </c>
      <c r="N425">
        <v>3</v>
      </c>
      <c r="O425">
        <v>3</v>
      </c>
      <c r="Q425" s="4" t="d">
        <v>15:42:00.00000000000063900</v>
      </c>
      <c r="R425">
        <v>6.1</v>
      </c>
      <c r="S425">
        <v>3.8</v>
      </c>
      <c r="T425">
        <v>12.73</v>
      </c>
      <c r="U425">
        <v>5.13</v>
      </c>
      <c r="V425">
        <v>5.13</v>
      </c>
      <c r="W425">
        <v>100</v>
      </c>
      <c r="Y425">
        <v>69</v>
      </c>
      <c r="Z425">
        <v>2.1</v>
      </c>
      <c r="AA425">
        <v>0</v>
      </c>
      <c r="AB425" s="4" t="d">
        <v>14:24:59.99999999999786775</v>
      </c>
      <c r="AC425">
        <v>11.5</v>
      </c>
      <c r="AD425">
        <v>4.5999999999999996</v>
      </c>
    </row>
    <row r="426" spans="1:30" x14ac:dyDescent="0.2">
      <c r="A426" t="s">
        <v>560</v>
      </c>
      <c r="C426">
        <v>0</v>
      </c>
      <c r="D426" t="s">
        <v>343</v>
      </c>
      <c r="E426">
        <v>3000</v>
      </c>
      <c r="F426" t="s">
        <v>148</v>
      </c>
      <c r="G426" t="s">
        <v>512</v>
      </c>
      <c r="H426" s="3" t="d">
        <v>18:59:59.9999999999968050</v>
      </c>
      <c r="I426" t="s">
        <v>503</v>
      </c>
      <c r="J426" s="1">
        <v>0.38600000000000001</v>
      </c>
      <c r="K426">
        <v>159</v>
      </c>
      <c r="L426">
        <v>6</v>
      </c>
      <c r="M426">
        <v>2.2400000000000002</v>
      </c>
      <c r="N426">
        <v>3</v>
      </c>
      <c r="Q426" s="4" t="d">
        <v>18:13:59.99999999999701350</v>
      </c>
      <c r="R426">
        <v>5.9</v>
      </c>
      <c r="S426">
        <v>5.27</v>
      </c>
      <c r="T426">
        <v>0</v>
      </c>
      <c r="U426">
        <v>0</v>
      </c>
      <c r="V426">
        <v>0</v>
      </c>
      <c r="W426">
        <v>100</v>
      </c>
      <c r="Y426">
        <v>55</v>
      </c>
      <c r="Z426">
        <v>0</v>
      </c>
      <c r="AA426">
        <v>0</v>
      </c>
    </row>
    <row r="427" spans="1:30" x14ac:dyDescent="0.2">
      <c r="A427" t="s">
        <v>537</v>
      </c>
      <c r="C427">
        <v>0</v>
      </c>
      <c r="D427" t="s">
        <v>346</v>
      </c>
      <c r="E427">
        <v>7100</v>
      </c>
      <c r="F427" t="s">
        <v>59</v>
      </c>
      <c r="G427" t="s">
        <v>521</v>
      </c>
      <c r="H427" s="3" t="d">
        <v>21:59:59.9999999999968050</v>
      </c>
      <c r="I427" t="s">
        <v>503</v>
      </c>
      <c r="J427" s="1">
        <v>0.52800000000000002</v>
      </c>
      <c r="K427">
        <v>89.5</v>
      </c>
      <c r="L427">
        <v>6</v>
      </c>
      <c r="M427">
        <v>2.77</v>
      </c>
      <c r="N427">
        <v>3</v>
      </c>
      <c r="O427" t="s">
        <v>528</v>
      </c>
      <c r="Q427" s="5" t="d">
        <v>PT56H4M0.000S</v>
      </c>
      <c r="R427">
        <v>9.6</v>
      </c>
      <c r="S427">
        <v>9.07</v>
      </c>
      <c r="T427">
        <v>0</v>
      </c>
      <c r="U427">
        <v>0</v>
      </c>
      <c r="V427">
        <v>0</v>
      </c>
      <c r="W427">
        <v>100</v>
      </c>
      <c r="Y427">
        <v>53</v>
      </c>
      <c r="Z427">
        <v>0</v>
      </c>
      <c r="AA427">
        <v>0</v>
      </c>
    </row>
    <row r="428" spans="1:30" x14ac:dyDescent="0.2">
      <c r="A428" t="s">
        <v>288</v>
      </c>
      <c r="C428">
        <v>0</v>
      </c>
      <c r="D428" t="s">
        <v>57</v>
      </c>
      <c r="E428">
        <v>4900</v>
      </c>
      <c r="F428" t="s">
        <v>52</v>
      </c>
      <c r="G428" t="s">
        <v>508</v>
      </c>
      <c r="H428" s="3" t="d">
        <v>20:00:00.0000000000031950</v>
      </c>
      <c r="I428" t="s">
        <v>499</v>
      </c>
      <c r="J428" s="1">
        <v>0.48599999999999999</v>
      </c>
      <c r="K428">
        <v>-94.5</v>
      </c>
      <c r="L428">
        <v>5.5</v>
      </c>
      <c r="M428">
        <v>3.07</v>
      </c>
      <c r="N428">
        <v>2.75</v>
      </c>
      <c r="O428">
        <v>2</v>
      </c>
      <c r="P428">
        <v>2</v>
      </c>
      <c r="Q428" s="4" t="d">
        <v>23:05:00.00000000000213225</v>
      </c>
      <c r="R428">
        <v>9.4</v>
      </c>
      <c r="S428">
        <v>6.6</v>
      </c>
      <c r="T428">
        <v>22.89</v>
      </c>
      <c r="U428">
        <v>9.69</v>
      </c>
      <c r="V428">
        <v>9.69</v>
      </c>
      <c r="W428">
        <v>100</v>
      </c>
      <c r="Y428">
        <v>65</v>
      </c>
      <c r="Z428">
        <v>2</v>
      </c>
      <c r="AA428">
        <v>0</v>
      </c>
      <c r="AB428" s="5" t="d">
        <v>PT26H2M0.000S</v>
      </c>
      <c r="AC428">
        <v>2.6</v>
      </c>
      <c r="AD428">
        <v>0.5</v>
      </c>
    </row>
    <row r="429" spans="1:30" x14ac:dyDescent="0.2">
      <c r="A429" t="s">
        <v>339</v>
      </c>
      <c r="C429">
        <v>0</v>
      </c>
      <c r="D429" t="s">
        <v>42</v>
      </c>
      <c r="E429">
        <v>2500</v>
      </c>
      <c r="F429" t="s">
        <v>64</v>
      </c>
      <c r="G429" t="s">
        <v>517</v>
      </c>
      <c r="H429" s="3" t="d">
        <v>21:59:59.9999999999968050</v>
      </c>
      <c r="I429" t="s">
        <v>503</v>
      </c>
      <c r="J429" s="1">
        <v>0.52900000000000003</v>
      </c>
      <c r="K429">
        <v>89</v>
      </c>
      <c r="L429">
        <v>6</v>
      </c>
      <c r="M429">
        <v>3</v>
      </c>
      <c r="N429">
        <v>3.14</v>
      </c>
      <c r="O429">
        <v>4</v>
      </c>
      <c r="Q429" s="4" t="d">
        <v>12:42:00.00000000000063900</v>
      </c>
      <c r="R429">
        <v>2.1</v>
      </c>
      <c r="S429">
        <v>3.6</v>
      </c>
      <c r="T429">
        <v>10.220000000000001</v>
      </c>
      <c r="U429">
        <v>3.02</v>
      </c>
      <c r="V429">
        <v>3.02</v>
      </c>
      <c r="W429">
        <v>100</v>
      </c>
      <c r="Y429">
        <v>14</v>
      </c>
      <c r="Z429">
        <v>1.2</v>
      </c>
      <c r="AA429">
        <v>0</v>
      </c>
      <c r="AB429" s="4" t="d">
        <v>14:13:00.00000000000042375</v>
      </c>
      <c r="AC429">
        <v>2.8</v>
      </c>
      <c r="AD429">
        <v>1.1000000000000001</v>
      </c>
    </row>
    <row r="430" spans="1:30" x14ac:dyDescent="0.2">
      <c r="A430" t="s">
        <v>103</v>
      </c>
      <c r="C430">
        <v>0</v>
      </c>
      <c r="D430" t="s">
        <v>343</v>
      </c>
      <c r="E430">
        <v>6100</v>
      </c>
      <c r="F430" t="s">
        <v>509</v>
      </c>
      <c r="G430" t="s">
        <v>510</v>
      </c>
      <c r="H430" s="3" t="d">
        <v>21:59:59.9999999999968050</v>
      </c>
      <c r="I430" t="s">
        <v>499</v>
      </c>
      <c r="J430" s="1">
        <v>0.47199999999999998</v>
      </c>
      <c r="K430">
        <v>-89.5</v>
      </c>
      <c r="L430">
        <v>6</v>
      </c>
      <c r="M430">
        <v>3</v>
      </c>
      <c r="N430">
        <v>2.77</v>
      </c>
      <c r="O430">
        <v>1</v>
      </c>
      <c r="P430">
        <v>2</v>
      </c>
      <c r="Q430" s="4" t="d">
        <v>18:36:00.00000000000191700</v>
      </c>
      <c r="R430">
        <v>10.5</v>
      </c>
      <c r="S430">
        <v>7.13</v>
      </c>
      <c r="T430">
        <v>26.01</v>
      </c>
      <c r="U430">
        <v>11.75</v>
      </c>
      <c r="V430">
        <v>11.75</v>
      </c>
      <c r="W430">
        <v>100</v>
      </c>
      <c r="Y430">
        <v>66</v>
      </c>
      <c r="Z430">
        <v>1.9</v>
      </c>
      <c r="AA430">
        <v>0</v>
      </c>
      <c r="AB430" s="4" t="d">
        <v>17:02:00.00000000000277125</v>
      </c>
      <c r="AC430">
        <v>6.5</v>
      </c>
      <c r="AD430">
        <v>1.1000000000000001</v>
      </c>
    </row>
    <row r="431" spans="1:30" x14ac:dyDescent="0.2">
      <c r="A431" t="s">
        <v>262</v>
      </c>
      <c r="C431">
        <v>0</v>
      </c>
      <c r="D431" t="s">
        <v>57</v>
      </c>
      <c r="E431">
        <v>3000</v>
      </c>
      <c r="F431" t="s">
        <v>500</v>
      </c>
      <c r="G431" t="s">
        <v>501</v>
      </c>
      <c r="H431" s="3" t="d">
        <v>21:59:59.9999999999968050</v>
      </c>
      <c r="I431" t="s">
        <v>499</v>
      </c>
      <c r="J431" s="1">
        <v>0.44600000000000001</v>
      </c>
      <c r="K431">
        <v>-80.5</v>
      </c>
      <c r="L431">
        <v>6.5</v>
      </c>
      <c r="M431">
        <v>3.38</v>
      </c>
      <c r="N431">
        <v>3.25</v>
      </c>
      <c r="O431">
        <v>2</v>
      </c>
      <c r="Q431" s="4" t="d">
        <v>20:15:59.999999999999786775</v>
      </c>
      <c r="R431">
        <v>5.6</v>
      </c>
      <c r="S431">
        <v>3.88</v>
      </c>
      <c r="T431">
        <v>14.84</v>
      </c>
      <c r="U431">
        <v>7.08</v>
      </c>
      <c r="V431">
        <v>7.08</v>
      </c>
      <c r="W431">
        <v>100</v>
      </c>
      <c r="Y431">
        <v>65</v>
      </c>
      <c r="Z431">
        <v>2.4</v>
      </c>
      <c r="AA431">
        <v>0</v>
      </c>
      <c r="AB431" s="4" t="d">
        <v>19:40:59.9999999999976525</v>
      </c>
      <c r="AC431">
        <v>5.6</v>
      </c>
      <c r="AD431">
        <v>1.9</v>
      </c>
    </row>
    <row r="432" spans="1:30" x14ac:dyDescent="0.2">
      <c r="A432" t="s">
        <v>156</v>
      </c>
      <c r="C432">
        <v>0</v>
      </c>
      <c r="D432" t="s">
        <v>57</v>
      </c>
      <c r="E432">
        <v>2500</v>
      </c>
      <c r="F432" t="s">
        <v>59</v>
      </c>
      <c r="G432" t="s">
        <v>521</v>
      </c>
      <c r="H432" s="3" t="d">
        <v>21:59:59.9999999999968050</v>
      </c>
      <c r="I432" t="s">
        <v>503</v>
      </c>
      <c r="J432" s="1">
        <v>0.52800000000000002</v>
      </c>
      <c r="K432">
        <v>89.5</v>
      </c>
      <c r="L432">
        <v>6</v>
      </c>
      <c r="M432">
        <v>2.77</v>
      </c>
      <c r="N432">
        <v>3</v>
      </c>
      <c r="O432">
        <v>3</v>
      </c>
      <c r="P432">
        <v>1</v>
      </c>
      <c r="Q432" s="4" t="d">
        <v>14:53:00.00000000000149325</v>
      </c>
      <c r="R432">
        <v>4.5</v>
      </c>
      <c r="S432">
        <v>3.63</v>
      </c>
      <c r="T432">
        <v>11.98</v>
      </c>
      <c r="U432">
        <v>4.72</v>
      </c>
      <c r="V432">
        <v>4.72</v>
      </c>
      <c r="W432">
        <v>100</v>
      </c>
      <c r="Y432">
        <v>60</v>
      </c>
      <c r="Z432">
        <v>1.9</v>
      </c>
      <c r="AA432">
        <v>0</v>
      </c>
      <c r="AB432" s="4" t="d">
        <v>13:15:00.0000000000031950</v>
      </c>
      <c r="AC432">
        <v>7.6</v>
      </c>
      <c r="AD432">
        <v>3</v>
      </c>
    </row>
    <row r="433" spans="1:30" x14ac:dyDescent="0.2">
      <c r="A433" t="s">
        <v>92</v>
      </c>
      <c r="C433">
        <v>0</v>
      </c>
      <c r="D433" t="s">
        <v>343</v>
      </c>
      <c r="E433">
        <v>6000</v>
      </c>
      <c r="F433" t="s">
        <v>56</v>
      </c>
      <c r="G433" t="s">
        <v>513</v>
      </c>
      <c r="H433" s="3" t="d">
        <v>21:00:00.000</v>
      </c>
      <c r="I433" t="s">
        <v>499</v>
      </c>
      <c r="J433" s="1">
        <v>0.45900000000000002</v>
      </c>
      <c r="K433">
        <v>-85</v>
      </c>
      <c r="L433">
        <v>6</v>
      </c>
      <c r="M433">
        <v>3</v>
      </c>
      <c r="N433">
        <v>2.8</v>
      </c>
      <c r="O433">
        <v>2</v>
      </c>
      <c r="P433">
        <v>1</v>
      </c>
      <c r="Q433" s="4" t="d">
        <v>19:24:00.00000000000127800</v>
      </c>
      <c r="R433">
        <v>11.9</v>
      </c>
      <c r="S433">
        <v>9.24</v>
      </c>
      <c r="T433">
        <v>32.4</v>
      </c>
      <c r="U433">
        <v>13.92</v>
      </c>
      <c r="V433">
        <v>13.92</v>
      </c>
      <c r="W433">
        <v>100</v>
      </c>
      <c r="Y433">
        <v>61</v>
      </c>
      <c r="Z433">
        <v>2.2999999999999998</v>
      </c>
      <c r="AA433">
        <v>0</v>
      </c>
      <c r="AB433" s="4" t="d">
        <v>16:30:00.000</v>
      </c>
      <c r="AC433">
        <v>9.5</v>
      </c>
      <c r="AD433">
        <v>1.6</v>
      </c>
    </row>
    <row r="434" spans="1:30" x14ac:dyDescent="0.2">
      <c r="A434" t="s">
        <v>195</v>
      </c>
      <c r="C434">
        <v>0</v>
      </c>
      <c r="D434" t="s">
        <v>42</v>
      </c>
      <c r="E434">
        <v>6100</v>
      </c>
      <c r="F434" t="s">
        <v>39</v>
      </c>
      <c r="G434" t="s">
        <v>504</v>
      </c>
      <c r="H434" s="3" t="d">
        <v>18:59:59.9999999999968050</v>
      </c>
      <c r="I434" t="s">
        <v>499</v>
      </c>
      <c r="J434" s="1">
        <v>0.41699999999999998</v>
      </c>
      <c r="K434">
        <v>-71.5</v>
      </c>
      <c r="L434">
        <v>6.5</v>
      </c>
      <c r="M434">
        <v>3.25</v>
      </c>
      <c r="N434">
        <v>3.2</v>
      </c>
      <c r="O434">
        <v>3</v>
      </c>
      <c r="P434">
        <v>1</v>
      </c>
      <c r="Q434" s="4" t="d">
        <v>17:49:00.000000000002344800</v>
      </c>
      <c r="R434">
        <v>11.5</v>
      </c>
      <c r="S434">
        <v>8.99</v>
      </c>
      <c r="T434">
        <v>33.11</v>
      </c>
      <c r="U434">
        <v>15.13</v>
      </c>
      <c r="V434">
        <v>15.13</v>
      </c>
      <c r="W434">
        <v>100</v>
      </c>
      <c r="Y434">
        <v>61</v>
      </c>
      <c r="Z434">
        <v>2.5</v>
      </c>
      <c r="AA434">
        <v>0</v>
      </c>
      <c r="AB434" s="4" t="d">
        <v>17:24:59.99999999999786775</v>
      </c>
      <c r="AC434">
        <v>3</v>
      </c>
      <c r="AD434">
        <v>0.5</v>
      </c>
    </row>
    <row r="435" spans="1:30" x14ac:dyDescent="0.2">
      <c r="A435" t="s">
        <v>584</v>
      </c>
      <c r="C435">
        <v>0</v>
      </c>
      <c r="D435" t="s">
        <v>57</v>
      </c>
      <c r="E435">
        <v>2500</v>
      </c>
      <c r="F435" t="s">
        <v>45</v>
      </c>
      <c r="G435" t="s">
        <v>523</v>
      </c>
      <c r="H435" s="3" t="d">
        <v>20:00:00.0000000000031950</v>
      </c>
      <c r="I435" t="s">
        <v>503</v>
      </c>
      <c r="J435" s="1">
        <v>0.51400000000000001</v>
      </c>
      <c r="K435">
        <v>94.5</v>
      </c>
      <c r="L435">
        <v>5.5</v>
      </c>
      <c r="M435">
        <v>2.75</v>
      </c>
      <c r="N435">
        <v>3.07</v>
      </c>
      <c r="T435">
        <v>0</v>
      </c>
      <c r="U435">
        <v>0</v>
      </c>
      <c r="V435">
        <v>0</v>
      </c>
      <c r="W435">
        <v>100</v>
      </c>
      <c r="Y435">
        <v>0</v>
      </c>
      <c r="Z435">
        <v>0</v>
      </c>
      <c r="AA435">
        <v>0</v>
      </c>
    </row>
    <row r="436" spans="1:30" x14ac:dyDescent="0.2">
      <c r="A436" t="s">
        <v>105</v>
      </c>
      <c r="C436">
        <v>0</v>
      </c>
      <c r="D436" t="s">
        <v>343</v>
      </c>
      <c r="E436">
        <v>5800</v>
      </c>
      <c r="F436" t="s">
        <v>35</v>
      </c>
      <c r="G436" t="s">
        <v>516</v>
      </c>
      <c r="H436" s="3" t="d">
        <v>21:00:00.000</v>
      </c>
      <c r="I436" t="s">
        <v>503</v>
      </c>
      <c r="J436" s="1">
        <v>0.377</v>
      </c>
      <c r="K436">
        <v>165</v>
      </c>
      <c r="L436">
        <v>6.5</v>
      </c>
      <c r="M436">
        <v>3.25</v>
      </c>
      <c r="N436">
        <v>4.18</v>
      </c>
      <c r="O436">
        <v>1</v>
      </c>
      <c r="P436">
        <v>1</v>
      </c>
      <c r="Q436" s="4" t="d">
        <v>18:49:59.99999999999893725</v>
      </c>
      <c r="R436">
        <v>10.7</v>
      </c>
      <c r="S436">
        <v>7.17</v>
      </c>
      <c r="T436">
        <v>27.49</v>
      </c>
      <c r="U436">
        <v>13.15</v>
      </c>
      <c r="V436">
        <v>13.15</v>
      </c>
      <c r="W436">
        <v>100</v>
      </c>
      <c r="Y436">
        <v>66</v>
      </c>
      <c r="Z436">
        <v>2.2999999999999998</v>
      </c>
      <c r="AA436">
        <v>0</v>
      </c>
      <c r="AB436" s="4" t="d">
        <v>19:53:00.000000000004689600</v>
      </c>
      <c r="AC436">
        <v>6.5</v>
      </c>
      <c r="AD436">
        <v>1.1000000000000001</v>
      </c>
    </row>
    <row r="437" spans="1:30" x14ac:dyDescent="0.2">
      <c r="A437" t="s">
        <v>220</v>
      </c>
      <c r="C437">
        <v>0</v>
      </c>
      <c r="D437" t="s">
        <v>57</v>
      </c>
      <c r="E437">
        <v>3700</v>
      </c>
      <c r="F437" t="s">
        <v>35</v>
      </c>
      <c r="G437" t="s">
        <v>516</v>
      </c>
      <c r="H437" s="3" t="d">
        <v>21:00:00.000</v>
      </c>
      <c r="I437" t="s">
        <v>503</v>
      </c>
      <c r="J437" s="1">
        <v>0.377</v>
      </c>
      <c r="K437">
        <v>165</v>
      </c>
      <c r="L437">
        <v>6.5</v>
      </c>
      <c r="M437">
        <v>3.25</v>
      </c>
      <c r="N437">
        <v>4.18</v>
      </c>
      <c r="O437">
        <v>1</v>
      </c>
      <c r="Q437" s="5" t="d">
        <v>PT24H7M0.000S</v>
      </c>
      <c r="R437">
        <v>8</v>
      </c>
      <c r="S437">
        <v>5.43</v>
      </c>
      <c r="T437">
        <v>20.2</v>
      </c>
      <c r="U437">
        <v>9.34</v>
      </c>
      <c r="V437">
        <v>9.34</v>
      </c>
      <c r="W437">
        <v>100</v>
      </c>
      <c r="Y437">
        <v>66</v>
      </c>
      <c r="Z437">
        <v>2.5</v>
      </c>
      <c r="AA437">
        <v>0</v>
      </c>
      <c r="AB437" s="4" t="d">
        <v>22:04:59.99999999999573550</v>
      </c>
      <c r="AC437">
        <v>6.9</v>
      </c>
      <c r="AD437">
        <v>1.9</v>
      </c>
    </row>
    <row r="438" spans="1:30" x14ac:dyDescent="0.2">
      <c r="A438" t="s">
        <v>411</v>
      </c>
      <c r="C438">
        <v>0</v>
      </c>
      <c r="D438" t="s">
        <v>346</v>
      </c>
      <c r="E438">
        <v>6500</v>
      </c>
      <c r="F438" t="s">
        <v>48</v>
      </c>
      <c r="G438" t="s">
        <v>498</v>
      </c>
      <c r="H438" s="3" t="d">
        <v>21:00:00.000</v>
      </c>
      <c r="I438" t="s">
        <v>499</v>
      </c>
      <c r="J438" s="1">
        <v>0.623</v>
      </c>
      <c r="K438">
        <v>-165</v>
      </c>
      <c r="L438">
        <v>6.5</v>
      </c>
      <c r="M438">
        <v>4.18</v>
      </c>
      <c r="N438">
        <v>3.25</v>
      </c>
      <c r="O438" t="s">
        <v>528</v>
      </c>
      <c r="Q438" s="5" t="d">
        <v>PT52H49M0.000S</v>
      </c>
      <c r="R438">
        <v>12.7</v>
      </c>
      <c r="S438">
        <v>10.8</v>
      </c>
      <c r="T438">
        <v>0</v>
      </c>
      <c r="U438">
        <v>0</v>
      </c>
      <c r="V438">
        <v>0</v>
      </c>
      <c r="W438">
        <v>100</v>
      </c>
      <c r="Y438">
        <v>57</v>
      </c>
      <c r="Z438">
        <v>0</v>
      </c>
      <c r="AA438">
        <v>0</v>
      </c>
    </row>
    <row r="439" spans="1:30" x14ac:dyDescent="0.2">
      <c r="A439" t="s">
        <v>219</v>
      </c>
      <c r="C439">
        <v>0</v>
      </c>
      <c r="D439" t="s">
        <v>57</v>
      </c>
      <c r="E439">
        <v>2500</v>
      </c>
      <c r="F439" t="s">
        <v>56</v>
      </c>
      <c r="G439" t="s">
        <v>513</v>
      </c>
      <c r="H439" s="3" t="d">
        <v>21:00:00.000</v>
      </c>
      <c r="I439" t="s">
        <v>499</v>
      </c>
      <c r="J439" s="1">
        <v>0.45900000000000002</v>
      </c>
      <c r="K439">
        <v>-85</v>
      </c>
      <c r="L439">
        <v>6</v>
      </c>
      <c r="M439">
        <v>3</v>
      </c>
      <c r="N439">
        <v>2.8</v>
      </c>
      <c r="O439">
        <v>3</v>
      </c>
      <c r="Q439" s="4" t="d">
        <v>15:21:59.99999999999531175</v>
      </c>
      <c r="R439">
        <v>3.7</v>
      </c>
      <c r="S439">
        <v>3.2</v>
      </c>
      <c r="T439">
        <v>10.61</v>
      </c>
      <c r="U439">
        <v>4.21</v>
      </c>
      <c r="V439">
        <v>4.21</v>
      </c>
      <c r="W439">
        <v>100</v>
      </c>
      <c r="Y439">
        <v>57</v>
      </c>
      <c r="Z439">
        <v>1.7</v>
      </c>
      <c r="AA439">
        <v>0</v>
      </c>
      <c r="AB439" s="4" t="d">
        <v>16:24:00.00000000000127800</v>
      </c>
      <c r="AC439">
        <v>8.1999999999999993</v>
      </c>
      <c r="AD439">
        <v>3.3</v>
      </c>
    </row>
    <row r="440" spans="1:30" x14ac:dyDescent="0.2">
      <c r="A440" t="s">
        <v>285</v>
      </c>
      <c r="C440">
        <v>0</v>
      </c>
      <c r="D440" t="s">
        <v>343</v>
      </c>
      <c r="E440">
        <v>5600</v>
      </c>
      <c r="F440" t="s">
        <v>35</v>
      </c>
      <c r="G440" t="s">
        <v>516</v>
      </c>
      <c r="H440" s="3" t="d">
        <v>21:00:00.000</v>
      </c>
      <c r="I440" t="s">
        <v>503</v>
      </c>
      <c r="J440" s="1">
        <v>0.377</v>
      </c>
      <c r="K440">
        <v>165</v>
      </c>
      <c r="L440">
        <v>6.5</v>
      </c>
      <c r="M440">
        <v>3.25</v>
      </c>
      <c r="N440">
        <v>4.18</v>
      </c>
      <c r="O440">
        <v>1</v>
      </c>
      <c r="P440">
        <v>1</v>
      </c>
      <c r="Q440" s="4" t="d">
        <v>18:47:59.99999999999936100</v>
      </c>
      <c r="R440">
        <v>10</v>
      </c>
      <c r="S440">
        <v>8.43</v>
      </c>
      <c r="T440">
        <v>28.73</v>
      </c>
      <c r="U440">
        <v>11.87</v>
      </c>
      <c r="V440">
        <v>11.87</v>
      </c>
      <c r="W440">
        <v>100</v>
      </c>
      <c r="Y440">
        <v>58</v>
      </c>
      <c r="Z440">
        <v>2.1</v>
      </c>
      <c r="AA440">
        <v>0</v>
      </c>
      <c r="AB440" s="4" t="d">
        <v>15:11:59.999999999997441975</v>
      </c>
      <c r="AC440">
        <v>2.8</v>
      </c>
      <c r="AD440">
        <v>0.5</v>
      </c>
    </row>
    <row r="441" spans="1:30" x14ac:dyDescent="0.2">
      <c r="A441" t="s">
        <v>379</v>
      </c>
      <c r="C441">
        <v>0</v>
      </c>
      <c r="D441" t="s">
        <v>42</v>
      </c>
      <c r="E441">
        <v>2500</v>
      </c>
      <c r="F441" t="s">
        <v>48</v>
      </c>
      <c r="G441" t="s">
        <v>498</v>
      </c>
      <c r="H441" s="3" t="d">
        <v>21:00:00.000</v>
      </c>
      <c r="I441" t="s">
        <v>499</v>
      </c>
      <c r="J441" s="1">
        <v>0.623</v>
      </c>
      <c r="K441">
        <v>-165</v>
      </c>
      <c r="L441">
        <v>6.5</v>
      </c>
      <c r="M441">
        <v>4.18</v>
      </c>
      <c r="N441">
        <v>3.25</v>
      </c>
      <c r="Q441" s="4" t="d">
        <v>08:22:59.99999999999829150</v>
      </c>
      <c r="R441">
        <v>5.8</v>
      </c>
      <c r="S441">
        <v>6.78</v>
      </c>
      <c r="T441">
        <v>0</v>
      </c>
      <c r="U441">
        <v>0</v>
      </c>
      <c r="V441">
        <v>0</v>
      </c>
      <c r="W441">
        <v>100</v>
      </c>
      <c r="Y441">
        <v>42</v>
      </c>
      <c r="Z441">
        <v>0</v>
      </c>
      <c r="AA441">
        <v>0</v>
      </c>
    </row>
    <row r="442" spans="1:30" x14ac:dyDescent="0.2">
      <c r="A442" t="s">
        <v>257</v>
      </c>
      <c r="C442">
        <v>0</v>
      </c>
      <c r="D442" t="s">
        <v>57</v>
      </c>
      <c r="E442">
        <v>2600</v>
      </c>
      <c r="F442" t="s">
        <v>61</v>
      </c>
      <c r="G442" t="s">
        <v>502</v>
      </c>
      <c r="H442" s="3" t="d">
        <v>18:59:59.9999999999968050</v>
      </c>
      <c r="I442" t="s">
        <v>503</v>
      </c>
      <c r="J442" s="1">
        <v>0.58299999999999996</v>
      </c>
      <c r="K442">
        <v>71.5</v>
      </c>
      <c r="L442">
        <v>6.5</v>
      </c>
      <c r="M442">
        <v>3.2</v>
      </c>
      <c r="N442">
        <v>3.25</v>
      </c>
      <c r="O442">
        <v>3</v>
      </c>
      <c r="Q442" s="4" t="d">
        <v>19:14:00.00000000000341025</v>
      </c>
      <c r="R442">
        <v>4.5999999999999996</v>
      </c>
      <c r="S442">
        <v>4.67</v>
      </c>
      <c r="T442">
        <v>15.93</v>
      </c>
      <c r="U442">
        <v>6.59</v>
      </c>
      <c r="V442">
        <v>6.59</v>
      </c>
      <c r="W442">
        <v>100</v>
      </c>
      <c r="Y442">
        <v>49</v>
      </c>
      <c r="Z442">
        <v>2.5</v>
      </c>
      <c r="AA442">
        <v>0</v>
      </c>
      <c r="AB442" s="4" t="d">
        <v>16:50:59.99999999999552025</v>
      </c>
      <c r="AC442">
        <v>1.3</v>
      </c>
      <c r="AD442">
        <v>0.5</v>
      </c>
    </row>
    <row r="443" spans="1:30" x14ac:dyDescent="0.2">
      <c r="A443" t="s">
        <v>546</v>
      </c>
      <c r="C443">
        <v>0</v>
      </c>
      <c r="D443" t="s">
        <v>343</v>
      </c>
      <c r="E443">
        <v>5100</v>
      </c>
      <c r="F443" t="s">
        <v>64</v>
      </c>
      <c r="G443" t="s">
        <v>517</v>
      </c>
      <c r="H443" s="3" t="d">
        <v>21:59:59.9999999999968050</v>
      </c>
      <c r="I443" t="s">
        <v>503</v>
      </c>
      <c r="J443" s="1">
        <v>0.52900000000000003</v>
      </c>
      <c r="K443">
        <v>89</v>
      </c>
      <c r="L443">
        <v>6</v>
      </c>
      <c r="M443">
        <v>3</v>
      </c>
      <c r="N443">
        <v>3.14</v>
      </c>
      <c r="Q443" s="4" t="d">
        <v>18:35:00.00000000000213225</v>
      </c>
      <c r="R443">
        <v>10.1</v>
      </c>
      <c r="S443">
        <v>7.11</v>
      </c>
      <c r="T443">
        <v>0</v>
      </c>
      <c r="U443">
        <v>0</v>
      </c>
      <c r="V443">
        <v>0</v>
      </c>
      <c r="W443">
        <v>100</v>
      </c>
      <c r="Y443">
        <v>65</v>
      </c>
      <c r="Z443">
        <v>0</v>
      </c>
      <c r="AA443">
        <v>0</v>
      </c>
    </row>
    <row r="444" spans="1:30" x14ac:dyDescent="0.2">
      <c r="A444" t="s">
        <v>625</v>
      </c>
      <c r="C444">
        <v>0</v>
      </c>
      <c r="D444" t="s">
        <v>42</v>
      </c>
      <c r="E444">
        <v>2500</v>
      </c>
      <c r="F444" t="s">
        <v>500</v>
      </c>
      <c r="G444" t="s">
        <v>501</v>
      </c>
      <c r="H444" s="3" t="d">
        <v>21:59:59.9999999999968050</v>
      </c>
      <c r="I444" t="s">
        <v>499</v>
      </c>
      <c r="J444" s="1">
        <v>0.44600000000000001</v>
      </c>
      <c r="K444">
        <v>-80.5</v>
      </c>
      <c r="L444">
        <v>6.5</v>
      </c>
      <c r="M444">
        <v>3.38</v>
      </c>
      <c r="N444">
        <v>3.25</v>
      </c>
      <c r="Q444" s="4" t="d">
        <v>14:29:59.9999999999968050</v>
      </c>
      <c r="R444">
        <v>4.3</v>
      </c>
      <c r="S444">
        <v>3.7</v>
      </c>
      <c r="T444">
        <v>0</v>
      </c>
      <c r="U444">
        <v>0</v>
      </c>
      <c r="V444">
        <v>0</v>
      </c>
      <c r="W444">
        <v>100</v>
      </c>
      <c r="Y444">
        <v>57</v>
      </c>
      <c r="Z444">
        <v>0</v>
      </c>
      <c r="AA444">
        <v>0</v>
      </c>
    </row>
    <row r="445" spans="1:30" x14ac:dyDescent="0.2">
      <c r="A445" t="s">
        <v>589</v>
      </c>
      <c r="C445">
        <v>0</v>
      </c>
      <c r="D445" t="s">
        <v>57</v>
      </c>
      <c r="E445">
        <v>2500</v>
      </c>
      <c r="F445" t="s">
        <v>35</v>
      </c>
      <c r="G445" t="s">
        <v>516</v>
      </c>
      <c r="H445" s="3" t="d">
        <v>21:00:00.000</v>
      </c>
      <c r="I445" t="s">
        <v>503</v>
      </c>
      <c r="J445" s="1">
        <v>0.377</v>
      </c>
      <c r="K445">
        <v>165</v>
      </c>
      <c r="L445">
        <v>6.5</v>
      </c>
      <c r="M445">
        <v>3.25</v>
      </c>
      <c r="N445">
        <v>4.18</v>
      </c>
      <c r="Q445" s="4" t="d">
        <v>15:00:00.000</v>
      </c>
      <c r="R445">
        <v>1.4</v>
      </c>
      <c r="S445">
        <v>0.09</v>
      </c>
      <c r="T445">
        <v>0</v>
      </c>
      <c r="U445">
        <v>0</v>
      </c>
      <c r="V445">
        <v>0</v>
      </c>
      <c r="W445">
        <v>100</v>
      </c>
      <c r="Y445">
        <v>97</v>
      </c>
      <c r="Z445">
        <v>0</v>
      </c>
      <c r="AA445">
        <v>0</v>
      </c>
    </row>
    <row r="446" spans="1:30" x14ac:dyDescent="0.2">
      <c r="A446" t="s">
        <v>445</v>
      </c>
      <c r="C446">
        <v>0</v>
      </c>
      <c r="D446" t="s">
        <v>343</v>
      </c>
      <c r="E446">
        <v>2500</v>
      </c>
      <c r="F446" t="s">
        <v>74</v>
      </c>
      <c r="G446" t="s">
        <v>514</v>
      </c>
      <c r="H446" s="3" t="d">
        <v>21:59:59.9999999999968050</v>
      </c>
      <c r="I446" t="s">
        <v>499</v>
      </c>
      <c r="J446" s="1">
        <v>0.47099999999999997</v>
      </c>
      <c r="K446">
        <v>-89</v>
      </c>
      <c r="L446">
        <v>6</v>
      </c>
      <c r="M446">
        <v>3.14</v>
      </c>
      <c r="N446">
        <v>3</v>
      </c>
      <c r="Q446" s="4" t="d">
        <v>10:46:00.00000000000138225</v>
      </c>
      <c r="R446">
        <v>3.2</v>
      </c>
      <c r="S446">
        <v>3.73</v>
      </c>
      <c r="T446">
        <v>0</v>
      </c>
      <c r="U446">
        <v>0</v>
      </c>
      <c r="V446">
        <v>0</v>
      </c>
      <c r="W446">
        <v>100</v>
      </c>
      <c r="Y446">
        <v>42</v>
      </c>
      <c r="Z446">
        <v>0</v>
      </c>
      <c r="AA446">
        <v>0</v>
      </c>
    </row>
    <row r="447" spans="1:30" x14ac:dyDescent="0.2">
      <c r="A447" t="s">
        <v>213</v>
      </c>
      <c r="C447">
        <v>0</v>
      </c>
      <c r="D447" t="s">
        <v>343</v>
      </c>
      <c r="E447">
        <v>4600</v>
      </c>
      <c r="F447" t="s">
        <v>148</v>
      </c>
      <c r="G447" t="s">
        <v>512</v>
      </c>
      <c r="H447" s="3" t="d">
        <v>18:59:59.9999999999968050</v>
      </c>
      <c r="I447" t="s">
        <v>503</v>
      </c>
      <c r="J447" s="1">
        <v>0.38600000000000001</v>
      </c>
      <c r="K447">
        <v>159</v>
      </c>
      <c r="L447">
        <v>6</v>
      </c>
      <c r="M447">
        <v>2.2400000000000002</v>
      </c>
      <c r="N447">
        <v>3</v>
      </c>
      <c r="O447">
        <v>1</v>
      </c>
      <c r="P447">
        <v>1</v>
      </c>
      <c r="Q447" s="4" t="d">
        <v>18:11:59.999999999997441975</v>
      </c>
      <c r="R447">
        <v>10.199999999999999</v>
      </c>
      <c r="S447">
        <v>9.25</v>
      </c>
      <c r="T447">
        <v>26.79</v>
      </c>
      <c r="U447">
        <v>8.2899999999999991</v>
      </c>
      <c r="V447">
        <v>8.2899999999999991</v>
      </c>
      <c r="W447">
        <v>100</v>
      </c>
      <c r="Y447">
        <v>55</v>
      </c>
      <c r="Z447">
        <v>1.8</v>
      </c>
      <c r="AA447">
        <v>0</v>
      </c>
      <c r="AB447" s="4" t="d">
        <v>18:11:59.999999999997441975</v>
      </c>
      <c r="AC447">
        <v>4.3</v>
      </c>
      <c r="AD447">
        <v>0.9</v>
      </c>
    </row>
    <row r="448" spans="1:30" x14ac:dyDescent="0.2">
      <c r="A448" t="s">
        <v>166</v>
      </c>
      <c r="C448">
        <v>0</v>
      </c>
      <c r="D448" t="s">
        <v>57</v>
      </c>
      <c r="E448">
        <v>2900</v>
      </c>
      <c r="F448" t="s">
        <v>59</v>
      </c>
      <c r="G448" t="s">
        <v>521</v>
      </c>
      <c r="H448" s="3" t="d">
        <v>21:59:59.9999999999968050</v>
      </c>
      <c r="I448" t="s">
        <v>503</v>
      </c>
      <c r="J448" s="1">
        <v>0.52800000000000002</v>
      </c>
      <c r="K448">
        <v>89.5</v>
      </c>
      <c r="L448">
        <v>6</v>
      </c>
      <c r="M448">
        <v>2.77</v>
      </c>
      <c r="N448">
        <v>3</v>
      </c>
      <c r="O448">
        <v>2</v>
      </c>
      <c r="Q448" s="4" t="d">
        <v>20:15:00.000</v>
      </c>
      <c r="R448">
        <v>5.5</v>
      </c>
      <c r="S448">
        <v>4.25</v>
      </c>
      <c r="T448">
        <v>12.94</v>
      </c>
      <c r="U448">
        <v>4.4400000000000004</v>
      </c>
      <c r="V448">
        <v>4.4400000000000004</v>
      </c>
      <c r="W448">
        <v>100</v>
      </c>
      <c r="Y448">
        <v>61</v>
      </c>
      <c r="Z448">
        <v>1.5</v>
      </c>
      <c r="AA448">
        <v>0</v>
      </c>
      <c r="AB448" s="4" t="d">
        <v>19:18:00.00000000000255600</v>
      </c>
      <c r="AC448">
        <v>11.4</v>
      </c>
      <c r="AD448">
        <v>3.9</v>
      </c>
    </row>
    <row r="449" spans="1:30" x14ac:dyDescent="0.2">
      <c r="A449" t="s">
        <v>551</v>
      </c>
      <c r="C449">
        <v>0</v>
      </c>
      <c r="D449" t="s">
        <v>42</v>
      </c>
      <c r="E449">
        <v>4100</v>
      </c>
      <c r="F449" t="s">
        <v>52</v>
      </c>
      <c r="G449" t="s">
        <v>508</v>
      </c>
      <c r="H449" s="3" t="d">
        <v>20:00:00.0000000000031950</v>
      </c>
      <c r="I449" t="s">
        <v>499</v>
      </c>
      <c r="J449" s="1">
        <v>0.48599999999999999</v>
      </c>
      <c r="K449">
        <v>-94.5</v>
      </c>
      <c r="L449">
        <v>5.5</v>
      </c>
      <c r="M449">
        <v>3.07</v>
      </c>
      <c r="N449">
        <v>2.75</v>
      </c>
      <c r="Q449" s="4" t="d">
        <v>16:36:59.99999999999850675</v>
      </c>
      <c r="R449">
        <v>6</v>
      </c>
      <c r="S449">
        <v>5.59</v>
      </c>
      <c r="T449">
        <v>0</v>
      </c>
      <c r="U449">
        <v>0</v>
      </c>
      <c r="V449">
        <v>0</v>
      </c>
      <c r="W449">
        <v>100</v>
      </c>
      <c r="Y449">
        <v>53</v>
      </c>
      <c r="Z449">
        <v>0</v>
      </c>
      <c r="AA449">
        <v>0</v>
      </c>
    </row>
    <row r="450" spans="1:30" x14ac:dyDescent="0.2">
      <c r="A450" t="s">
        <v>80</v>
      </c>
      <c r="C450">
        <v>0</v>
      </c>
      <c r="D450" t="s">
        <v>343</v>
      </c>
      <c r="E450">
        <v>4600</v>
      </c>
      <c r="F450" t="s">
        <v>500</v>
      </c>
      <c r="G450" t="s">
        <v>501</v>
      </c>
      <c r="H450" s="3" t="d">
        <v>21:59:59.9999999999968050</v>
      </c>
      <c r="I450" t="s">
        <v>499</v>
      </c>
      <c r="J450" s="1">
        <v>0.44600000000000001</v>
      </c>
      <c r="K450">
        <v>-80.5</v>
      </c>
      <c r="L450">
        <v>6.5</v>
      </c>
      <c r="M450">
        <v>3.38</v>
      </c>
      <c r="N450">
        <v>3.25</v>
      </c>
      <c r="O450">
        <v>2</v>
      </c>
      <c r="P450">
        <v>1</v>
      </c>
      <c r="Q450" s="4" t="d">
        <v>15:54:59.99999999999786775</v>
      </c>
      <c r="R450">
        <v>9</v>
      </c>
      <c r="S450">
        <v>9.15</v>
      </c>
      <c r="T450">
        <v>30.67</v>
      </c>
      <c r="U450">
        <v>12.37</v>
      </c>
      <c r="V450">
        <v>12.37</v>
      </c>
      <c r="W450">
        <v>100</v>
      </c>
      <c r="Y450">
        <v>49</v>
      </c>
      <c r="Z450">
        <v>2.7</v>
      </c>
      <c r="AA450">
        <v>0</v>
      </c>
      <c r="AB450" s="4" t="d">
        <v>16:11:00.00000000000404925</v>
      </c>
      <c r="AC450">
        <v>11</v>
      </c>
      <c r="AD450">
        <v>2.4</v>
      </c>
    </row>
    <row r="451" spans="1:30" x14ac:dyDescent="0.2">
      <c r="A451" t="s">
        <v>276</v>
      </c>
      <c r="C451">
        <v>0</v>
      </c>
      <c r="D451" t="s">
        <v>57</v>
      </c>
      <c r="E451">
        <v>2500</v>
      </c>
      <c r="F451" t="s">
        <v>45</v>
      </c>
      <c r="G451" t="s">
        <v>523</v>
      </c>
      <c r="H451" s="3" t="d">
        <v>20:00:00.0000000000031950</v>
      </c>
      <c r="I451" t="s">
        <v>503</v>
      </c>
      <c r="J451" s="1">
        <v>0.51400000000000001</v>
      </c>
      <c r="K451">
        <v>94.5</v>
      </c>
      <c r="L451">
        <v>5.5</v>
      </c>
      <c r="M451">
        <v>2.75</v>
      </c>
      <c r="N451">
        <v>3.07</v>
      </c>
      <c r="O451">
        <v>2</v>
      </c>
      <c r="Q451" s="4" t="d">
        <v>14:19:59.99999999999893725</v>
      </c>
      <c r="R451">
        <v>3.9</v>
      </c>
      <c r="S451">
        <v>4.0599999999999996</v>
      </c>
      <c r="T451">
        <v>11.9</v>
      </c>
      <c r="U451">
        <v>3.78</v>
      </c>
      <c r="V451">
        <v>3.78</v>
      </c>
      <c r="W451">
        <v>100</v>
      </c>
      <c r="Y451">
        <v>48</v>
      </c>
      <c r="Z451">
        <v>1.5</v>
      </c>
      <c r="AA451">
        <v>0</v>
      </c>
      <c r="AB451" s="4" t="d">
        <v>14:35:59.99999999999552025</v>
      </c>
      <c r="AC451">
        <v>4.5</v>
      </c>
      <c r="AD451">
        <v>1.8</v>
      </c>
    </row>
    <row r="452" spans="1:30" x14ac:dyDescent="0.2">
      <c r="A452" t="s">
        <v>557</v>
      </c>
      <c r="C452">
        <v>0</v>
      </c>
      <c r="D452" t="s">
        <v>343</v>
      </c>
      <c r="E452">
        <v>3300</v>
      </c>
      <c r="F452" t="s">
        <v>35</v>
      </c>
      <c r="G452" t="s">
        <v>516</v>
      </c>
      <c r="H452" s="3" t="d">
        <v>21:00:00.000</v>
      </c>
      <c r="I452" t="s">
        <v>503</v>
      </c>
      <c r="J452" s="1">
        <v>0.377</v>
      </c>
      <c r="K452">
        <v>165</v>
      </c>
      <c r="L452">
        <v>6.5</v>
      </c>
      <c r="M452">
        <v>3.25</v>
      </c>
      <c r="N452">
        <v>4.18</v>
      </c>
      <c r="Q452" s="4" t="d">
        <v>17:21:59.99999999999850675</v>
      </c>
      <c r="R452">
        <v>9.3000000000000007</v>
      </c>
      <c r="S452">
        <v>5.57</v>
      </c>
      <c r="T452">
        <v>0</v>
      </c>
      <c r="U452">
        <v>0</v>
      </c>
      <c r="V452">
        <v>0</v>
      </c>
      <c r="W452">
        <v>100</v>
      </c>
      <c r="Y452">
        <v>70</v>
      </c>
      <c r="Z452">
        <v>0</v>
      </c>
      <c r="AA452">
        <v>0</v>
      </c>
    </row>
    <row r="453" spans="1:30" x14ac:dyDescent="0.2">
      <c r="A453" t="s">
        <v>428</v>
      </c>
      <c r="C453">
        <v>0</v>
      </c>
      <c r="D453" t="s">
        <v>57</v>
      </c>
      <c r="E453">
        <v>2500</v>
      </c>
      <c r="F453" t="s">
        <v>85</v>
      </c>
      <c r="G453" t="s">
        <v>507</v>
      </c>
      <c r="H453" s="3" t="d">
        <v>21:59:59.9999999999968050</v>
      </c>
      <c r="I453" t="s">
        <v>503</v>
      </c>
      <c r="J453" s="1">
        <v>0.55400000000000005</v>
      </c>
      <c r="K453">
        <v>80.5</v>
      </c>
      <c r="L453">
        <v>6.5</v>
      </c>
      <c r="M453">
        <v>3.25</v>
      </c>
      <c r="N453">
        <v>3.38</v>
      </c>
      <c r="Q453" s="4" t="d">
        <v>13:54:00.00000000000447975</v>
      </c>
      <c r="R453">
        <v>2.6</v>
      </c>
      <c r="S453">
        <v>1.58</v>
      </c>
      <c r="T453">
        <v>0</v>
      </c>
      <c r="U453">
        <v>0</v>
      </c>
      <c r="V453">
        <v>0</v>
      </c>
      <c r="W453">
        <v>100</v>
      </c>
      <c r="Y453">
        <v>70</v>
      </c>
      <c r="Z453">
        <v>0</v>
      </c>
      <c r="AA453">
        <v>0</v>
      </c>
    </row>
    <row r="454" spans="1:30" x14ac:dyDescent="0.2">
      <c r="A454" t="s">
        <v>215</v>
      </c>
      <c r="C454">
        <v>0</v>
      </c>
      <c r="D454" t="s">
        <v>343</v>
      </c>
      <c r="E454">
        <v>5400</v>
      </c>
      <c r="F454" t="s">
        <v>48</v>
      </c>
      <c r="G454" t="s">
        <v>498</v>
      </c>
      <c r="H454" s="3" t="d">
        <v>21:00:00.000</v>
      </c>
      <c r="I454" t="s">
        <v>499</v>
      </c>
      <c r="J454" s="1">
        <v>0.623</v>
      </c>
      <c r="K454">
        <v>-165</v>
      </c>
      <c r="L454">
        <v>6.5</v>
      </c>
      <c r="M454">
        <v>4.18</v>
      </c>
      <c r="N454">
        <v>3.25</v>
      </c>
      <c r="O454">
        <v>2</v>
      </c>
      <c r="P454">
        <v>2</v>
      </c>
      <c r="Q454" s="4" t="d">
        <v>17:52:00.00000000000170850</v>
      </c>
      <c r="R454">
        <v>8.9</v>
      </c>
      <c r="S454">
        <v>8.89</v>
      </c>
      <c r="T454">
        <v>31.1</v>
      </c>
      <c r="U454">
        <v>13.32</v>
      </c>
      <c r="V454">
        <v>13.32</v>
      </c>
      <c r="W454">
        <v>100</v>
      </c>
      <c r="Y454">
        <v>50</v>
      </c>
      <c r="Z454">
        <v>2.5</v>
      </c>
      <c r="AA454">
        <v>0</v>
      </c>
      <c r="AB454" s="4" t="d">
        <v>16:29:00.00000000000021525</v>
      </c>
      <c r="AC454">
        <v>2.8</v>
      </c>
      <c r="AD454">
        <v>0.5</v>
      </c>
    </row>
    <row r="455" spans="1:30" x14ac:dyDescent="0.2">
      <c r="A455" t="s">
        <v>548</v>
      </c>
      <c r="C455">
        <v>0</v>
      </c>
      <c r="D455" t="s">
        <v>57</v>
      </c>
      <c r="E455">
        <v>4800</v>
      </c>
      <c r="F455" t="s">
        <v>505</v>
      </c>
      <c r="G455" t="s">
        <v>506</v>
      </c>
      <c r="H455" s="3" t="d">
        <v>18:59:59.9999999999968050</v>
      </c>
      <c r="I455" t="s">
        <v>499</v>
      </c>
      <c r="J455" s="1">
        <v>0.61399999999999999</v>
      </c>
      <c r="K455">
        <v>-159</v>
      </c>
      <c r="L455">
        <v>6</v>
      </c>
      <c r="M455">
        <v>3</v>
      </c>
      <c r="N455">
        <v>2.2400000000000002</v>
      </c>
      <c r="Q455" s="4" t="d">
        <v>21:04:59.99999999999893725</v>
      </c>
      <c r="R455">
        <v>8.1999999999999993</v>
      </c>
      <c r="S455">
        <v>4.99</v>
      </c>
      <c r="T455">
        <v>0</v>
      </c>
      <c r="U455">
        <v>0</v>
      </c>
      <c r="V455">
        <v>0</v>
      </c>
      <c r="W455">
        <v>100</v>
      </c>
      <c r="Y455">
        <v>70</v>
      </c>
      <c r="Z455">
        <v>0</v>
      </c>
      <c r="AA455">
        <v>0</v>
      </c>
    </row>
    <row r="456" spans="1:30" x14ac:dyDescent="0.2">
      <c r="A456" t="s">
        <v>443</v>
      </c>
      <c r="C456">
        <v>0</v>
      </c>
      <c r="D456" t="s">
        <v>57</v>
      </c>
      <c r="E456">
        <v>2500</v>
      </c>
      <c r="F456" t="s">
        <v>59</v>
      </c>
      <c r="G456" t="s">
        <v>521</v>
      </c>
      <c r="H456" s="3" t="d">
        <v>21:59:59.9999999999968050</v>
      </c>
      <c r="I456" t="s">
        <v>503</v>
      </c>
      <c r="J456" s="1">
        <v>0.52800000000000002</v>
      </c>
      <c r="K456">
        <v>89.5</v>
      </c>
      <c r="L456">
        <v>6</v>
      </c>
      <c r="M456">
        <v>2.77</v>
      </c>
      <c r="N456">
        <v>3</v>
      </c>
      <c r="Q456" s="4" t="d">
        <v>14:06:00.00000000000191700</v>
      </c>
      <c r="R456">
        <v>3.4</v>
      </c>
      <c r="S456">
        <v>2.67</v>
      </c>
      <c r="T456">
        <v>0</v>
      </c>
      <c r="U456">
        <v>0</v>
      </c>
      <c r="V456">
        <v>0</v>
      </c>
      <c r="W456">
        <v>100</v>
      </c>
      <c r="Y456">
        <v>61</v>
      </c>
      <c r="Z456">
        <v>0</v>
      </c>
      <c r="AA456">
        <v>0</v>
      </c>
    </row>
    <row r="457" spans="1:30" x14ac:dyDescent="0.2">
      <c r="A457" t="s">
        <v>100</v>
      </c>
      <c r="C457">
        <v>0</v>
      </c>
      <c r="D457" t="s">
        <v>343</v>
      </c>
      <c r="E457">
        <v>3600</v>
      </c>
      <c r="F457" t="s">
        <v>48</v>
      </c>
      <c r="G457" t="s">
        <v>498</v>
      </c>
      <c r="H457" s="3" t="d">
        <v>21:00:00.000</v>
      </c>
      <c r="I457" t="s">
        <v>499</v>
      </c>
      <c r="J457" s="1">
        <v>0.623</v>
      </c>
      <c r="K457">
        <v>-165</v>
      </c>
      <c r="L457">
        <v>6.5</v>
      </c>
      <c r="M457">
        <v>4.18</v>
      </c>
      <c r="N457">
        <v>3.25</v>
      </c>
      <c r="O457">
        <v>1</v>
      </c>
      <c r="P457">
        <v>1</v>
      </c>
      <c r="Q457" s="4" t="d">
        <v>13:21:00.00000000000191700</v>
      </c>
      <c r="R457">
        <v>6.9</v>
      </c>
      <c r="S457">
        <v>9.2200000000000006</v>
      </c>
      <c r="T457">
        <v>25.46</v>
      </c>
      <c r="U457">
        <v>7.02</v>
      </c>
      <c r="V457">
        <v>7.02</v>
      </c>
      <c r="W457">
        <v>100</v>
      </c>
      <c r="Y457">
        <v>33</v>
      </c>
      <c r="Z457">
        <v>2</v>
      </c>
      <c r="AA457">
        <v>0</v>
      </c>
      <c r="AB457" s="4" t="d">
        <v>20:39:00.00000000000447975</v>
      </c>
      <c r="AC457">
        <v>14.3</v>
      </c>
      <c r="AD457">
        <v>4</v>
      </c>
    </row>
    <row r="458" spans="1:30" x14ac:dyDescent="0.2">
      <c r="A458" t="s">
        <v>382</v>
      </c>
      <c r="C458">
        <v>0</v>
      </c>
      <c r="D458" t="s">
        <v>346</v>
      </c>
      <c r="E458">
        <v>7600</v>
      </c>
      <c r="F458" t="s">
        <v>64</v>
      </c>
      <c r="G458" t="s">
        <v>517</v>
      </c>
      <c r="H458" s="3" t="d">
        <v>21:59:59.9999999999968050</v>
      </c>
      <c r="I458" t="s">
        <v>503</v>
      </c>
      <c r="J458" s="1">
        <v>0.52900000000000003</v>
      </c>
      <c r="K458">
        <v>89</v>
      </c>
      <c r="L458">
        <v>6</v>
      </c>
      <c r="M458">
        <v>3</v>
      </c>
      <c r="N458">
        <v>3.14</v>
      </c>
      <c r="O458" t="s">
        <v>528</v>
      </c>
      <c r="Q458" s="5" t="d">
        <v>PT54H57M0.000S</v>
      </c>
      <c r="R458">
        <v>9.6</v>
      </c>
      <c r="S458">
        <v>9.1</v>
      </c>
      <c r="T458">
        <v>0</v>
      </c>
      <c r="U458">
        <v>0</v>
      </c>
      <c r="V458">
        <v>0</v>
      </c>
      <c r="W458">
        <v>100</v>
      </c>
      <c r="Y458">
        <v>53</v>
      </c>
      <c r="Z458">
        <v>0</v>
      </c>
      <c r="AA458">
        <v>0</v>
      </c>
      <c r="AB458" s="4" t="d">
        <v>1899-12-30</v>
      </c>
      <c r="AC458">
        <v>0</v>
      </c>
    </row>
    <row r="459" spans="1:30" x14ac:dyDescent="0.2">
      <c r="A459" t="s">
        <v>227</v>
      </c>
      <c r="C459">
        <v>0</v>
      </c>
      <c r="D459" t="s">
        <v>57</v>
      </c>
      <c r="E459">
        <v>5100</v>
      </c>
      <c r="F459" t="s">
        <v>74</v>
      </c>
      <c r="G459" t="s">
        <v>514</v>
      </c>
      <c r="H459" s="3" t="d">
        <v>21:59:59.9999999999968050</v>
      </c>
      <c r="I459" t="s">
        <v>499</v>
      </c>
      <c r="J459" s="1">
        <v>0.47099999999999997</v>
      </c>
      <c r="K459">
        <v>-89</v>
      </c>
      <c r="L459">
        <v>6</v>
      </c>
      <c r="M459">
        <v>3.14</v>
      </c>
      <c r="N459">
        <v>3</v>
      </c>
      <c r="O459">
        <v>1</v>
      </c>
      <c r="P459">
        <v>1</v>
      </c>
      <c r="Q459" s="4" t="d">
        <v>22:20:00.00000000000213225</v>
      </c>
      <c r="R459">
        <v>9</v>
      </c>
      <c r="S459">
        <v>6.75</v>
      </c>
      <c r="T459">
        <v>23.95</v>
      </c>
      <c r="U459">
        <v>10.45</v>
      </c>
      <c r="V459">
        <v>10.45</v>
      </c>
      <c r="W459">
        <v>100</v>
      </c>
      <c r="Y459">
        <v>63</v>
      </c>
      <c r="Z459">
        <v>2</v>
      </c>
      <c r="AA459">
        <v>0</v>
      </c>
      <c r="AB459" s="5" t="d">
        <v>PT24H9M0.000S</v>
      </c>
      <c r="AC459">
        <v>4.5</v>
      </c>
      <c r="AD459">
        <v>0.9</v>
      </c>
    </row>
    <row r="460" spans="1:30" x14ac:dyDescent="0.2">
      <c r="A460" t="s">
        <v>259</v>
      </c>
      <c r="C460">
        <v>0</v>
      </c>
      <c r="D460" t="s">
        <v>57</v>
      </c>
      <c r="E460">
        <v>2500</v>
      </c>
      <c r="F460" t="s">
        <v>500</v>
      </c>
      <c r="G460" t="s">
        <v>501</v>
      </c>
      <c r="H460" s="3" t="d">
        <v>21:59:59.9999999999968050</v>
      </c>
      <c r="I460" t="s">
        <v>499</v>
      </c>
      <c r="J460" s="1">
        <v>0.44600000000000001</v>
      </c>
      <c r="K460">
        <v>-80.5</v>
      </c>
      <c r="L460">
        <v>6.5</v>
      </c>
      <c r="M460">
        <v>3.38</v>
      </c>
      <c r="N460">
        <v>3.25</v>
      </c>
      <c r="O460">
        <v>3</v>
      </c>
      <c r="Q460" s="4" t="d">
        <v>16:25:00.00000000000106275</v>
      </c>
      <c r="R460">
        <v>4.5</v>
      </c>
      <c r="S460">
        <v>3.8</v>
      </c>
      <c r="T460">
        <v>13.04</v>
      </c>
      <c r="U460">
        <v>5.44</v>
      </c>
      <c r="V460">
        <v>5.44</v>
      </c>
      <c r="W460">
        <v>100</v>
      </c>
      <c r="Y460">
        <v>58</v>
      </c>
      <c r="Z460">
        <v>2.2000000000000002</v>
      </c>
      <c r="AA460">
        <v>0</v>
      </c>
      <c r="AB460" s="4" t="d">
        <v>16:34:59.99999999999893725</v>
      </c>
      <c r="AC460">
        <v>4.0999999999999996</v>
      </c>
      <c r="AD460">
        <v>1.6</v>
      </c>
    </row>
    <row r="461" spans="1:30" x14ac:dyDescent="0.2">
      <c r="A461" t="s">
        <v>433</v>
      </c>
      <c r="C461">
        <v>0</v>
      </c>
      <c r="D461" t="s">
        <v>57</v>
      </c>
      <c r="E461">
        <v>2500</v>
      </c>
      <c r="F461" t="s">
        <v>500</v>
      </c>
      <c r="G461" t="s">
        <v>501</v>
      </c>
      <c r="H461" s="3" t="d">
        <v>21:59:59.9999999999968050</v>
      </c>
      <c r="I461" t="s">
        <v>499</v>
      </c>
      <c r="J461" s="1">
        <v>0.44600000000000001</v>
      </c>
      <c r="K461">
        <v>-80.5</v>
      </c>
      <c r="L461">
        <v>6.5</v>
      </c>
      <c r="M461">
        <v>3.38</v>
      </c>
      <c r="N461">
        <v>3.25</v>
      </c>
      <c r="Q461" s="4" t="d">
        <v>16:28:00.00000000000042375</v>
      </c>
      <c r="R461">
        <v>4.0999999999999996</v>
      </c>
      <c r="S461">
        <v>3.56</v>
      </c>
      <c r="T461">
        <v>0</v>
      </c>
      <c r="U461">
        <v>0</v>
      </c>
      <c r="V461">
        <v>0</v>
      </c>
      <c r="W461">
        <v>100</v>
      </c>
      <c r="Y461">
        <v>57</v>
      </c>
      <c r="Z461">
        <v>0</v>
      </c>
      <c r="AA461">
        <v>0</v>
      </c>
    </row>
    <row r="462" spans="1:30" x14ac:dyDescent="0.2">
      <c r="A462" t="s">
        <v>184</v>
      </c>
      <c r="C462">
        <v>0</v>
      </c>
      <c r="D462" t="s">
        <v>42</v>
      </c>
      <c r="E462">
        <v>5900</v>
      </c>
      <c r="F462" t="s">
        <v>85</v>
      </c>
      <c r="G462" t="s">
        <v>507</v>
      </c>
      <c r="H462" s="3" t="d">
        <v>21:59:59.9999999999968050</v>
      </c>
      <c r="I462" t="s">
        <v>503</v>
      </c>
      <c r="J462" s="1">
        <v>0.55400000000000005</v>
      </c>
      <c r="K462">
        <v>80.5</v>
      </c>
      <c r="L462">
        <v>6.5</v>
      </c>
      <c r="M462">
        <v>3.25</v>
      </c>
      <c r="N462">
        <v>3.38</v>
      </c>
      <c r="O462">
        <v>1</v>
      </c>
      <c r="P462">
        <v>1</v>
      </c>
      <c r="Q462" s="4" t="d">
        <v>20:56:00.00000000000085425</v>
      </c>
      <c r="R462">
        <v>9.1</v>
      </c>
      <c r="S462">
        <v>6.24</v>
      </c>
      <c r="T462">
        <v>24.15</v>
      </c>
      <c r="U462">
        <v>11.67</v>
      </c>
      <c r="V462">
        <v>11.67</v>
      </c>
      <c r="W462">
        <v>100</v>
      </c>
      <c r="Y462">
        <v>66</v>
      </c>
      <c r="Z462">
        <v>2</v>
      </c>
      <c r="AA462">
        <v>0</v>
      </c>
      <c r="AB462" s="4" t="d">
        <v>20:17:59.99999999999936100</v>
      </c>
      <c r="AC462">
        <v>3</v>
      </c>
      <c r="AD462">
        <v>0.5</v>
      </c>
    </row>
    <row r="463" spans="1:30" x14ac:dyDescent="0.2">
      <c r="A463" t="s">
        <v>244</v>
      </c>
      <c r="C463">
        <v>0</v>
      </c>
      <c r="D463" t="s">
        <v>57</v>
      </c>
      <c r="E463">
        <v>4000</v>
      </c>
      <c r="F463" t="s">
        <v>85</v>
      </c>
      <c r="G463" t="s">
        <v>507</v>
      </c>
      <c r="H463" s="3" t="d">
        <v>21:59:59.9999999999968050</v>
      </c>
      <c r="I463" t="s">
        <v>503</v>
      </c>
      <c r="J463" s="1">
        <v>0.55400000000000005</v>
      </c>
      <c r="K463">
        <v>80.5</v>
      </c>
      <c r="L463">
        <v>6.5</v>
      </c>
      <c r="M463">
        <v>3.25</v>
      </c>
      <c r="N463">
        <v>3.38</v>
      </c>
      <c r="O463">
        <v>1</v>
      </c>
      <c r="P463">
        <v>1</v>
      </c>
      <c r="Q463" s="4" t="d">
        <v>23:47:00.00000000000277125</v>
      </c>
      <c r="R463">
        <v>7.3</v>
      </c>
      <c r="S463">
        <v>5.34</v>
      </c>
      <c r="T463">
        <v>20.239999999999998</v>
      </c>
      <c r="U463">
        <v>9.56</v>
      </c>
      <c r="V463">
        <v>9.56</v>
      </c>
      <c r="W463">
        <v>100</v>
      </c>
      <c r="Y463">
        <v>63</v>
      </c>
      <c r="Z463">
        <v>2.4</v>
      </c>
      <c r="AA463">
        <v>0</v>
      </c>
      <c r="AB463" s="5" t="d">
        <v>PT28H2M0.000S</v>
      </c>
      <c r="AC463">
        <v>4.5</v>
      </c>
      <c r="AD463">
        <v>1.1000000000000001</v>
      </c>
    </row>
    <row r="464" spans="1:30" x14ac:dyDescent="0.2">
      <c r="A464" t="s">
        <v>581</v>
      </c>
      <c r="C464">
        <v>0</v>
      </c>
      <c r="D464" t="s">
        <v>57</v>
      </c>
      <c r="E464">
        <v>2500</v>
      </c>
      <c r="F464" t="s">
        <v>52</v>
      </c>
      <c r="G464" t="s">
        <v>508</v>
      </c>
      <c r="H464" s="3" t="d">
        <v>20:00:00.0000000000031950</v>
      </c>
      <c r="I464" t="s">
        <v>499</v>
      </c>
      <c r="J464" s="1">
        <v>0.48599999999999999</v>
      </c>
      <c r="K464">
        <v>-94.5</v>
      </c>
      <c r="L464">
        <v>5.5</v>
      </c>
      <c r="M464">
        <v>3.07</v>
      </c>
      <c r="N464">
        <v>2.75</v>
      </c>
      <c r="Q464" s="4" t="d">
        <v>12:32:00.00000000000277125</v>
      </c>
      <c r="R464">
        <v>4.4000000000000004</v>
      </c>
      <c r="S464">
        <v>3.52</v>
      </c>
      <c r="T464">
        <v>0</v>
      </c>
      <c r="U464">
        <v>0</v>
      </c>
      <c r="V464">
        <v>0</v>
      </c>
      <c r="W464">
        <v>100</v>
      </c>
      <c r="Y464">
        <v>60</v>
      </c>
      <c r="Z464">
        <v>0</v>
      </c>
      <c r="AA464">
        <v>0</v>
      </c>
    </row>
    <row r="465" spans="1:30" x14ac:dyDescent="0.2">
      <c r="A465" t="s">
        <v>539</v>
      </c>
      <c r="C465">
        <v>0</v>
      </c>
      <c r="D465" t="s">
        <v>346</v>
      </c>
      <c r="E465">
        <v>6500</v>
      </c>
      <c r="F465" t="s">
        <v>64</v>
      </c>
      <c r="G465" t="s">
        <v>517</v>
      </c>
      <c r="H465" s="3" t="d">
        <v>21:59:59.9999999999968050</v>
      </c>
      <c r="I465" t="s">
        <v>503</v>
      </c>
      <c r="J465" s="1">
        <v>0.52900000000000003</v>
      </c>
      <c r="K465">
        <v>89</v>
      </c>
      <c r="L465">
        <v>6</v>
      </c>
      <c r="M465">
        <v>3</v>
      </c>
      <c r="N465">
        <v>3.14</v>
      </c>
      <c r="O465" t="s">
        <v>528</v>
      </c>
      <c r="Q465" s="4" t="d">
        <v>20:00:00.0000000000031950</v>
      </c>
      <c r="R465">
        <v>-3.5</v>
      </c>
      <c r="S465">
        <v>0</v>
      </c>
      <c r="T465">
        <v>0</v>
      </c>
      <c r="U465">
        <v>0</v>
      </c>
      <c r="V465">
        <v>0</v>
      </c>
      <c r="W465">
        <v>100</v>
      </c>
      <c r="Y465">
        <v>0</v>
      </c>
      <c r="Z465">
        <v>0</v>
      </c>
      <c r="AA465">
        <v>0</v>
      </c>
    </row>
    <row r="466" spans="1:30" x14ac:dyDescent="0.2">
      <c r="A466" t="s">
        <v>241</v>
      </c>
      <c r="C466">
        <v>0</v>
      </c>
      <c r="D466" t="s">
        <v>57</v>
      </c>
      <c r="E466">
        <v>2500</v>
      </c>
      <c r="F466" t="s">
        <v>85</v>
      </c>
      <c r="G466" t="s">
        <v>507</v>
      </c>
      <c r="H466" s="3" t="d">
        <v>21:59:59.9999999999968050</v>
      </c>
      <c r="I466" t="s">
        <v>503</v>
      </c>
      <c r="J466" s="1">
        <v>0.55400000000000005</v>
      </c>
      <c r="K466">
        <v>80.5</v>
      </c>
      <c r="L466">
        <v>6.5</v>
      </c>
      <c r="M466">
        <v>3.25</v>
      </c>
      <c r="N466">
        <v>3.38</v>
      </c>
      <c r="O466">
        <v>2</v>
      </c>
      <c r="Q466" s="4" t="d">
        <v>18:34:00.000000000002344800</v>
      </c>
      <c r="R466">
        <v>4.4000000000000004</v>
      </c>
      <c r="S466">
        <v>3.44</v>
      </c>
      <c r="T466">
        <v>11.89</v>
      </c>
      <c r="U466">
        <v>5.01</v>
      </c>
      <c r="V466">
        <v>5.01</v>
      </c>
      <c r="W466">
        <v>100</v>
      </c>
      <c r="Y466">
        <v>61</v>
      </c>
      <c r="Z466">
        <v>2</v>
      </c>
      <c r="AA466">
        <v>0</v>
      </c>
      <c r="AB466" s="4" t="d">
        <v>15:18:59.99999999999595075</v>
      </c>
      <c r="AC466">
        <v>12.5</v>
      </c>
      <c r="AD466">
        <v>5</v>
      </c>
    </row>
    <row r="467" spans="1:30" x14ac:dyDescent="0.2">
      <c r="A467" t="s">
        <v>301</v>
      </c>
      <c r="C467">
        <v>0</v>
      </c>
      <c r="D467" t="s">
        <v>343</v>
      </c>
      <c r="E467">
        <v>4300</v>
      </c>
      <c r="F467" t="s">
        <v>85</v>
      </c>
      <c r="G467" t="s">
        <v>507</v>
      </c>
      <c r="H467" s="3" t="d">
        <v>21:59:59.9999999999968050</v>
      </c>
      <c r="I467" t="s">
        <v>503</v>
      </c>
      <c r="J467" s="1">
        <v>0.55400000000000005</v>
      </c>
      <c r="K467">
        <v>80.5</v>
      </c>
      <c r="L467">
        <v>6.5</v>
      </c>
      <c r="M467">
        <v>3.25</v>
      </c>
      <c r="N467">
        <v>3.38</v>
      </c>
      <c r="O467">
        <v>3</v>
      </c>
      <c r="P467">
        <v>2</v>
      </c>
      <c r="Q467" s="4" t="d">
        <v>17:14:00.00000000000021525</v>
      </c>
      <c r="R467">
        <v>7.8</v>
      </c>
      <c r="S467">
        <v>6.53</v>
      </c>
      <c r="T467">
        <v>22.02</v>
      </c>
      <c r="U467">
        <v>8.9600000000000009</v>
      </c>
      <c r="V467">
        <v>8.9600000000000009</v>
      </c>
      <c r="W467">
        <v>100</v>
      </c>
      <c r="Y467">
        <v>58</v>
      </c>
      <c r="Z467">
        <v>2.1</v>
      </c>
      <c r="AA467">
        <v>0</v>
      </c>
      <c r="AB467" s="4" t="d">
        <v>15:11:59.999999999997441975</v>
      </c>
      <c r="AC467">
        <v>3</v>
      </c>
      <c r="AD467">
        <v>0.7</v>
      </c>
    </row>
    <row r="468" spans="1:30" x14ac:dyDescent="0.2">
      <c r="A468" t="s">
        <v>68</v>
      </c>
      <c r="C468">
        <v>0</v>
      </c>
      <c r="D468" t="s">
        <v>343</v>
      </c>
      <c r="E468">
        <v>4500</v>
      </c>
      <c r="F468" t="s">
        <v>500</v>
      </c>
      <c r="G468" t="s">
        <v>501</v>
      </c>
      <c r="H468" s="3" t="d">
        <v>21:59:59.9999999999968050</v>
      </c>
      <c r="I468" t="s">
        <v>499</v>
      </c>
      <c r="J468" s="1">
        <v>0.44600000000000001</v>
      </c>
      <c r="K468">
        <v>-80.5</v>
      </c>
      <c r="L468">
        <v>6.5</v>
      </c>
      <c r="M468">
        <v>3.38</v>
      </c>
      <c r="N468">
        <v>3.25</v>
      </c>
      <c r="O468">
        <v>1</v>
      </c>
      <c r="P468">
        <v>1</v>
      </c>
      <c r="Q468" s="4" t="d">
        <v>17:55:00.00000000000106275</v>
      </c>
      <c r="R468">
        <v>9.8000000000000007</v>
      </c>
      <c r="S468">
        <v>7.83</v>
      </c>
      <c r="T468">
        <v>28.9</v>
      </c>
      <c r="U468">
        <v>13.24</v>
      </c>
      <c r="V468">
        <v>13.24</v>
      </c>
      <c r="W468">
        <v>100</v>
      </c>
      <c r="Y468">
        <v>60</v>
      </c>
      <c r="Z468">
        <v>2.9</v>
      </c>
      <c r="AA468">
        <v>0</v>
      </c>
      <c r="AB468" s="4" t="d">
        <v>20:02:00.00000000000277125</v>
      </c>
      <c r="AC468">
        <v>13</v>
      </c>
      <c r="AD468">
        <v>2.9</v>
      </c>
    </row>
    <row r="469" spans="1:30" x14ac:dyDescent="0.2">
      <c r="A469" t="s">
        <v>308</v>
      </c>
      <c r="C469">
        <v>0</v>
      </c>
      <c r="D469" t="s">
        <v>343</v>
      </c>
      <c r="E469">
        <v>5500</v>
      </c>
      <c r="F469" t="s">
        <v>500</v>
      </c>
      <c r="G469" t="s">
        <v>501</v>
      </c>
      <c r="H469" s="3" t="d">
        <v>21:59:59.9999999999968050</v>
      </c>
      <c r="I469" t="s">
        <v>499</v>
      </c>
      <c r="J469" s="1">
        <v>0.44600000000000001</v>
      </c>
      <c r="K469">
        <v>-80.5</v>
      </c>
      <c r="L469">
        <v>6.5</v>
      </c>
      <c r="M469">
        <v>3.38</v>
      </c>
      <c r="N469">
        <v>3.25</v>
      </c>
      <c r="O469">
        <v>3</v>
      </c>
      <c r="P469">
        <v>2</v>
      </c>
      <c r="Q469" s="4" t="d">
        <v>19:54:00.00000000000447975</v>
      </c>
      <c r="R469">
        <v>9.8000000000000007</v>
      </c>
      <c r="S469">
        <v>7.26</v>
      </c>
      <c r="T469">
        <v>26.1</v>
      </c>
      <c r="U469">
        <v>11.58</v>
      </c>
      <c r="V469">
        <v>11.58</v>
      </c>
      <c r="W469">
        <v>100</v>
      </c>
      <c r="Y469">
        <v>63</v>
      </c>
      <c r="Z469">
        <v>2.1</v>
      </c>
      <c r="AA469">
        <v>0</v>
      </c>
      <c r="AB469" s="4" t="d">
        <v>18:09:59.99999999999786775</v>
      </c>
      <c r="AC469">
        <v>4.3</v>
      </c>
      <c r="AD469">
        <v>0.8</v>
      </c>
    </row>
    <row r="470" spans="1:30" x14ac:dyDescent="0.2">
      <c r="A470" t="s">
        <v>558</v>
      </c>
      <c r="B470" t="s">
        <v>541</v>
      </c>
      <c r="C470">
        <v>0</v>
      </c>
      <c r="D470" t="s">
        <v>42</v>
      </c>
      <c r="E470">
        <v>3200</v>
      </c>
      <c r="F470" t="s">
        <v>39</v>
      </c>
      <c r="G470" t="s">
        <v>504</v>
      </c>
      <c r="H470" s="3" t="d">
        <v>18:59:59.9999999999968050</v>
      </c>
      <c r="I470" t="s">
        <v>499</v>
      </c>
      <c r="J470" s="1">
        <v>0.41699999999999998</v>
      </c>
      <c r="K470">
        <v>-71.5</v>
      </c>
      <c r="L470">
        <v>6.5</v>
      </c>
      <c r="M470">
        <v>3.25</v>
      </c>
      <c r="N470">
        <v>3.2</v>
      </c>
      <c r="Q470" s="4" t="d">
        <v>15:26:00.00000000000404925</v>
      </c>
      <c r="R470">
        <v>8.5</v>
      </c>
      <c r="S470">
        <v>5.81</v>
      </c>
      <c r="T470">
        <v>0</v>
      </c>
      <c r="U470">
        <v>0</v>
      </c>
      <c r="V470">
        <v>0</v>
      </c>
      <c r="W470">
        <v>100</v>
      </c>
      <c r="Y470">
        <v>66</v>
      </c>
      <c r="Z470">
        <v>0</v>
      </c>
      <c r="AA470">
        <v>0</v>
      </c>
    </row>
    <row r="471" spans="1:30" x14ac:dyDescent="0.2">
      <c r="A471" t="s">
        <v>540</v>
      </c>
      <c r="B471" t="s">
        <v>541</v>
      </c>
      <c r="C471">
        <v>0</v>
      </c>
      <c r="D471" t="s">
        <v>343</v>
      </c>
      <c r="E471">
        <v>6300</v>
      </c>
      <c r="F471" t="s">
        <v>61</v>
      </c>
      <c r="G471" t="s">
        <v>502</v>
      </c>
      <c r="H471" s="3" t="d">
        <v>18:59:59.9999999999968050</v>
      </c>
      <c r="I471" t="s">
        <v>503</v>
      </c>
      <c r="J471" s="1">
        <v>0.58299999999999996</v>
      </c>
      <c r="K471">
        <v>71.5</v>
      </c>
      <c r="L471">
        <v>6.5</v>
      </c>
      <c r="M471">
        <v>3.2</v>
      </c>
      <c r="N471">
        <v>3.25</v>
      </c>
      <c r="Q471" s="4" t="d">
        <v>18:28:00.00000000000362550</v>
      </c>
      <c r="R471">
        <v>11.9</v>
      </c>
      <c r="S471">
        <v>9.18</v>
      </c>
      <c r="T471">
        <v>0</v>
      </c>
      <c r="U471">
        <v>0</v>
      </c>
      <c r="V471">
        <v>0</v>
      </c>
      <c r="W471">
        <v>100</v>
      </c>
      <c r="Y471">
        <v>61</v>
      </c>
      <c r="Z471">
        <v>0</v>
      </c>
      <c r="AA471">
        <v>0</v>
      </c>
    </row>
    <row r="472" spans="1:30" x14ac:dyDescent="0.2">
      <c r="A472" t="s">
        <v>599</v>
      </c>
      <c r="C472">
        <v>0</v>
      </c>
      <c r="D472" t="s">
        <v>343</v>
      </c>
      <c r="E472">
        <v>2500</v>
      </c>
      <c r="F472" t="s">
        <v>117</v>
      </c>
      <c r="G472" t="s">
        <v>518</v>
      </c>
      <c r="H472" s="3" t="d">
        <v>21:00:00.000</v>
      </c>
      <c r="I472" t="s">
        <v>503</v>
      </c>
      <c r="J472" s="1">
        <v>0.54100000000000004</v>
      </c>
      <c r="K472">
        <v>85</v>
      </c>
      <c r="L472">
        <v>6</v>
      </c>
      <c r="M472">
        <v>2.8</v>
      </c>
      <c r="N472">
        <v>3</v>
      </c>
      <c r="Q472" s="4" t="d">
        <v>07:16:59.99999999999797200</v>
      </c>
      <c r="R472">
        <v>1</v>
      </c>
      <c r="S472">
        <v>0.71</v>
      </c>
      <c r="T472">
        <v>0</v>
      </c>
      <c r="U472">
        <v>0</v>
      </c>
      <c r="V472">
        <v>0</v>
      </c>
      <c r="W472">
        <v>100</v>
      </c>
      <c r="Y472">
        <v>65</v>
      </c>
      <c r="Z472">
        <v>0</v>
      </c>
      <c r="AA472">
        <v>0</v>
      </c>
    </row>
    <row r="473" spans="1:30" x14ac:dyDescent="0.2">
      <c r="A473" t="s">
        <v>62</v>
      </c>
      <c r="C473">
        <v>0</v>
      </c>
      <c r="D473" t="s">
        <v>343</v>
      </c>
      <c r="E473">
        <v>6900</v>
      </c>
      <c r="F473" t="s">
        <v>52</v>
      </c>
      <c r="G473" t="s">
        <v>508</v>
      </c>
      <c r="H473" s="3" t="d">
        <v>20:00:00.0000000000031950</v>
      </c>
      <c r="I473" t="s">
        <v>499</v>
      </c>
      <c r="J473" s="1">
        <v>0.48599999999999999</v>
      </c>
      <c r="K473">
        <v>-94.5</v>
      </c>
      <c r="L473">
        <v>5.5</v>
      </c>
      <c r="M473">
        <v>3.07</v>
      </c>
      <c r="N473">
        <v>2.75</v>
      </c>
      <c r="O473">
        <v>2</v>
      </c>
      <c r="P473">
        <v>1</v>
      </c>
      <c r="Q473" s="4" t="d">
        <v>20:07:00.00000000000170850</v>
      </c>
      <c r="R473">
        <v>12.7</v>
      </c>
      <c r="S473">
        <v>8.8000000000000007</v>
      </c>
      <c r="T473">
        <v>31.88</v>
      </c>
      <c r="U473">
        <v>14.28</v>
      </c>
      <c r="V473">
        <v>14.28</v>
      </c>
      <c r="W473">
        <v>100</v>
      </c>
      <c r="Y473">
        <v>65</v>
      </c>
      <c r="Z473">
        <v>2.1</v>
      </c>
      <c r="AA473">
        <v>0</v>
      </c>
      <c r="AB473" s="4" t="d">
        <v>16:17:00.00000000000277125</v>
      </c>
      <c r="AC473">
        <v>19.5</v>
      </c>
      <c r="AD473">
        <v>2.8</v>
      </c>
    </row>
    <row r="474" spans="1:30" x14ac:dyDescent="0.2">
      <c r="A474" t="s">
        <v>304</v>
      </c>
      <c r="C474">
        <v>0</v>
      </c>
      <c r="D474" t="s">
        <v>57</v>
      </c>
      <c r="E474">
        <v>2500</v>
      </c>
      <c r="F474" t="s">
        <v>148</v>
      </c>
      <c r="G474" t="s">
        <v>512</v>
      </c>
      <c r="H474" s="3" t="d">
        <v>18:59:59.9999999999968050</v>
      </c>
      <c r="I474" t="s">
        <v>503</v>
      </c>
      <c r="J474" s="1">
        <v>0.38600000000000001</v>
      </c>
      <c r="K474">
        <v>159</v>
      </c>
      <c r="L474">
        <v>6</v>
      </c>
      <c r="M474">
        <v>2.2400000000000002</v>
      </c>
      <c r="N474">
        <v>3</v>
      </c>
      <c r="O474">
        <v>2</v>
      </c>
      <c r="Q474" s="4" t="d">
        <v>19:24:00.00000000000127800</v>
      </c>
      <c r="R474">
        <v>4.3</v>
      </c>
      <c r="S474">
        <v>3.96</v>
      </c>
      <c r="T474">
        <v>12.27</v>
      </c>
      <c r="U474">
        <v>4.3499999999999996</v>
      </c>
      <c r="V474">
        <v>4.3499999999999996</v>
      </c>
      <c r="W474">
        <v>100</v>
      </c>
      <c r="Y474">
        <v>54</v>
      </c>
      <c r="Z474">
        <v>1.7</v>
      </c>
      <c r="AA474">
        <v>0</v>
      </c>
      <c r="AB474" s="4" t="d">
        <v>21:45:00.000</v>
      </c>
      <c r="AC474">
        <v>3</v>
      </c>
      <c r="AD474">
        <v>1.2</v>
      </c>
    </row>
    <row r="475" spans="1:30" x14ac:dyDescent="0.2">
      <c r="A475" t="s">
        <v>467</v>
      </c>
      <c r="C475">
        <v>0</v>
      </c>
      <c r="D475" t="s">
        <v>343</v>
      </c>
      <c r="E475">
        <v>2500</v>
      </c>
      <c r="F475" t="s">
        <v>509</v>
      </c>
      <c r="G475" t="s">
        <v>510</v>
      </c>
      <c r="H475" s="3" t="d">
        <v>21:59:59.9999999999968050</v>
      </c>
      <c r="I475" t="s">
        <v>499</v>
      </c>
      <c r="J475" s="1">
        <v>0.47199999999999998</v>
      </c>
      <c r="K475">
        <v>-89.5</v>
      </c>
      <c r="L475">
        <v>6</v>
      </c>
      <c r="M475">
        <v>3</v>
      </c>
      <c r="N475">
        <v>2.77</v>
      </c>
      <c r="Q475" s="4" t="d">
        <v>09:14:00.00000000000181275</v>
      </c>
      <c r="R475">
        <v>1</v>
      </c>
      <c r="S475">
        <v>1.06</v>
      </c>
      <c r="T475">
        <v>0</v>
      </c>
      <c r="U475">
        <v>0</v>
      </c>
      <c r="V475">
        <v>0</v>
      </c>
      <c r="W475">
        <v>100</v>
      </c>
      <c r="Y475">
        <v>47</v>
      </c>
      <c r="Z475">
        <v>0</v>
      </c>
      <c r="AA475">
        <v>0</v>
      </c>
    </row>
    <row r="476" spans="1:30" x14ac:dyDescent="0.2">
      <c r="A476" t="s">
        <v>302</v>
      </c>
      <c r="C476">
        <v>0</v>
      </c>
      <c r="D476" t="s">
        <v>57</v>
      </c>
      <c r="E476">
        <v>2600</v>
      </c>
      <c r="F476" t="s">
        <v>117</v>
      </c>
      <c r="G476" t="s">
        <v>518</v>
      </c>
      <c r="H476" s="3" t="d">
        <v>21:00:00.000</v>
      </c>
      <c r="I476" t="s">
        <v>503</v>
      </c>
      <c r="J476" s="1">
        <v>0.54100000000000004</v>
      </c>
      <c r="K476">
        <v>85</v>
      </c>
      <c r="L476">
        <v>6</v>
      </c>
      <c r="M476">
        <v>2.8</v>
      </c>
      <c r="N476">
        <v>3</v>
      </c>
      <c r="O476">
        <v>1</v>
      </c>
      <c r="Q476" s="4" t="d">
        <v>20:22:59.99999999999829150</v>
      </c>
      <c r="R476">
        <v>5.8</v>
      </c>
      <c r="S476">
        <v>4.96</v>
      </c>
      <c r="T476">
        <v>16.47</v>
      </c>
      <c r="U476">
        <v>6.55</v>
      </c>
      <c r="V476">
        <v>6.55</v>
      </c>
      <c r="W476">
        <v>100</v>
      </c>
      <c r="Y476">
        <v>57</v>
      </c>
      <c r="Z476">
        <v>2.5</v>
      </c>
      <c r="AA476">
        <v>0</v>
      </c>
      <c r="AB476" s="4" t="d">
        <v>20:06:00.00000000000191700</v>
      </c>
      <c r="AC476">
        <v>8.4</v>
      </c>
      <c r="AD476">
        <v>3.2</v>
      </c>
    </row>
    <row r="477" spans="1:30" x14ac:dyDescent="0.2">
      <c r="A477" t="s">
        <v>193</v>
      </c>
      <c r="C477">
        <v>0</v>
      </c>
      <c r="D477" t="s">
        <v>42</v>
      </c>
      <c r="E477">
        <v>3000</v>
      </c>
      <c r="F477" t="s">
        <v>505</v>
      </c>
      <c r="G477" t="s">
        <v>506</v>
      </c>
      <c r="H477" s="3" t="d">
        <v>18:59:59.9999999999968050</v>
      </c>
      <c r="I477" t="s">
        <v>499</v>
      </c>
      <c r="J477" s="1">
        <v>0.61399999999999999</v>
      </c>
      <c r="K477">
        <v>-159</v>
      </c>
      <c r="L477">
        <v>6</v>
      </c>
      <c r="M477">
        <v>3</v>
      </c>
      <c r="N477">
        <v>2.2400000000000002</v>
      </c>
      <c r="O477">
        <v>3</v>
      </c>
      <c r="Q477" s="4" t="d">
        <v>16:16:00.00000000000298650</v>
      </c>
      <c r="R477">
        <v>5.2</v>
      </c>
      <c r="S477">
        <v>5.09</v>
      </c>
      <c r="T477">
        <v>15.47</v>
      </c>
      <c r="U477">
        <v>5.29</v>
      </c>
      <c r="V477">
        <v>5.29</v>
      </c>
      <c r="W477">
        <v>100</v>
      </c>
      <c r="Y477">
        <v>51</v>
      </c>
      <c r="Z477">
        <v>1.8</v>
      </c>
      <c r="AA477">
        <v>0</v>
      </c>
      <c r="AB477" s="4" t="d">
        <v>17:15:59.999999999999786775</v>
      </c>
      <c r="AC477">
        <v>3</v>
      </c>
      <c r="AD477">
        <v>1</v>
      </c>
    </row>
    <row r="478" spans="1:30" x14ac:dyDescent="0.2">
      <c r="A478" t="s">
        <v>370</v>
      </c>
      <c r="C478">
        <v>0</v>
      </c>
      <c r="D478" t="s">
        <v>346</v>
      </c>
      <c r="E478">
        <v>8000</v>
      </c>
      <c r="F478" t="s">
        <v>500</v>
      </c>
      <c r="G478" t="s">
        <v>501</v>
      </c>
      <c r="H478" s="3" t="d">
        <v>21:59:59.9999999999968050</v>
      </c>
      <c r="I478" t="s">
        <v>499</v>
      </c>
      <c r="J478" s="1">
        <v>0.44600000000000001</v>
      </c>
      <c r="K478">
        <v>-80.5</v>
      </c>
      <c r="L478">
        <v>6.5</v>
      </c>
      <c r="M478">
        <v>3.38</v>
      </c>
      <c r="N478">
        <v>3.25</v>
      </c>
      <c r="O478" t="s">
        <v>528</v>
      </c>
      <c r="Q478" s="5" t="d">
        <v>PT54H47M0.000S</v>
      </c>
      <c r="R478">
        <v>9.5</v>
      </c>
      <c r="S478">
        <v>11.22</v>
      </c>
      <c r="T478">
        <v>0</v>
      </c>
      <c r="U478">
        <v>0</v>
      </c>
      <c r="V478">
        <v>0</v>
      </c>
      <c r="W478">
        <v>100</v>
      </c>
      <c r="Y478">
        <v>41</v>
      </c>
      <c r="Z478">
        <v>0</v>
      </c>
      <c r="AA478">
        <v>0</v>
      </c>
      <c r="AB478" s="4" t="d">
        <v>1899-12-30</v>
      </c>
      <c r="AC478">
        <v>0</v>
      </c>
    </row>
    <row r="479" spans="1:30" x14ac:dyDescent="0.2">
      <c r="A479" t="s">
        <v>280</v>
      </c>
      <c r="C479">
        <v>0</v>
      </c>
      <c r="D479" t="s">
        <v>343</v>
      </c>
      <c r="E479">
        <v>3600</v>
      </c>
      <c r="F479" t="s">
        <v>117</v>
      </c>
      <c r="G479" t="s">
        <v>518</v>
      </c>
      <c r="H479" s="3" t="d">
        <v>21:00:00.000</v>
      </c>
      <c r="I479" t="s">
        <v>503</v>
      </c>
      <c r="J479" s="1">
        <v>0.54100000000000004</v>
      </c>
      <c r="K479">
        <v>85</v>
      </c>
      <c r="L479">
        <v>6</v>
      </c>
      <c r="M479">
        <v>2.8</v>
      </c>
      <c r="N479">
        <v>3</v>
      </c>
      <c r="O479">
        <v>2</v>
      </c>
      <c r="P479">
        <v>2</v>
      </c>
      <c r="Q479" s="4" t="d">
        <v>15:54:59.99999999999786775</v>
      </c>
      <c r="R479">
        <v>6.5</v>
      </c>
      <c r="S479">
        <v>5.58</v>
      </c>
      <c r="T479">
        <v>19.63</v>
      </c>
      <c r="U479">
        <v>8.4700000000000006</v>
      </c>
      <c r="V479">
        <v>8.4700000000000006</v>
      </c>
      <c r="W479">
        <v>100</v>
      </c>
      <c r="Y479">
        <v>57</v>
      </c>
      <c r="Z479">
        <v>2.4</v>
      </c>
      <c r="AA479">
        <v>0</v>
      </c>
      <c r="AB479" s="4" t="d">
        <v>20:13:00.00000000000042375</v>
      </c>
      <c r="AC479">
        <v>17.399999999999999</v>
      </c>
      <c r="AD479">
        <v>4.8</v>
      </c>
    </row>
    <row r="480" spans="1:30" x14ac:dyDescent="0.2">
      <c r="A480" t="s">
        <v>267</v>
      </c>
      <c r="C480">
        <v>0</v>
      </c>
      <c r="D480" t="s">
        <v>57</v>
      </c>
      <c r="E480">
        <v>2600</v>
      </c>
      <c r="F480" t="s">
        <v>117</v>
      </c>
      <c r="G480" t="s">
        <v>518</v>
      </c>
      <c r="H480" s="3" t="d">
        <v>21:00:00.000</v>
      </c>
      <c r="I480" t="s">
        <v>503</v>
      </c>
      <c r="J480" s="1">
        <v>0.54100000000000004</v>
      </c>
      <c r="K480">
        <v>85</v>
      </c>
      <c r="L480">
        <v>6</v>
      </c>
      <c r="M480">
        <v>2.8</v>
      </c>
      <c r="N480">
        <v>3</v>
      </c>
      <c r="O480">
        <v>2</v>
      </c>
      <c r="Q480" s="4" t="d">
        <v>18:57:59.99999999999722875</v>
      </c>
      <c r="R480">
        <v>4.3</v>
      </c>
      <c r="S480">
        <v>3.4</v>
      </c>
      <c r="T480">
        <v>12.29</v>
      </c>
      <c r="U480">
        <v>5.49</v>
      </c>
      <c r="V480">
        <v>5.49</v>
      </c>
      <c r="W480">
        <v>100</v>
      </c>
      <c r="Y480">
        <v>60</v>
      </c>
      <c r="Z480">
        <v>2.1</v>
      </c>
      <c r="AA480">
        <v>0</v>
      </c>
      <c r="AB480" s="5" t="d">
        <v>PT25H16M0.000S</v>
      </c>
      <c r="AC480">
        <v>6.9</v>
      </c>
      <c r="AD480">
        <v>2.7</v>
      </c>
    </row>
    <row r="481" spans="1:30" x14ac:dyDescent="0.2">
      <c r="A481" t="s">
        <v>611</v>
      </c>
      <c r="C481">
        <v>0</v>
      </c>
      <c r="D481" t="s">
        <v>343</v>
      </c>
      <c r="E481">
        <v>2500</v>
      </c>
      <c r="F481" t="s">
        <v>509</v>
      </c>
      <c r="G481" t="s">
        <v>510</v>
      </c>
      <c r="H481" s="3" t="d">
        <v>21:59:59.9999999999968050</v>
      </c>
      <c r="I481" t="s">
        <v>499</v>
      </c>
      <c r="J481" s="1">
        <v>0.47199999999999998</v>
      </c>
      <c r="K481">
        <v>-89.5</v>
      </c>
      <c r="L481">
        <v>6</v>
      </c>
      <c r="M481">
        <v>3</v>
      </c>
      <c r="N481">
        <v>2.77</v>
      </c>
      <c r="Q481" s="4" t="d">
        <v>07:43:00.00000000000202800</v>
      </c>
      <c r="R481">
        <v>3.6</v>
      </c>
      <c r="S481">
        <v>2.5499999999999998</v>
      </c>
      <c r="T481">
        <v>0</v>
      </c>
      <c r="U481">
        <v>0</v>
      </c>
      <c r="V481">
        <v>0</v>
      </c>
      <c r="W481">
        <v>100</v>
      </c>
      <c r="Y481">
        <v>65</v>
      </c>
      <c r="Z481">
        <v>0</v>
      </c>
      <c r="AA481">
        <v>0</v>
      </c>
    </row>
    <row r="482" spans="1:30" x14ac:dyDescent="0.2">
      <c r="A482" t="s">
        <v>315</v>
      </c>
      <c r="C482">
        <v>0</v>
      </c>
      <c r="D482" t="s">
        <v>42</v>
      </c>
      <c r="E482">
        <v>2500</v>
      </c>
      <c r="F482" t="s">
        <v>500</v>
      </c>
      <c r="G482" t="s">
        <v>501</v>
      </c>
      <c r="H482" s="3" t="d">
        <v>21:59:59.9999999999968050</v>
      </c>
      <c r="I482" t="s">
        <v>499</v>
      </c>
      <c r="J482" s="1">
        <v>0.44600000000000001</v>
      </c>
      <c r="K482">
        <v>-80.5</v>
      </c>
      <c r="L482">
        <v>6.5</v>
      </c>
      <c r="M482">
        <v>3.38</v>
      </c>
      <c r="N482">
        <v>3.25</v>
      </c>
      <c r="O482">
        <v>4</v>
      </c>
      <c r="Q482" s="4" t="d">
        <v>09:48:59.99999999999914575</v>
      </c>
      <c r="R482">
        <v>3.1</v>
      </c>
      <c r="S482">
        <v>4.2300000000000004</v>
      </c>
      <c r="T482">
        <v>12.47</v>
      </c>
      <c r="U482">
        <v>4.01</v>
      </c>
      <c r="V482">
        <v>4.01</v>
      </c>
      <c r="W482">
        <v>100</v>
      </c>
      <c r="Y482">
        <v>32</v>
      </c>
      <c r="Z482">
        <v>1.6</v>
      </c>
      <c r="AA482">
        <v>0</v>
      </c>
      <c r="AB482" s="4" t="d">
        <v>08:51:00.00000000000191700</v>
      </c>
      <c r="AC482">
        <v>1.5</v>
      </c>
      <c r="AD482">
        <v>0.6</v>
      </c>
    </row>
    <row r="483" spans="1:30" x14ac:dyDescent="0.2">
      <c r="A483" t="s">
        <v>146</v>
      </c>
      <c r="C483">
        <v>0</v>
      </c>
      <c r="D483" t="s">
        <v>343</v>
      </c>
      <c r="E483">
        <v>2500</v>
      </c>
      <c r="F483" t="s">
        <v>48</v>
      </c>
      <c r="G483" t="s">
        <v>498</v>
      </c>
      <c r="H483" s="3" t="d">
        <v>21:00:00.000</v>
      </c>
      <c r="I483" t="s">
        <v>499</v>
      </c>
      <c r="J483" s="1">
        <v>0.623</v>
      </c>
      <c r="K483">
        <v>-165</v>
      </c>
      <c r="L483">
        <v>6.5</v>
      </c>
      <c r="M483">
        <v>4.18</v>
      </c>
      <c r="N483">
        <v>3.25</v>
      </c>
      <c r="O483">
        <v>4</v>
      </c>
      <c r="Q483" s="4" t="d">
        <v>07:35:59.99999999999872200</v>
      </c>
      <c r="R483">
        <v>2.7</v>
      </c>
      <c r="S483">
        <v>3.37</v>
      </c>
      <c r="T483">
        <v>11.25</v>
      </c>
      <c r="U483">
        <v>4.51</v>
      </c>
      <c r="V483">
        <v>4.51</v>
      </c>
      <c r="W483">
        <v>100</v>
      </c>
      <c r="Y483">
        <v>38</v>
      </c>
      <c r="Z483">
        <v>1.8</v>
      </c>
      <c r="AA483">
        <v>0</v>
      </c>
      <c r="AB483" s="4" t="d">
        <v>05:53:59.99999999999888175</v>
      </c>
      <c r="AC483">
        <v>7.8</v>
      </c>
      <c r="AD483">
        <v>3.1</v>
      </c>
    </row>
    <row r="484" spans="1:30" x14ac:dyDescent="0.2">
      <c r="A484" t="s">
        <v>598</v>
      </c>
      <c r="C484">
        <v>0</v>
      </c>
      <c r="D484" t="s">
        <v>57</v>
      </c>
      <c r="E484">
        <v>2500</v>
      </c>
      <c r="F484" t="s">
        <v>117</v>
      </c>
      <c r="G484" t="s">
        <v>518</v>
      </c>
      <c r="H484" s="3" t="d">
        <v>21:00:00.000</v>
      </c>
      <c r="I484" t="s">
        <v>503</v>
      </c>
      <c r="J484" s="1">
        <v>0.54100000000000004</v>
      </c>
      <c r="K484">
        <v>85</v>
      </c>
      <c r="L484">
        <v>6</v>
      </c>
      <c r="M484">
        <v>2.8</v>
      </c>
      <c r="N484">
        <v>3</v>
      </c>
      <c r="Q484" s="4" t="d">
        <v>15:13:59.99999999999701350</v>
      </c>
      <c r="R484">
        <v>3.3</v>
      </c>
      <c r="S484">
        <v>2.56</v>
      </c>
      <c r="T484">
        <v>0</v>
      </c>
      <c r="U484">
        <v>0</v>
      </c>
      <c r="V484">
        <v>0</v>
      </c>
      <c r="W484">
        <v>100</v>
      </c>
      <c r="Y484">
        <v>61</v>
      </c>
      <c r="Z484">
        <v>0</v>
      </c>
      <c r="AA484">
        <v>0</v>
      </c>
    </row>
    <row r="485" spans="1:30" x14ac:dyDescent="0.2">
      <c r="A485" t="s">
        <v>157</v>
      </c>
      <c r="C485">
        <v>0</v>
      </c>
      <c r="D485" t="s">
        <v>57</v>
      </c>
      <c r="E485">
        <v>3100</v>
      </c>
      <c r="F485" t="s">
        <v>59</v>
      </c>
      <c r="G485" t="s">
        <v>521</v>
      </c>
      <c r="H485" s="3" t="d">
        <v>21:59:59.9999999999968050</v>
      </c>
      <c r="I485" t="s">
        <v>503</v>
      </c>
      <c r="J485" s="1">
        <v>0.52800000000000002</v>
      </c>
      <c r="K485">
        <v>89.5</v>
      </c>
      <c r="L485">
        <v>6</v>
      </c>
      <c r="M485">
        <v>2.77</v>
      </c>
      <c r="N485">
        <v>3</v>
      </c>
      <c r="O485">
        <v>1</v>
      </c>
      <c r="P485">
        <v>2</v>
      </c>
      <c r="Q485" s="4" t="d">
        <v>19:13:00.00000000000362550</v>
      </c>
      <c r="R485">
        <v>4.5999999999999996</v>
      </c>
      <c r="S485">
        <v>4.82</v>
      </c>
      <c r="T485">
        <v>13.11</v>
      </c>
      <c r="U485">
        <v>3.47</v>
      </c>
      <c r="V485">
        <v>3.47</v>
      </c>
      <c r="W485">
        <v>100</v>
      </c>
      <c r="Y485">
        <v>48</v>
      </c>
      <c r="Z485">
        <v>1.1000000000000001</v>
      </c>
      <c r="AA485">
        <v>0</v>
      </c>
      <c r="AB485" s="4" t="d">
        <v>23:59:00.00000000000021525</v>
      </c>
      <c r="AC485">
        <v>13</v>
      </c>
      <c r="AD485">
        <v>4.2</v>
      </c>
    </row>
    <row r="486" spans="1:30" x14ac:dyDescent="0.2">
      <c r="A486" t="s">
        <v>194</v>
      </c>
      <c r="C486">
        <v>0</v>
      </c>
      <c r="D486" t="s">
        <v>343</v>
      </c>
      <c r="E486">
        <v>2500</v>
      </c>
      <c r="F486" t="s">
        <v>505</v>
      </c>
      <c r="G486" t="s">
        <v>506</v>
      </c>
      <c r="H486" s="3" t="d">
        <v>18:59:59.9999999999968050</v>
      </c>
      <c r="I486" t="s">
        <v>499</v>
      </c>
      <c r="J486" s="1">
        <v>0.61399999999999999</v>
      </c>
      <c r="K486">
        <v>-159</v>
      </c>
      <c r="L486">
        <v>6</v>
      </c>
      <c r="M486">
        <v>3</v>
      </c>
      <c r="N486">
        <v>2.2400000000000002</v>
      </c>
      <c r="O486">
        <v>3</v>
      </c>
      <c r="Q486" s="4" t="d">
        <v>14:34:59.99999999999573550</v>
      </c>
      <c r="R486">
        <v>4.5999999999999996</v>
      </c>
      <c r="S486">
        <v>4.53</v>
      </c>
      <c r="T486">
        <v>13.3</v>
      </c>
      <c r="U486">
        <v>4.24</v>
      </c>
      <c r="V486">
        <v>4.24</v>
      </c>
      <c r="W486">
        <v>100</v>
      </c>
      <c r="Y486">
        <v>51</v>
      </c>
      <c r="Z486">
        <v>1.7</v>
      </c>
      <c r="AA486">
        <v>0</v>
      </c>
      <c r="AB486" s="4" t="d">
        <v>15:32:00.00000000000277125</v>
      </c>
      <c r="AC486">
        <v>3</v>
      </c>
      <c r="AD486">
        <v>1.2</v>
      </c>
    </row>
  </sheetData>
  <autoFilter ref="A1:AD486" xr:uid="{7B244BFE-91BF-CC46-B60A-986244173CBC}">
    <sortState xmlns:xlrd2="http://schemas.microsoft.com/office/spreadsheetml/2017/richdata2" ref="A2:AD486">
      <sortCondition ref="A1:A486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Projection</vt:lpstr>
      <vt:lpstr>NHT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Horlbeck</dc:creator>
  <cp:lastModifiedBy>Brendan Horlbeck</cp:lastModifiedBy>
  <dcterms:created xsi:type="dcterms:W3CDTF">2026-01-24T09:32:32Z</dcterms:created>
  <dcterms:modified xsi:type="dcterms:W3CDTF">2026-01-24T10:08:31Z</dcterms:modified>
</cp:coreProperties>
</file>