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horlbeck/Desktop/Code/projection/"/>
    </mc:Choice>
  </mc:AlternateContent>
  <xr:revisionPtr revIDLastSave="0" documentId="8_{FD8EB06B-423E-204C-83DE-BF8AC140CE64}" xr6:coauthVersionLast="47" xr6:coauthVersionMax="47" xr10:uidLastSave="{00000000-0000-0000-0000-000000000000}"/>
  <bookViews>
    <workbookView xWindow="18460" yWindow="6980" windowWidth="27640" windowHeight="16680" activeTab="1" xr2:uid="{22F1C16F-8879-3147-ABC1-C186F4F7BBF5}"/>
  </bookViews>
  <sheets>
    <sheet name="Actual" sheetId="1" r:id="rId1"/>
    <sheet name="Projected" sheetId="2" r:id="rId2"/>
    <sheet name="NHT" sheetId="3" r:id="rId3"/>
    <sheet name="fc" sheetId="4" r:id="rId4"/>
  </sheets>
  <definedNames>
    <definedName name="_xlnm._FilterDatabase" localSheetId="1" hidden="1">Projected!$A$1:$N$143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2" l="1"/>
  <c r="M118" i="2"/>
  <c r="M100" i="2"/>
  <c r="M82" i="2"/>
  <c r="M112" i="2"/>
  <c r="M93" i="2"/>
  <c r="M127" i="2"/>
  <c r="M86" i="2"/>
  <c r="M95" i="2"/>
  <c r="M132" i="2"/>
  <c r="M122" i="2"/>
  <c r="M111" i="2"/>
  <c r="M85" i="2"/>
  <c r="M115" i="2"/>
  <c r="M55" i="2"/>
  <c r="M134" i="2"/>
  <c r="M91" i="2"/>
  <c r="M59" i="2"/>
  <c r="M98" i="2"/>
  <c r="M78" i="2"/>
  <c r="M110" i="2"/>
  <c r="M135" i="2"/>
  <c r="M77" i="2"/>
  <c r="M131" i="2"/>
  <c r="M30" i="2"/>
  <c r="M128" i="2"/>
  <c r="M114" i="2"/>
  <c r="M74" i="2"/>
  <c r="M92" i="2"/>
  <c r="M43" i="2"/>
  <c r="M123" i="2"/>
  <c r="M75" i="2"/>
  <c r="M120" i="2"/>
  <c r="M89" i="2"/>
  <c r="M125" i="2"/>
  <c r="M66" i="2"/>
  <c r="M19" i="2"/>
  <c r="M130" i="2"/>
  <c r="M73" i="2"/>
  <c r="M119" i="2"/>
  <c r="M45" i="2"/>
  <c r="M116" i="2"/>
  <c r="M106" i="2"/>
  <c r="M57" i="2"/>
  <c r="M61" i="2"/>
  <c r="M56" i="2"/>
  <c r="M58" i="2"/>
  <c r="M79" i="2"/>
  <c r="M99" i="2"/>
  <c r="M136" i="2"/>
  <c r="M117" i="2"/>
  <c r="M133" i="2"/>
  <c r="M121" i="2"/>
  <c r="M129" i="2"/>
  <c r="M29" i="2"/>
  <c r="M104" i="2"/>
  <c r="M69" i="2"/>
  <c r="M71" i="2"/>
  <c r="M96" i="2"/>
  <c r="M97" i="2"/>
  <c r="M65" i="2"/>
  <c r="M72" i="2"/>
  <c r="M64" i="2"/>
  <c r="M87" i="2"/>
  <c r="M94" i="2"/>
  <c r="M49" i="2"/>
  <c r="M81" i="2"/>
  <c r="M15" i="2"/>
  <c r="M54" i="2"/>
  <c r="M40" i="2"/>
  <c r="M126" i="2"/>
  <c r="M46" i="2"/>
  <c r="M50" i="2"/>
  <c r="M109" i="2"/>
  <c r="M33" i="2"/>
  <c r="M48" i="2"/>
  <c r="M47" i="2"/>
  <c r="M90" i="2"/>
  <c r="M38" i="2"/>
  <c r="M51" i="2"/>
  <c r="M113" i="2"/>
  <c r="M6" i="2"/>
  <c r="M32" i="2"/>
  <c r="M21" i="2"/>
  <c r="M68" i="2"/>
  <c r="M105" i="2"/>
  <c r="M101" i="2"/>
  <c r="M63" i="2"/>
  <c r="M67" i="2"/>
  <c r="M53" i="2"/>
  <c r="M88" i="2"/>
  <c r="M108" i="2"/>
  <c r="M17" i="2"/>
  <c r="M60" i="2"/>
  <c r="M70" i="2"/>
  <c r="M80" i="2"/>
  <c r="M28" i="2"/>
  <c r="M102" i="2"/>
  <c r="M84" i="2"/>
  <c r="M107" i="2"/>
  <c r="M11" i="2"/>
  <c r="M35" i="2"/>
  <c r="M23" i="2"/>
  <c r="M37" i="2"/>
  <c r="M2" i="2"/>
  <c r="M34" i="2"/>
  <c r="M18" i="2"/>
  <c r="M39" i="2"/>
  <c r="M31" i="2"/>
  <c r="M76" i="2"/>
  <c r="M26" i="2"/>
  <c r="M9" i="2"/>
  <c r="M52" i="2"/>
  <c r="M36" i="2"/>
  <c r="M14" i="2"/>
  <c r="M62" i="2"/>
  <c r="M103" i="2"/>
  <c r="M8" i="2"/>
  <c r="M27" i="2"/>
  <c r="M24" i="2"/>
  <c r="M44" i="2"/>
  <c r="M12" i="2"/>
  <c r="M10" i="2"/>
  <c r="M42" i="2"/>
  <c r="M3" i="2"/>
  <c r="M25" i="2"/>
  <c r="M41" i="2"/>
  <c r="M22" i="2"/>
  <c r="M20" i="2"/>
  <c r="M16" i="2"/>
  <c r="M13" i="2"/>
  <c r="M5" i="2"/>
  <c r="M7" i="2"/>
  <c r="M4" i="2"/>
  <c r="M139" i="2"/>
  <c r="M138" i="2"/>
  <c r="M142" i="2"/>
  <c r="M140" i="2"/>
  <c r="M137" i="2"/>
  <c r="M143" i="2"/>
  <c r="M141" i="2"/>
  <c r="M124" i="2"/>
  <c r="N83" i="2"/>
  <c r="N118" i="2"/>
  <c r="N100" i="2"/>
  <c r="N82" i="2"/>
  <c r="N112" i="2"/>
  <c r="N93" i="2"/>
  <c r="N127" i="2"/>
  <c r="N86" i="2"/>
  <c r="N95" i="2"/>
  <c r="N132" i="2"/>
  <c r="N122" i="2"/>
  <c r="N111" i="2"/>
  <c r="N85" i="2"/>
  <c r="N115" i="2"/>
  <c r="N55" i="2"/>
  <c r="N134" i="2"/>
  <c r="N91" i="2"/>
  <c r="N59" i="2"/>
  <c r="N98" i="2"/>
  <c r="N78" i="2"/>
  <c r="N110" i="2"/>
  <c r="N135" i="2"/>
  <c r="N77" i="2"/>
  <c r="N131" i="2"/>
  <c r="N30" i="2"/>
  <c r="N128" i="2"/>
  <c r="N114" i="2"/>
  <c r="N74" i="2"/>
  <c r="N92" i="2"/>
  <c r="N43" i="2"/>
  <c r="N123" i="2"/>
  <c r="N75" i="2"/>
  <c r="N120" i="2"/>
  <c r="N89" i="2"/>
  <c r="N125" i="2"/>
  <c r="N66" i="2"/>
  <c r="N19" i="2"/>
  <c r="N130" i="2"/>
  <c r="N73" i="2"/>
  <c r="N119" i="2"/>
  <c r="N45" i="2"/>
  <c r="N116" i="2"/>
  <c r="N106" i="2"/>
  <c r="N57" i="2"/>
  <c r="N61" i="2"/>
  <c r="N56" i="2"/>
  <c r="N58" i="2"/>
  <c r="N79" i="2"/>
  <c r="N99" i="2"/>
  <c r="N136" i="2"/>
  <c r="N117" i="2"/>
  <c r="N133" i="2"/>
  <c r="N121" i="2"/>
  <c r="N129" i="2"/>
  <c r="N29" i="2"/>
  <c r="N104" i="2"/>
  <c r="N69" i="2"/>
  <c r="N71" i="2"/>
  <c r="N96" i="2"/>
  <c r="N97" i="2"/>
  <c r="N65" i="2"/>
  <c r="N72" i="2"/>
  <c r="N64" i="2"/>
  <c r="N87" i="2"/>
  <c r="N94" i="2"/>
  <c r="N49" i="2"/>
  <c r="N81" i="2"/>
  <c r="N15" i="2"/>
  <c r="N54" i="2"/>
  <c r="N40" i="2"/>
  <c r="N126" i="2"/>
  <c r="N46" i="2"/>
  <c r="N50" i="2"/>
  <c r="N109" i="2"/>
  <c r="N33" i="2"/>
  <c r="N48" i="2"/>
  <c r="N47" i="2"/>
  <c r="N90" i="2"/>
  <c r="N38" i="2"/>
  <c r="N51" i="2"/>
  <c r="N113" i="2"/>
  <c r="N6" i="2"/>
  <c r="N32" i="2"/>
  <c r="N21" i="2"/>
  <c r="N68" i="2"/>
  <c r="N105" i="2"/>
  <c r="N101" i="2"/>
  <c r="N63" i="2"/>
  <c r="N67" i="2"/>
  <c r="N53" i="2"/>
  <c r="N88" i="2"/>
  <c r="N108" i="2"/>
  <c r="N17" i="2"/>
  <c r="N60" i="2"/>
  <c r="N70" i="2"/>
  <c r="N80" i="2"/>
  <c r="N28" i="2"/>
  <c r="N102" i="2"/>
  <c r="N84" i="2"/>
  <c r="N107" i="2"/>
  <c r="N11" i="2"/>
  <c r="N35" i="2"/>
  <c r="N23" i="2"/>
  <c r="N37" i="2"/>
  <c r="N2" i="2"/>
  <c r="N34" i="2"/>
  <c r="N18" i="2"/>
  <c r="N39" i="2"/>
  <c r="N31" i="2"/>
  <c r="N76" i="2"/>
  <c r="N26" i="2"/>
  <c r="N9" i="2"/>
  <c r="N52" i="2"/>
  <c r="N36" i="2"/>
  <c r="N14" i="2"/>
  <c r="N62" i="2"/>
  <c r="N103" i="2"/>
  <c r="N8" i="2"/>
  <c r="N27" i="2"/>
  <c r="N24" i="2"/>
  <c r="N44" i="2"/>
  <c r="N12" i="2"/>
  <c r="N10" i="2"/>
  <c r="N42" i="2"/>
  <c r="N3" i="2"/>
  <c r="N25" i="2"/>
  <c r="N41" i="2"/>
  <c r="N22" i="2"/>
  <c r="N20" i="2"/>
  <c r="N16" i="2"/>
  <c r="N13" i="2"/>
  <c r="N5" i="2"/>
  <c r="N7" i="2"/>
  <c r="N4" i="2"/>
  <c r="N139" i="2"/>
  <c r="N138" i="2"/>
  <c r="N142" i="2"/>
  <c r="N140" i="2"/>
  <c r="N137" i="2"/>
  <c r="N143" i="2"/>
  <c r="N141" i="2"/>
  <c r="N124" i="2"/>
  <c r="L83" i="2"/>
  <c r="L118" i="2"/>
  <c r="L100" i="2"/>
  <c r="L82" i="2"/>
  <c r="L112" i="2"/>
  <c r="L93" i="2"/>
  <c r="L127" i="2"/>
  <c r="L86" i="2"/>
  <c r="L95" i="2"/>
  <c r="L132" i="2"/>
  <c r="L122" i="2"/>
  <c r="L111" i="2"/>
  <c r="L85" i="2"/>
  <c r="L115" i="2"/>
  <c r="L55" i="2"/>
  <c r="L134" i="2"/>
  <c r="L91" i="2"/>
  <c r="L59" i="2"/>
  <c r="L98" i="2"/>
  <c r="L78" i="2"/>
  <c r="L110" i="2"/>
  <c r="L135" i="2"/>
  <c r="L77" i="2"/>
  <c r="L131" i="2"/>
  <c r="L30" i="2"/>
  <c r="L128" i="2"/>
  <c r="L114" i="2"/>
  <c r="L74" i="2"/>
  <c r="L92" i="2"/>
  <c r="L43" i="2"/>
  <c r="L123" i="2"/>
  <c r="L75" i="2"/>
  <c r="L120" i="2"/>
  <c r="L89" i="2"/>
  <c r="L125" i="2"/>
  <c r="L66" i="2"/>
  <c r="L19" i="2"/>
  <c r="L130" i="2"/>
  <c r="L73" i="2"/>
  <c r="L119" i="2"/>
  <c r="L45" i="2"/>
  <c r="L116" i="2"/>
  <c r="L106" i="2"/>
  <c r="L57" i="2"/>
  <c r="L61" i="2"/>
  <c r="L56" i="2"/>
  <c r="L58" i="2"/>
  <c r="L79" i="2"/>
  <c r="L99" i="2"/>
  <c r="L136" i="2"/>
  <c r="L117" i="2"/>
  <c r="L133" i="2"/>
  <c r="L121" i="2"/>
  <c r="L129" i="2"/>
  <c r="L29" i="2"/>
  <c r="L104" i="2"/>
  <c r="L69" i="2"/>
  <c r="L71" i="2"/>
  <c r="L96" i="2"/>
  <c r="L97" i="2"/>
  <c r="L65" i="2"/>
  <c r="L72" i="2"/>
  <c r="L64" i="2"/>
  <c r="L87" i="2"/>
  <c r="L94" i="2"/>
  <c r="L49" i="2"/>
  <c r="L81" i="2"/>
  <c r="L15" i="2"/>
  <c r="L54" i="2"/>
  <c r="L40" i="2"/>
  <c r="L126" i="2"/>
  <c r="L46" i="2"/>
  <c r="L50" i="2"/>
  <c r="L109" i="2"/>
  <c r="L33" i="2"/>
  <c r="L48" i="2"/>
  <c r="L47" i="2"/>
  <c r="L90" i="2"/>
  <c r="L38" i="2"/>
  <c r="L51" i="2"/>
  <c r="L113" i="2"/>
  <c r="L6" i="2"/>
  <c r="L32" i="2"/>
  <c r="L21" i="2"/>
  <c r="L68" i="2"/>
  <c r="L105" i="2"/>
  <c r="L101" i="2"/>
  <c r="L63" i="2"/>
  <c r="L67" i="2"/>
  <c r="L53" i="2"/>
  <c r="L88" i="2"/>
  <c r="L108" i="2"/>
  <c r="L17" i="2"/>
  <c r="L60" i="2"/>
  <c r="L70" i="2"/>
  <c r="L80" i="2"/>
  <c r="L28" i="2"/>
  <c r="L102" i="2"/>
  <c r="L84" i="2"/>
  <c r="L107" i="2"/>
  <c r="L11" i="2"/>
  <c r="L35" i="2"/>
  <c r="L23" i="2"/>
  <c r="L37" i="2"/>
  <c r="L2" i="2"/>
  <c r="L34" i="2"/>
  <c r="L18" i="2"/>
  <c r="L39" i="2"/>
  <c r="L31" i="2"/>
  <c r="L76" i="2"/>
  <c r="L26" i="2"/>
  <c r="L9" i="2"/>
  <c r="L52" i="2"/>
  <c r="L36" i="2"/>
  <c r="L14" i="2"/>
  <c r="L62" i="2"/>
  <c r="L103" i="2"/>
  <c r="L8" i="2"/>
  <c r="L27" i="2"/>
  <c r="L24" i="2"/>
  <c r="L44" i="2"/>
  <c r="L12" i="2"/>
  <c r="L10" i="2"/>
  <c r="L42" i="2"/>
  <c r="L3" i="2"/>
  <c r="L25" i="2"/>
  <c r="L41" i="2"/>
  <c r="L22" i="2"/>
  <c r="L20" i="2"/>
  <c r="L16" i="2"/>
  <c r="L13" i="2"/>
  <c r="L5" i="2"/>
  <c r="L7" i="2"/>
  <c r="L4" i="2"/>
  <c r="L139" i="2"/>
  <c r="L138" i="2"/>
  <c r="L142" i="2"/>
  <c r="L140" i="2"/>
  <c r="L137" i="2"/>
  <c r="L143" i="2"/>
  <c r="L141" i="2"/>
  <c r="L124" i="2"/>
</calcChain>
</file>

<file path=xl/sharedStrings.xml><?xml version="1.0" encoding="utf-8"?>
<sst xmlns="http://schemas.openxmlformats.org/spreadsheetml/2006/main" count="3146" uniqueCount="414">
  <si>
    <t>Player</t>
  </si>
  <si>
    <t>Roster Position</t>
  </si>
  <si>
    <t>%Drafted</t>
  </si>
  <si>
    <t>FPTS</t>
  </si>
  <si>
    <t>Connor McDavid</t>
  </si>
  <si>
    <t>C</t>
  </si>
  <si>
    <t>Ilya Sorokin</t>
  </si>
  <si>
    <t>G</t>
  </si>
  <si>
    <t>Viktor Arvidsson</t>
  </si>
  <si>
    <t>W</t>
  </si>
  <si>
    <t>Leon Draisaitl</t>
  </si>
  <si>
    <t>Evan Bouchard</t>
  </si>
  <si>
    <t>D</t>
  </si>
  <si>
    <t>Pavel Zacha</t>
  </si>
  <si>
    <t>Zach Hyman</t>
  </si>
  <si>
    <t>Morgan Geekie</t>
  </si>
  <si>
    <t>Charlie McAvoy</t>
  </si>
  <si>
    <t>Elias Lindholm</t>
  </si>
  <si>
    <t>Mattias Ekholm</t>
  </si>
  <si>
    <t>David Pastrnak</t>
  </si>
  <si>
    <t>Joonas Korpisalo</t>
  </si>
  <si>
    <t>Andrei Vasilevskiy</t>
  </si>
  <si>
    <t>Casey Mittelstadt</t>
  </si>
  <si>
    <t>Ryan Nugent-Hopkins</t>
  </si>
  <si>
    <t>Anthony Cirelli</t>
  </si>
  <si>
    <t>Hampus Lindholm</t>
  </si>
  <si>
    <t>Tristan Jarry</t>
  </si>
  <si>
    <t>Mikael Granlund</t>
  </si>
  <si>
    <t>Nikita Kucherov</t>
  </si>
  <si>
    <t>J.J. Moser</t>
  </si>
  <si>
    <t>Beckett Sennecke</t>
  </si>
  <si>
    <t>Kasperi Kapanen</t>
  </si>
  <si>
    <t>Darren Raddysh</t>
  </si>
  <si>
    <t>Mika Zibanejad</t>
  </si>
  <si>
    <t>J.T. Miller</t>
  </si>
  <si>
    <t>Brandon Hagel</t>
  </si>
  <si>
    <t>Jake Walman</t>
  </si>
  <si>
    <t>Matvei Michkov</t>
  </si>
  <si>
    <t>Jake Guentzel</t>
  </si>
  <si>
    <t>UTIL</t>
  </si>
  <si>
    <t>Fraser Minten</t>
  </si>
  <si>
    <t>Vincent Trocheck</t>
  </si>
  <si>
    <t>Artemi Panarin</t>
  </si>
  <si>
    <t>Chris Kreider</t>
  </si>
  <si>
    <t>Mason Lohrei</t>
  </si>
  <si>
    <t>Cam York</t>
  </si>
  <si>
    <t>Vladislav Gavrikov</t>
  </si>
  <si>
    <t>Barrett Hayton</t>
  </si>
  <si>
    <t>Anthony Duclair</t>
  </si>
  <si>
    <t>Trevor Zegras</t>
  </si>
  <si>
    <t>Andrew Peeke</t>
  </si>
  <si>
    <t>Cutter Gauthier</t>
  </si>
  <si>
    <t>Vasily Podkolzin</t>
  </si>
  <si>
    <t>Gabe Perreault</t>
  </si>
  <si>
    <t>Jamie Drysdale</t>
  </si>
  <si>
    <t>Christian Dvorak</t>
  </si>
  <si>
    <t>Bobby Brink</t>
  </si>
  <si>
    <t>Marat Khusnutdinov</t>
  </si>
  <si>
    <t>Max Shabanov</t>
  </si>
  <si>
    <t>Samuel Ersson</t>
  </si>
  <si>
    <t>Michael Carcone</t>
  </si>
  <si>
    <t>Travis Konecny</t>
  </si>
  <si>
    <t>Tony DeAngelo</t>
  </si>
  <si>
    <t>Oliver Bjorkstrand</t>
  </si>
  <si>
    <t>Darnell Nurse</t>
  </si>
  <si>
    <t>Alexis Lafreniere</t>
  </si>
  <si>
    <t>Alex Killorn</t>
  </si>
  <si>
    <t>Travis Sanheim</t>
  </si>
  <si>
    <t>Mikhail Sergachev</t>
  </si>
  <si>
    <t>Radko Gudas</t>
  </si>
  <si>
    <t>Denver Barkey</t>
  </si>
  <si>
    <t>Matt Savoie</t>
  </si>
  <si>
    <t>Owen Tippett</t>
  </si>
  <si>
    <t>Jackson LaCombe</t>
  </si>
  <si>
    <t>Bo Horvat</t>
  </si>
  <si>
    <t>Ryan Poehling</t>
  </si>
  <si>
    <t>Jack Roslovic</t>
  </si>
  <si>
    <t>Emil Heineman</t>
  </si>
  <si>
    <t>Jonathan Drouin</t>
  </si>
  <si>
    <t>Pavel Mintyukov</t>
  </si>
  <si>
    <t>Braden Schneider</t>
  </si>
  <si>
    <t>Karel Vejmelka</t>
  </si>
  <si>
    <t>Will Cuylle</t>
  </si>
  <si>
    <t>Dominic James</t>
  </si>
  <si>
    <t>Matthew Schaefer</t>
  </si>
  <si>
    <t>Lawson Crouse</t>
  </si>
  <si>
    <t>Clayton Keller</t>
  </si>
  <si>
    <t>Sean Couturier</t>
  </si>
  <si>
    <t>Nick Schmaltz</t>
  </si>
  <si>
    <t>JJ Peterka</t>
  </si>
  <si>
    <t>Mathew Barzal</t>
  </si>
  <si>
    <t>Ian Cole</t>
  </si>
  <si>
    <t>Jonathan Quick</t>
  </si>
  <si>
    <t>Jeffrey Viel</t>
  </si>
  <si>
    <t>Noah Cates</t>
  </si>
  <si>
    <t>Will Borgen</t>
  </si>
  <si>
    <t>Anders Lee</t>
  </si>
  <si>
    <t>Jack McBain</t>
  </si>
  <si>
    <t>Dylan Guenther</t>
  </si>
  <si>
    <t>Adam Pelech</t>
  </si>
  <si>
    <t>Alex Steeves</t>
  </si>
  <si>
    <t>Olen Zellweger</t>
  </si>
  <si>
    <t>Nick Seeler</t>
  </si>
  <si>
    <t>Scott Morrow</t>
  </si>
  <si>
    <t>Tanner Jeannot</t>
  </si>
  <si>
    <t>Nick Paul</t>
  </si>
  <si>
    <t>Jacob Trouba</t>
  </si>
  <si>
    <t>Ty Emberson</t>
  </si>
  <si>
    <t>Ryan Strome</t>
  </si>
  <si>
    <t>Sean Kuraly</t>
  </si>
  <si>
    <t>Nate Schmidt</t>
  </si>
  <si>
    <t>Yanni Gourde</t>
  </si>
  <si>
    <t>Mark Kastelic</t>
  </si>
  <si>
    <t>Noah Laba</t>
  </si>
  <si>
    <t>Rasmus Ristolainen</t>
  </si>
  <si>
    <t>Jean-Gabriel Pageau</t>
  </si>
  <si>
    <t>Lukas Dostal</t>
  </si>
  <si>
    <t>Jonathan Aspirot</t>
  </si>
  <si>
    <t>Ville Husso</t>
  </si>
  <si>
    <t>Matthew Robertson</t>
  </si>
  <si>
    <t>Andrew Mangiapane</t>
  </si>
  <si>
    <t>Calum Ritchie</t>
  </si>
  <si>
    <t>Kailer Yamamoto</t>
  </si>
  <si>
    <t>Zemgus Girgensons</t>
  </si>
  <si>
    <t>John Marino</t>
  </si>
  <si>
    <t>Sean Durzi</t>
  </si>
  <si>
    <t>Gage Goncalves</t>
  </si>
  <si>
    <t>Scott Mayfield</t>
  </si>
  <si>
    <t>Drew Helleson</t>
  </si>
  <si>
    <t>Pontus Holmberg</t>
  </si>
  <si>
    <t>Jansen Harkins</t>
  </si>
  <si>
    <t>Daniil But</t>
  </si>
  <si>
    <t>Jeremy Swayman</t>
  </si>
  <si>
    <t>Isaac Howard</t>
  </si>
  <si>
    <t>Tim Washe</t>
  </si>
  <si>
    <t>Zach Werenski</t>
  </si>
  <si>
    <t>Declan Carlile</t>
  </si>
  <si>
    <t>Erik Cernak</t>
  </si>
  <si>
    <t>Michael Eyssimont</t>
  </si>
  <si>
    <t>Jonny Brodzinski</t>
  </si>
  <si>
    <t>Emil Andrae</t>
  </si>
  <si>
    <t>Vyacheslav Buteyets</t>
  </si>
  <si>
    <t>Adam Henrique</t>
  </si>
  <si>
    <t>Corey Perry</t>
  </si>
  <si>
    <t>Carson Soucy</t>
  </si>
  <si>
    <t>Kevin Fiala</t>
  </si>
  <si>
    <t>Mason McTavish</t>
  </si>
  <si>
    <t>Mason Marchment</t>
  </si>
  <si>
    <t>Ivan Provorov</t>
  </si>
  <si>
    <t>Maxim Tsyplakov</t>
  </si>
  <si>
    <t>Adam Fantilli</t>
  </si>
  <si>
    <t>Kirill Marchenko</t>
  </si>
  <si>
    <t>Adrian Kempe</t>
  </si>
  <si>
    <t>Kent Johnson</t>
  </si>
  <si>
    <t>Andrei Kuzmenko</t>
  </si>
  <si>
    <t>Brandt Clarke</t>
  </si>
  <si>
    <t>Simon Lundmark</t>
  </si>
  <si>
    <t>Brennan Othmann</t>
  </si>
  <si>
    <t>Riley Stillman</t>
  </si>
  <si>
    <t>Trent Frederic</t>
  </si>
  <si>
    <t>Simon Holmstrom</t>
  </si>
  <si>
    <t>Spencer Stastney</t>
  </si>
  <si>
    <t>Max Crozier</t>
  </si>
  <si>
    <t>Logan Cooley</t>
  </si>
  <si>
    <t>Jonas Johansson</t>
  </si>
  <si>
    <t>Carl Grundstrom</t>
  </si>
  <si>
    <t>Kevin Stenlund</t>
  </si>
  <si>
    <t>Team</t>
  </si>
  <si>
    <t>Position</t>
  </si>
  <si>
    <t>GP</t>
  </si>
  <si>
    <t>TOI</t>
  </si>
  <si>
    <t>Goals</t>
  </si>
  <si>
    <t>Total Assists</t>
  </si>
  <si>
    <t>First Assists</t>
  </si>
  <si>
    <t>Second Assists</t>
  </si>
  <si>
    <t>Total Points</t>
  </si>
  <si>
    <t>IPP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</si>
  <si>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</si>
  <si>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</si>
  <si>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</si>
  <si>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</si>
  <si>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</si>
  <si>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</si>
  <si>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</si>
  <si>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</si>
  <si>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</si>
  <si>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PIM</t>
  </si>
  <si>
    <t>Total Penalties</t>
  </si>
  <si>
    <t>Minor</t>
  </si>
  <si>
    <t>Major</t>
  </si>
  <si>
    <t>Misconduct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</si>
  <si>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</si>
  <si>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</si>
  <si>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</si>
  <si>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</si>
  <si>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</si>
  <si>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</si>
  <si>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</si>
  <si>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</si>
  <si>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</si>
  <si>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BOS</t>
  </si>
  <si>
    <t>R</t>
  </si>
  <si>
    <t>-</t>
  </si>
  <si>
    <t>EDM</t>
  </si>
  <si>
    <t>ANA</t>
  </si>
  <si>
    <t>L</t>
  </si>
  <si>
    <t>NYI</t>
  </si>
  <si>
    <t>NYR</t>
  </si>
  <si>
    <t>Urho Vaakanainen</t>
  </si>
  <si>
    <t>Alexis Lafrenière</t>
  </si>
  <si>
    <t>Isaiah George</t>
  </si>
  <si>
    <t>UTA</t>
  </si>
  <si>
    <t>Casey Cizikas</t>
  </si>
  <si>
    <t>Sam Carrick</t>
  </si>
  <si>
    <t>PHI</t>
  </si>
  <si>
    <t>T.B</t>
  </si>
  <si>
    <t>Mattias Janmark</t>
  </si>
  <si>
    <t>Curtis Lazar</t>
  </si>
  <si>
    <t>Ross Johnston</t>
  </si>
  <si>
    <t>Lane Pederson</t>
  </si>
  <si>
    <t>Brandon Tanev</t>
  </si>
  <si>
    <t>Taylor Raddysh</t>
  </si>
  <si>
    <t>Henri Jokiharju</t>
  </si>
  <si>
    <t>Nick DeSimone</t>
  </si>
  <si>
    <t>Adam Boqvist</t>
  </si>
  <si>
    <t>Kyle MacLean</t>
  </si>
  <si>
    <t>Jack Finley</t>
  </si>
  <si>
    <t>Maxim Groshev</t>
  </si>
  <si>
    <t>Ian Moore</t>
  </si>
  <si>
    <t>Matt Rempe</t>
  </si>
  <si>
    <t>Marc Gatcomb</t>
  </si>
  <si>
    <t>Nikita Grebenkin</t>
  </si>
  <si>
    <t>Josh Samanski</t>
  </si>
  <si>
    <t>name</t>
  </si>
  <si>
    <t>team</t>
  </si>
  <si>
    <t>position</t>
  </si>
  <si>
    <t>salary</t>
  </si>
  <si>
    <t>projected_fpts</t>
  </si>
  <si>
    <t>dk_avg_fpts</t>
  </si>
  <si>
    <t>edge</t>
  </si>
  <si>
    <t>value</t>
  </si>
  <si>
    <t>floor</t>
  </si>
  <si>
    <t>ceiling</t>
  </si>
  <si>
    <t>player_type</t>
  </si>
  <si>
    <t>skater</t>
  </si>
  <si>
    <t>TBL</t>
  </si>
  <si>
    <t>Marshall Warren</t>
  </si>
  <si>
    <t>Max Jones</t>
  </si>
  <si>
    <t>David Tomasek</t>
  </si>
  <si>
    <t>Nikita Nesterenko</t>
  </si>
  <si>
    <t>Noah Juulsen</t>
  </si>
  <si>
    <t>Victor Soderstrom</t>
  </si>
  <si>
    <t>Travis Mitchell</t>
  </si>
  <si>
    <t>Scott Sabourin</t>
  </si>
  <si>
    <t>Juuso Parssinen</t>
  </si>
  <si>
    <t>Maveric Lamoureux</t>
  </si>
  <si>
    <t>Alec Regula</t>
  </si>
  <si>
    <t>Dmitri Simashev</t>
  </si>
  <si>
    <t>Connor Clattenburg</t>
  </si>
  <si>
    <t>Sam Colangelo</t>
  </si>
  <si>
    <t>Conor Geekie</t>
  </si>
  <si>
    <t>Michael Callahan</t>
  </si>
  <si>
    <t>Adam Ginning</t>
  </si>
  <si>
    <t>Mitchell Chaffee</t>
  </si>
  <si>
    <t>Liam O'Brien</t>
  </si>
  <si>
    <t>Brett Berard</t>
  </si>
  <si>
    <t>Curtis Douglas</t>
  </si>
  <si>
    <t>Garnet Hathaway</t>
  </si>
  <si>
    <t>Jaroslav Chmelar</t>
  </si>
  <si>
    <t>Nicolas Deslauriers</t>
  </si>
  <si>
    <t>goalie</t>
  </si>
  <si>
    <t>Connor Ingram</t>
  </si>
  <si>
    <t>David Rittich</t>
  </si>
  <si>
    <t>Calvin Pickard</t>
  </si>
  <si>
    <t>Spencer Martin</t>
  </si>
  <si>
    <t>Vitek Vanecek</t>
  </si>
  <si>
    <t>actual</t>
  </si>
  <si>
    <t>ownership</t>
  </si>
  <si>
    <t>Inj</t>
  </si>
  <si>
    <t>Likes</t>
  </si>
  <si>
    <t>Pos</t>
  </si>
  <si>
    <t>Salary</t>
  </si>
  <si>
    <t>Opp</t>
  </si>
  <si>
    <t>Time</t>
  </si>
  <si>
    <t>Fav.</t>
  </si>
  <si>
    <t>Win %</t>
  </si>
  <si>
    <t>Spread</t>
  </si>
  <si>
    <t>Total</t>
  </si>
  <si>
    <t>TeamGoal</t>
  </si>
  <si>
    <t>OppGoal</t>
  </si>
  <si>
    <t>Start/Line</t>
  </si>
  <si>
    <t>PP Unit</t>
  </si>
  <si>
    <t>avg TOI</t>
  </si>
  <si>
    <t>Avg</t>
  </si>
  <si>
    <t>STDV</t>
  </si>
  <si>
    <t>Ceiling</t>
  </si>
  <si>
    <t>FC Proj</t>
  </si>
  <si>
    <t>My Proj</t>
  </si>
  <si>
    <t>Exp.</t>
  </si>
  <si>
    <t>Used</t>
  </si>
  <si>
    <t>Con.</t>
  </si>
  <si>
    <t>Value</t>
  </si>
  <si>
    <t>Own%</t>
  </si>
  <si>
    <t>Score</t>
  </si>
  <si>
    <t>Val</t>
  </si>
  <si>
    <t>vs ANA</t>
  </si>
  <si>
    <t>Y</t>
  </si>
  <si>
    <t>TB</t>
  </si>
  <si>
    <t>vs UTA</t>
  </si>
  <si>
    <t>@ NYR</t>
  </si>
  <si>
    <t>CBJ</t>
  </si>
  <si>
    <t>vs LA</t>
  </si>
  <si>
    <t>vs BOS</t>
  </si>
  <si>
    <t>N</t>
  </si>
  <si>
    <t>@ PHI</t>
  </si>
  <si>
    <t>@ TB</t>
  </si>
  <si>
    <t>confirm</t>
  </si>
  <si>
    <t>@ EDM</t>
  </si>
  <si>
    <t>Darcy Kuemper</t>
  </si>
  <si>
    <t>LA</t>
  </si>
  <si>
    <t>@ CBJ</t>
  </si>
  <si>
    <t>prob</t>
  </si>
  <si>
    <t>vs NYI</t>
  </si>
  <si>
    <t>Anson Thornton</t>
  </si>
  <si>
    <t>Boone Jenner</t>
  </si>
  <si>
    <t>Elvis Merzlikins</t>
  </si>
  <si>
    <t>Alex Laferriere</t>
  </si>
  <si>
    <t>Charlie Coyle</t>
  </si>
  <si>
    <t>Denton Mateychuk</t>
  </si>
  <si>
    <t>Quinton Byfield</t>
  </si>
  <si>
    <t>Anthony Deangelo</t>
  </si>
  <si>
    <t>Sean Monahan</t>
  </si>
  <si>
    <t>Damon Severson</t>
  </si>
  <si>
    <t>Dmitri Voronkov</t>
  </si>
  <si>
    <t>Trevor Moore</t>
  </si>
  <si>
    <t>Drew Doughty</t>
  </si>
  <si>
    <t>Cole Sillinger</t>
  </si>
  <si>
    <t>Joel Armia</t>
  </si>
  <si>
    <t>Nikita Zadorov</t>
  </si>
  <si>
    <t>Alex Turcotte</t>
  </si>
  <si>
    <t>Erik Gudbranson</t>
  </si>
  <si>
    <t>Mikey Anderson</t>
  </si>
  <si>
    <t>Mathieu Olivier</t>
  </si>
  <si>
    <t>Brian Dumoulin</t>
  </si>
  <si>
    <t>Joel Edmundson</t>
  </si>
  <si>
    <t>Taylor Ward</t>
  </si>
  <si>
    <t>Jeff Malott</t>
  </si>
  <si>
    <t>Egor Zamula</t>
  </si>
  <si>
    <t>Cody Ceci</t>
  </si>
  <si>
    <t>Danton Heinen</t>
  </si>
  <si>
    <t>Isac Lundestrom</t>
  </si>
  <si>
    <t>Samuel Helenius</t>
  </si>
  <si>
    <t>unlikely</t>
  </si>
  <si>
    <t>Alexei Kolosov</t>
  </si>
  <si>
    <t>Anton Forsberg</t>
  </si>
  <si>
    <t>Dan Vladar</t>
  </si>
  <si>
    <t>Jet Greaves</t>
  </si>
  <si>
    <t>Igor Shesterkin</t>
  </si>
  <si>
    <t>Semyon Varlamov</t>
  </si>
  <si>
    <t>Petr Mrazek</t>
  </si>
  <si>
    <t>Marcus Hogberg</t>
  </si>
  <si>
    <t>Pheonix Copley</t>
  </si>
  <si>
    <t>Adam Fox</t>
  </si>
  <si>
    <t>Brayden Point</t>
  </si>
  <si>
    <t>Leo Carlsson</t>
  </si>
  <si>
    <t>Troy Terry</t>
  </si>
  <si>
    <t>Victor Hedman</t>
  </si>
  <si>
    <t>Anze Kopitar</t>
  </si>
  <si>
    <t>Ryan Pulock</t>
  </si>
  <si>
    <t>Tyson Foerster</t>
  </si>
  <si>
    <t>Ryan McDonagh</t>
  </si>
  <si>
    <t>Warren Foegele</t>
  </si>
  <si>
    <t>Frank Vatrano</t>
  </si>
  <si>
    <t>Charle-Edouard D'Astous</t>
  </si>
  <si>
    <t>Dante Fabbro</t>
  </si>
  <si>
    <t>Terrell Goldsmith</t>
  </si>
  <si>
    <t>Olli Maatta</t>
  </si>
  <si>
    <t>Steve Santini</t>
  </si>
  <si>
    <t>Emil Lilleberg</t>
  </si>
  <si>
    <t>Alexander Kerfoot</t>
  </si>
  <si>
    <t>Boris Katchouk</t>
  </si>
  <si>
    <t>Jakob Pelletier</t>
  </si>
  <si>
    <t>Andrew Agozzino</t>
  </si>
  <si>
    <t>Cam Hebig</t>
  </si>
  <si>
    <t>Jordan Harris</t>
  </si>
  <si>
    <t>Conor Sheary</t>
  </si>
  <si>
    <t>Anton Blidh</t>
  </si>
  <si>
    <t>Riley Tufte</t>
  </si>
  <si>
    <t>Matej Blumel</t>
  </si>
  <si>
    <t>Justin Dowling</t>
  </si>
  <si>
    <t>Adam Edstrom</t>
  </si>
  <si>
    <t>Cole McWard</t>
  </si>
  <si>
    <t>Alexander Romanov</t>
  </si>
  <si>
    <t>Ty Murchison</t>
  </si>
  <si>
    <t>Hunter McDonald</t>
  </si>
  <si>
    <t>Kyle Palmieri</t>
  </si>
  <si>
    <t>Pierre Engvall</t>
  </si>
  <si>
    <t>Jacob Gaucher</t>
  </si>
  <si>
    <t>Jett Luchanko</t>
  </si>
  <si>
    <t>Rodrigo Abols</t>
  </si>
  <si>
    <t>Kyle Burroughs</t>
  </si>
  <si>
    <t>Jacob Moverare</t>
  </si>
  <si>
    <t>Dysin Mayo</t>
  </si>
  <si>
    <t>Brendan Smith</t>
  </si>
  <si>
    <t>Jake Christiansen</t>
  </si>
  <si>
    <t>Andre Lee</t>
  </si>
  <si>
    <t>Luca Del Bel Belluz</t>
  </si>
  <si>
    <t>Mikael Pyyhtia</t>
  </si>
  <si>
    <t>Zachary Aston-Reese</t>
  </si>
  <si>
    <t>Miles Wood</t>
  </si>
  <si>
    <t>Luca Pinelli</t>
  </si>
  <si>
    <t>Brendan Gaunce</t>
  </si>
  <si>
    <t>Damien Carfagna</t>
  </si>
  <si>
    <t>Quinn Hutson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</si>
</sst>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8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1ECE-FE34-E046-AEEA-3D7EC12F85FE}">
  <dimension ref="A1:D159"/>
  <sheetViews>
    <sheetView workbookViewId="0">
      <selection activeCell="B1" sqref="A1:D1048576"/>
    </sheetView>
  </sheetViews>
  <sheetFormatPr baseColWidth="10" defaultRowHeight="16" x14ac:dyDescent="0.2"/>
  <cols>
    <col min="1" max="1" width="18.6640625" bestFit="1" customWidth="1"/>
    <col min="2" max="2" width="13.33203125" bestFit="1" customWidth="1"/>
    <col min="3" max="3" width="8.83203125" bestFit="1" customWidth="1"/>
    <col min="4" max="4" width="5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0.45860000000000001</v>
      </c>
      <c r="D2">
        <v>18</v>
      </c>
    </row>
    <row r="3" spans="1:4" x14ac:dyDescent="0.2">
      <c r="A3" t="s">
        <v>6</v>
      </c>
      <c r="B3" t="s">
        <v>7</v>
      </c>
      <c r="C3" s="1">
        <v>0.37590000000000001</v>
      </c>
      <c r="D3">
        <v>24.7</v>
      </c>
    </row>
    <row r="4" spans="1:4" x14ac:dyDescent="0.2">
      <c r="A4" t="s">
        <v>8</v>
      </c>
      <c r="B4" t="s">
        <v>9</v>
      </c>
      <c r="C4" s="1">
        <v>0.31140000000000001</v>
      </c>
      <c r="D4">
        <v>0</v>
      </c>
    </row>
    <row r="5" spans="1:4" x14ac:dyDescent="0.2">
      <c r="A5" t="s">
        <v>10</v>
      </c>
      <c r="B5" t="s">
        <v>5</v>
      </c>
      <c r="C5" s="1">
        <v>0.27629999999999999</v>
      </c>
      <c r="D5">
        <v>24.5</v>
      </c>
    </row>
    <row r="6" spans="1:4" x14ac:dyDescent="0.2">
      <c r="A6" t="s">
        <v>11</v>
      </c>
      <c r="B6" t="s">
        <v>12</v>
      </c>
      <c r="C6" s="1">
        <v>0.26929999999999998</v>
      </c>
      <c r="D6">
        <v>9.1</v>
      </c>
    </row>
    <row r="7" spans="1:4" x14ac:dyDescent="0.2">
      <c r="A7" t="s">
        <v>13</v>
      </c>
      <c r="B7" t="s">
        <v>5</v>
      </c>
      <c r="C7" s="1">
        <v>0.26369999999999999</v>
      </c>
      <c r="D7">
        <v>3</v>
      </c>
    </row>
    <row r="8" spans="1:4" x14ac:dyDescent="0.2">
      <c r="A8" t="s">
        <v>14</v>
      </c>
      <c r="B8" t="s">
        <v>9</v>
      </c>
      <c r="C8" s="1">
        <v>0.25530000000000003</v>
      </c>
      <c r="D8">
        <v>20.6</v>
      </c>
    </row>
    <row r="9" spans="1:4" x14ac:dyDescent="0.2">
      <c r="A9" t="s">
        <v>15</v>
      </c>
      <c r="B9" t="s">
        <v>9</v>
      </c>
      <c r="C9" s="1">
        <v>0.23280000000000001</v>
      </c>
      <c r="D9">
        <v>15.8</v>
      </c>
    </row>
    <row r="10" spans="1:4" x14ac:dyDescent="0.2">
      <c r="A10" t="s">
        <v>16</v>
      </c>
      <c r="B10" t="s">
        <v>12</v>
      </c>
      <c r="C10" s="1">
        <v>0.20200000000000001</v>
      </c>
      <c r="D10">
        <v>8</v>
      </c>
    </row>
    <row r="11" spans="1:4" x14ac:dyDescent="0.2">
      <c r="A11" t="s">
        <v>17</v>
      </c>
      <c r="B11" t="s">
        <v>5</v>
      </c>
      <c r="C11" s="1">
        <v>0.19639999999999999</v>
      </c>
      <c r="D11">
        <v>25.6</v>
      </c>
    </row>
    <row r="12" spans="1:4" x14ac:dyDescent="0.2">
      <c r="A12" t="s">
        <v>18</v>
      </c>
      <c r="B12" t="s">
        <v>12</v>
      </c>
      <c r="C12" s="1">
        <v>0.18090000000000001</v>
      </c>
      <c r="D12">
        <v>40.1</v>
      </c>
    </row>
    <row r="13" spans="1:4" x14ac:dyDescent="0.2">
      <c r="A13" t="s">
        <v>19</v>
      </c>
      <c r="B13" t="s">
        <v>9</v>
      </c>
      <c r="C13" s="1">
        <v>0.17949999999999999</v>
      </c>
      <c r="D13">
        <v>22.3</v>
      </c>
    </row>
    <row r="14" spans="1:4" x14ac:dyDescent="0.2">
      <c r="A14" t="s">
        <v>20</v>
      </c>
      <c r="B14" t="s">
        <v>7</v>
      </c>
      <c r="C14" s="1">
        <v>0.16689999999999999</v>
      </c>
      <c r="D14">
        <v>4.8</v>
      </c>
    </row>
    <row r="15" spans="1:4" x14ac:dyDescent="0.2">
      <c r="A15" t="s">
        <v>21</v>
      </c>
      <c r="B15" t="s">
        <v>7</v>
      </c>
      <c r="C15" s="1">
        <v>0.16270000000000001</v>
      </c>
      <c r="D15">
        <v>29.6</v>
      </c>
    </row>
    <row r="16" spans="1:4" x14ac:dyDescent="0.2">
      <c r="A16" t="s">
        <v>22</v>
      </c>
      <c r="B16" t="s">
        <v>9</v>
      </c>
      <c r="C16" s="1">
        <v>0.15570000000000001</v>
      </c>
      <c r="D16">
        <v>1.5</v>
      </c>
    </row>
    <row r="17" spans="1:4" x14ac:dyDescent="0.2">
      <c r="A17" t="s">
        <v>23</v>
      </c>
      <c r="B17" t="s">
        <v>9</v>
      </c>
      <c r="C17" s="1">
        <v>0.15570000000000001</v>
      </c>
      <c r="D17">
        <v>6.5</v>
      </c>
    </row>
    <row r="18" spans="1:4" x14ac:dyDescent="0.2">
      <c r="A18" t="s">
        <v>24</v>
      </c>
      <c r="B18" t="s">
        <v>5</v>
      </c>
      <c r="C18" s="1">
        <v>0.15290000000000001</v>
      </c>
      <c r="D18">
        <v>10</v>
      </c>
    </row>
    <row r="19" spans="1:4" x14ac:dyDescent="0.2">
      <c r="A19" t="s">
        <v>25</v>
      </c>
      <c r="B19" t="s">
        <v>12</v>
      </c>
      <c r="C19" s="1">
        <v>0.15010000000000001</v>
      </c>
      <c r="D19">
        <v>9.9</v>
      </c>
    </row>
    <row r="20" spans="1:4" x14ac:dyDescent="0.2">
      <c r="A20" t="s">
        <v>26</v>
      </c>
      <c r="B20" t="s">
        <v>7</v>
      </c>
      <c r="C20" s="1">
        <v>0.1459</v>
      </c>
      <c r="D20">
        <v>20.2</v>
      </c>
    </row>
    <row r="21" spans="1:4" x14ac:dyDescent="0.2">
      <c r="A21" t="s">
        <v>27</v>
      </c>
      <c r="B21" t="s">
        <v>5</v>
      </c>
      <c r="C21" s="1">
        <v>0.1431</v>
      </c>
      <c r="D21">
        <v>43.3</v>
      </c>
    </row>
    <row r="22" spans="1:4" x14ac:dyDescent="0.2">
      <c r="A22" t="s">
        <v>28</v>
      </c>
      <c r="B22" t="s">
        <v>9</v>
      </c>
      <c r="C22" s="1">
        <v>0.13320000000000001</v>
      </c>
      <c r="D22">
        <v>27.4</v>
      </c>
    </row>
    <row r="23" spans="1:4" x14ac:dyDescent="0.2">
      <c r="A23" t="s">
        <v>29</v>
      </c>
      <c r="B23" t="s">
        <v>12</v>
      </c>
      <c r="C23" s="1">
        <v>0.1318</v>
      </c>
      <c r="D23">
        <v>19</v>
      </c>
    </row>
    <row r="24" spans="1:4" x14ac:dyDescent="0.2">
      <c r="A24" t="s">
        <v>30</v>
      </c>
      <c r="B24" t="s">
        <v>9</v>
      </c>
      <c r="C24" s="1">
        <v>0.13039999999999999</v>
      </c>
      <c r="D24">
        <v>23.5</v>
      </c>
    </row>
    <row r="25" spans="1:4" x14ac:dyDescent="0.2">
      <c r="A25" t="s">
        <v>31</v>
      </c>
      <c r="B25" t="s">
        <v>9</v>
      </c>
      <c r="C25" s="1">
        <v>0.1234</v>
      </c>
      <c r="D25">
        <v>4.5</v>
      </c>
    </row>
    <row r="26" spans="1:4" x14ac:dyDescent="0.2">
      <c r="A26" t="s">
        <v>32</v>
      </c>
      <c r="B26" t="s">
        <v>12</v>
      </c>
      <c r="C26" s="1">
        <v>0.1206</v>
      </c>
      <c r="D26">
        <v>14.3</v>
      </c>
    </row>
    <row r="27" spans="1:4" x14ac:dyDescent="0.2">
      <c r="A27" t="s">
        <v>33</v>
      </c>
      <c r="B27" t="s">
        <v>5</v>
      </c>
      <c r="C27" s="1">
        <v>0.11360000000000001</v>
      </c>
      <c r="D27">
        <v>9.5</v>
      </c>
    </row>
    <row r="28" spans="1:4" x14ac:dyDescent="0.2">
      <c r="A28" t="s">
        <v>34</v>
      </c>
      <c r="B28" t="s">
        <v>9</v>
      </c>
      <c r="C28" s="1">
        <v>0.11219999999999999</v>
      </c>
      <c r="D28">
        <v>11.3</v>
      </c>
    </row>
    <row r="29" spans="1:4" x14ac:dyDescent="0.2">
      <c r="A29" t="s">
        <v>35</v>
      </c>
      <c r="B29" t="s">
        <v>9</v>
      </c>
      <c r="C29" s="1">
        <v>0.1094</v>
      </c>
      <c r="D29">
        <v>7.3</v>
      </c>
    </row>
    <row r="30" spans="1:4" x14ac:dyDescent="0.2">
      <c r="A30" t="s">
        <v>36</v>
      </c>
      <c r="B30" t="s">
        <v>12</v>
      </c>
      <c r="C30" s="1">
        <v>9.9599999999999994E-2</v>
      </c>
      <c r="D30">
        <v>3</v>
      </c>
    </row>
    <row r="31" spans="1:4" x14ac:dyDescent="0.2">
      <c r="A31" t="s">
        <v>37</v>
      </c>
      <c r="B31" t="s">
        <v>9</v>
      </c>
      <c r="C31" s="1">
        <v>9.4E-2</v>
      </c>
      <c r="D31">
        <v>6</v>
      </c>
    </row>
    <row r="32" spans="1:4" x14ac:dyDescent="0.2">
      <c r="A32" t="s">
        <v>38</v>
      </c>
      <c r="B32" t="s">
        <v>39</v>
      </c>
      <c r="C32" s="1">
        <v>9.4E-2</v>
      </c>
      <c r="D32">
        <v>6.5</v>
      </c>
    </row>
    <row r="33" spans="1:4" x14ac:dyDescent="0.2">
      <c r="A33" t="s">
        <v>40</v>
      </c>
      <c r="B33" t="s">
        <v>5</v>
      </c>
      <c r="C33" s="1">
        <v>9.2600000000000002E-2</v>
      </c>
      <c r="D33">
        <v>0</v>
      </c>
    </row>
    <row r="34" spans="1:4" x14ac:dyDescent="0.2">
      <c r="A34" t="s">
        <v>41</v>
      </c>
      <c r="B34" t="s">
        <v>5</v>
      </c>
      <c r="C34" s="1">
        <v>9.2600000000000002E-2</v>
      </c>
      <c r="D34">
        <v>15.5</v>
      </c>
    </row>
    <row r="35" spans="1:4" x14ac:dyDescent="0.2">
      <c r="A35" t="s">
        <v>42</v>
      </c>
      <c r="B35" t="s">
        <v>9</v>
      </c>
      <c r="C35" s="1">
        <v>8.2699999999999996E-2</v>
      </c>
      <c r="D35">
        <v>8</v>
      </c>
    </row>
    <row r="36" spans="1:4" x14ac:dyDescent="0.2">
      <c r="A36" t="s">
        <v>43</v>
      </c>
      <c r="B36" t="s">
        <v>9</v>
      </c>
      <c r="C36" s="1">
        <v>7.85E-2</v>
      </c>
      <c r="D36">
        <v>11</v>
      </c>
    </row>
    <row r="37" spans="1:4" x14ac:dyDescent="0.2">
      <c r="A37" t="s">
        <v>44</v>
      </c>
      <c r="B37" t="s">
        <v>12</v>
      </c>
      <c r="C37" s="1">
        <v>7.5700000000000003E-2</v>
      </c>
      <c r="D37">
        <v>9.1</v>
      </c>
    </row>
    <row r="38" spans="1:4" x14ac:dyDescent="0.2">
      <c r="A38" t="s">
        <v>45</v>
      </c>
      <c r="B38" t="s">
        <v>12</v>
      </c>
      <c r="C38" s="1">
        <v>7.0099999999999996E-2</v>
      </c>
      <c r="D38">
        <v>12.9</v>
      </c>
    </row>
    <row r="39" spans="1:4" x14ac:dyDescent="0.2">
      <c r="A39" t="s">
        <v>46</v>
      </c>
      <c r="B39" t="s">
        <v>12</v>
      </c>
      <c r="C39" s="1">
        <v>7.0099999999999996E-2</v>
      </c>
      <c r="D39">
        <v>2.6</v>
      </c>
    </row>
    <row r="40" spans="1:4" x14ac:dyDescent="0.2">
      <c r="A40" t="s">
        <v>47</v>
      </c>
      <c r="B40" t="s">
        <v>39</v>
      </c>
      <c r="C40" s="1">
        <v>6.8699999999999997E-2</v>
      </c>
      <c r="D40">
        <v>10.5</v>
      </c>
    </row>
    <row r="41" spans="1:4" x14ac:dyDescent="0.2">
      <c r="A41" t="s">
        <v>48</v>
      </c>
      <c r="B41" t="s">
        <v>9</v>
      </c>
      <c r="C41" s="1">
        <v>6.59E-2</v>
      </c>
      <c r="D41">
        <v>11.5</v>
      </c>
    </row>
    <row r="42" spans="1:4" x14ac:dyDescent="0.2">
      <c r="A42" t="s">
        <v>49</v>
      </c>
      <c r="B42" t="s">
        <v>9</v>
      </c>
      <c r="C42" s="1">
        <v>6.4500000000000002E-2</v>
      </c>
      <c r="D42">
        <v>1.5</v>
      </c>
    </row>
    <row r="43" spans="1:4" x14ac:dyDescent="0.2">
      <c r="A43" t="s">
        <v>50</v>
      </c>
      <c r="B43" t="s">
        <v>12</v>
      </c>
      <c r="C43" s="1">
        <v>6.4500000000000002E-2</v>
      </c>
      <c r="D43">
        <v>3</v>
      </c>
    </row>
    <row r="44" spans="1:4" x14ac:dyDescent="0.2">
      <c r="A44" t="s">
        <v>51</v>
      </c>
      <c r="B44" t="s">
        <v>9</v>
      </c>
      <c r="C44" s="1">
        <v>6.4500000000000002E-2</v>
      </c>
      <c r="D44">
        <v>15.5</v>
      </c>
    </row>
    <row r="45" spans="1:4" x14ac:dyDescent="0.2">
      <c r="A45" t="s">
        <v>52</v>
      </c>
      <c r="B45" t="s">
        <v>39</v>
      </c>
      <c r="C45" s="1">
        <v>6.3100000000000003E-2</v>
      </c>
      <c r="D45">
        <v>1.5</v>
      </c>
    </row>
    <row r="46" spans="1:4" x14ac:dyDescent="0.2">
      <c r="A46" t="s">
        <v>53</v>
      </c>
      <c r="B46" t="s">
        <v>9</v>
      </c>
      <c r="C46" s="1">
        <v>5.8900000000000001E-2</v>
      </c>
      <c r="D46">
        <v>9.5</v>
      </c>
    </row>
    <row r="47" spans="1:4" x14ac:dyDescent="0.2">
      <c r="A47" t="s">
        <v>54</v>
      </c>
      <c r="B47" t="s">
        <v>12</v>
      </c>
      <c r="C47" s="1">
        <v>5.7500000000000002E-2</v>
      </c>
      <c r="D47">
        <v>2.8</v>
      </c>
    </row>
    <row r="48" spans="1:4" x14ac:dyDescent="0.2">
      <c r="A48" t="s">
        <v>55</v>
      </c>
      <c r="B48" t="s">
        <v>5</v>
      </c>
      <c r="C48" s="1">
        <v>5.7500000000000002E-2</v>
      </c>
      <c r="D48">
        <v>2.8</v>
      </c>
    </row>
    <row r="49" spans="1:4" x14ac:dyDescent="0.2">
      <c r="A49" t="s">
        <v>56</v>
      </c>
      <c r="B49" t="s">
        <v>9</v>
      </c>
      <c r="C49" s="1">
        <v>5.7500000000000002E-2</v>
      </c>
      <c r="D49">
        <v>0</v>
      </c>
    </row>
    <row r="50" spans="1:4" x14ac:dyDescent="0.2">
      <c r="A50" t="s">
        <v>57</v>
      </c>
      <c r="B50" t="s">
        <v>39</v>
      </c>
      <c r="C50" s="1">
        <v>5.6099999999999997E-2</v>
      </c>
      <c r="D50">
        <v>3</v>
      </c>
    </row>
    <row r="51" spans="1:4" x14ac:dyDescent="0.2">
      <c r="A51" t="s">
        <v>58</v>
      </c>
      <c r="B51" t="s">
        <v>39</v>
      </c>
      <c r="C51" s="1">
        <v>5.6099999999999997E-2</v>
      </c>
      <c r="D51">
        <v>0</v>
      </c>
    </row>
    <row r="52" spans="1:4" x14ac:dyDescent="0.2">
      <c r="A52" t="s">
        <v>59</v>
      </c>
      <c r="B52" t="s">
        <v>7</v>
      </c>
      <c r="C52" s="1">
        <v>5.33E-2</v>
      </c>
      <c r="D52">
        <v>-0.7</v>
      </c>
    </row>
    <row r="53" spans="1:4" x14ac:dyDescent="0.2">
      <c r="A53" t="s">
        <v>60</v>
      </c>
      <c r="B53" t="s">
        <v>39</v>
      </c>
      <c r="C53" s="1">
        <v>5.1900000000000002E-2</v>
      </c>
      <c r="D53">
        <v>6</v>
      </c>
    </row>
    <row r="54" spans="1:4" x14ac:dyDescent="0.2">
      <c r="A54" t="s">
        <v>61</v>
      </c>
      <c r="B54" t="s">
        <v>9</v>
      </c>
      <c r="C54" s="1">
        <v>5.0500000000000003E-2</v>
      </c>
      <c r="D54">
        <v>1.5</v>
      </c>
    </row>
    <row r="55" spans="1:4" x14ac:dyDescent="0.2">
      <c r="A55" t="s">
        <v>62</v>
      </c>
      <c r="B55" t="s">
        <v>12</v>
      </c>
      <c r="C55" s="1">
        <v>5.0500000000000003E-2</v>
      </c>
      <c r="D55">
        <v>28.9</v>
      </c>
    </row>
    <row r="56" spans="1:4" x14ac:dyDescent="0.2">
      <c r="A56" t="s">
        <v>63</v>
      </c>
      <c r="B56" t="s">
        <v>9</v>
      </c>
      <c r="C56" s="1">
        <v>5.0500000000000003E-2</v>
      </c>
      <c r="D56">
        <v>1.5</v>
      </c>
    </row>
    <row r="57" spans="1:4" x14ac:dyDescent="0.2">
      <c r="A57" t="s">
        <v>64</v>
      </c>
      <c r="B57" t="s">
        <v>12</v>
      </c>
      <c r="C57" s="1">
        <v>5.0500000000000003E-2</v>
      </c>
      <c r="D57">
        <v>14.1</v>
      </c>
    </row>
    <row r="58" spans="1:4" x14ac:dyDescent="0.2">
      <c r="A58" t="s">
        <v>65</v>
      </c>
      <c r="B58" t="s">
        <v>9</v>
      </c>
      <c r="C58" s="1">
        <v>4.9099999999999998E-2</v>
      </c>
      <c r="D58">
        <v>6.3</v>
      </c>
    </row>
    <row r="59" spans="1:4" x14ac:dyDescent="0.2">
      <c r="A59" t="s">
        <v>66</v>
      </c>
      <c r="B59" t="s">
        <v>9</v>
      </c>
      <c r="C59" s="1">
        <v>4.6300000000000001E-2</v>
      </c>
      <c r="D59">
        <v>10</v>
      </c>
    </row>
    <row r="60" spans="1:4" x14ac:dyDescent="0.2">
      <c r="A60" t="s">
        <v>67</v>
      </c>
      <c r="B60" t="s">
        <v>39</v>
      </c>
      <c r="C60" s="1">
        <v>4.6300000000000001E-2</v>
      </c>
      <c r="D60">
        <v>2.6</v>
      </c>
    </row>
    <row r="61" spans="1:4" x14ac:dyDescent="0.2">
      <c r="A61" t="s">
        <v>68</v>
      </c>
      <c r="B61" t="s">
        <v>12</v>
      </c>
      <c r="C61" s="1">
        <v>4.6300000000000001E-2</v>
      </c>
      <c r="D61">
        <v>4.3</v>
      </c>
    </row>
    <row r="62" spans="1:4" x14ac:dyDescent="0.2">
      <c r="A62" t="s">
        <v>69</v>
      </c>
      <c r="B62" t="s">
        <v>12</v>
      </c>
      <c r="C62" s="1">
        <v>4.6300000000000001E-2</v>
      </c>
      <c r="D62">
        <v>1.3</v>
      </c>
    </row>
    <row r="63" spans="1:4" x14ac:dyDescent="0.2">
      <c r="A63" t="s">
        <v>70</v>
      </c>
      <c r="B63" t="s">
        <v>39</v>
      </c>
      <c r="C63" s="1">
        <v>4.3499999999999997E-2</v>
      </c>
      <c r="D63">
        <v>1.5</v>
      </c>
    </row>
    <row r="64" spans="1:4" x14ac:dyDescent="0.2">
      <c r="A64" t="s">
        <v>71</v>
      </c>
      <c r="B64" t="s">
        <v>9</v>
      </c>
      <c r="C64" s="1">
        <v>4.2099999999999999E-2</v>
      </c>
      <c r="D64">
        <v>8</v>
      </c>
    </row>
    <row r="65" spans="1:4" x14ac:dyDescent="0.2">
      <c r="A65" t="s">
        <v>72</v>
      </c>
      <c r="B65" t="s">
        <v>9</v>
      </c>
      <c r="C65" s="1">
        <v>4.2099999999999999E-2</v>
      </c>
      <c r="D65">
        <v>6</v>
      </c>
    </row>
    <row r="66" spans="1:4" x14ac:dyDescent="0.2">
      <c r="A66" t="s">
        <v>73</v>
      </c>
      <c r="B66" t="s">
        <v>12</v>
      </c>
      <c r="C66" s="1">
        <v>4.07E-2</v>
      </c>
      <c r="D66">
        <v>11.9</v>
      </c>
    </row>
    <row r="67" spans="1:4" x14ac:dyDescent="0.2">
      <c r="A67" t="s">
        <v>74</v>
      </c>
      <c r="B67" t="s">
        <v>39</v>
      </c>
      <c r="C67" s="1">
        <v>4.07E-2</v>
      </c>
      <c r="D67">
        <v>1.5</v>
      </c>
    </row>
    <row r="68" spans="1:4" x14ac:dyDescent="0.2">
      <c r="A68" t="s">
        <v>75</v>
      </c>
      <c r="B68" t="s">
        <v>5</v>
      </c>
      <c r="C68" s="1">
        <v>3.7900000000000003E-2</v>
      </c>
      <c r="D68">
        <v>9.1</v>
      </c>
    </row>
    <row r="69" spans="1:4" x14ac:dyDescent="0.2">
      <c r="A69" t="s">
        <v>76</v>
      </c>
      <c r="B69" t="s">
        <v>5</v>
      </c>
      <c r="C69" s="1">
        <v>3.6499999999999998E-2</v>
      </c>
      <c r="D69">
        <v>4.5</v>
      </c>
    </row>
    <row r="70" spans="1:4" x14ac:dyDescent="0.2">
      <c r="A70" t="s">
        <v>77</v>
      </c>
      <c r="B70" t="s">
        <v>39</v>
      </c>
      <c r="C70" s="1">
        <v>3.6499999999999998E-2</v>
      </c>
      <c r="D70">
        <v>1.3</v>
      </c>
    </row>
    <row r="71" spans="1:4" x14ac:dyDescent="0.2">
      <c r="A71" t="s">
        <v>78</v>
      </c>
      <c r="B71" t="s">
        <v>9</v>
      </c>
      <c r="C71" s="1">
        <v>3.3700000000000001E-2</v>
      </c>
      <c r="D71">
        <v>4.5</v>
      </c>
    </row>
    <row r="72" spans="1:4" x14ac:dyDescent="0.2">
      <c r="A72" t="s">
        <v>79</v>
      </c>
      <c r="B72" t="s">
        <v>12</v>
      </c>
      <c r="C72" s="1">
        <v>3.3700000000000001E-2</v>
      </c>
      <c r="D72">
        <v>4.0999999999999996</v>
      </c>
    </row>
    <row r="73" spans="1:4" x14ac:dyDescent="0.2">
      <c r="A73" t="s">
        <v>80</v>
      </c>
      <c r="B73" t="s">
        <v>12</v>
      </c>
      <c r="C73" s="1">
        <v>3.3700000000000001E-2</v>
      </c>
      <c r="D73">
        <v>11</v>
      </c>
    </row>
    <row r="74" spans="1:4" x14ac:dyDescent="0.2">
      <c r="A74" t="s">
        <v>81</v>
      </c>
      <c r="B74" t="s">
        <v>7</v>
      </c>
      <c r="C74" s="1">
        <v>3.2300000000000002E-2</v>
      </c>
      <c r="D74">
        <v>11.9</v>
      </c>
    </row>
    <row r="75" spans="1:4" x14ac:dyDescent="0.2">
      <c r="A75" t="s">
        <v>82</v>
      </c>
      <c r="B75" t="s">
        <v>9</v>
      </c>
      <c r="C75" s="1">
        <v>3.2300000000000002E-2</v>
      </c>
      <c r="D75">
        <v>13</v>
      </c>
    </row>
    <row r="76" spans="1:4" x14ac:dyDescent="0.2">
      <c r="A76" t="s">
        <v>83</v>
      </c>
      <c r="B76" t="s">
        <v>5</v>
      </c>
      <c r="C76" s="1">
        <v>3.09E-2</v>
      </c>
      <c r="D76">
        <v>6</v>
      </c>
    </row>
    <row r="77" spans="1:4" x14ac:dyDescent="0.2">
      <c r="A77" t="s">
        <v>84</v>
      </c>
      <c r="B77" t="s">
        <v>12</v>
      </c>
      <c r="C77" s="1">
        <v>3.09E-2</v>
      </c>
      <c r="D77">
        <v>2.8</v>
      </c>
    </row>
    <row r="78" spans="1:4" x14ac:dyDescent="0.2">
      <c r="A78" t="s">
        <v>85</v>
      </c>
      <c r="B78" t="s">
        <v>9</v>
      </c>
      <c r="C78" s="1">
        <v>2.9499999999999998E-2</v>
      </c>
      <c r="D78">
        <v>1.3</v>
      </c>
    </row>
    <row r="79" spans="1:4" x14ac:dyDescent="0.2">
      <c r="A79" t="s">
        <v>86</v>
      </c>
      <c r="B79" t="s">
        <v>9</v>
      </c>
      <c r="C79" s="1">
        <v>2.81E-2</v>
      </c>
      <c r="D79">
        <v>1.5</v>
      </c>
    </row>
    <row r="80" spans="1:4" x14ac:dyDescent="0.2">
      <c r="A80" t="s">
        <v>87</v>
      </c>
      <c r="B80" t="s">
        <v>39</v>
      </c>
      <c r="C80" s="1">
        <v>2.6599999999999999E-2</v>
      </c>
      <c r="D80">
        <v>0</v>
      </c>
    </row>
    <row r="81" spans="1:4" x14ac:dyDescent="0.2">
      <c r="A81" t="s">
        <v>88</v>
      </c>
      <c r="B81" t="s">
        <v>39</v>
      </c>
      <c r="C81" s="1">
        <v>2.6599999999999999E-2</v>
      </c>
      <c r="D81">
        <v>0</v>
      </c>
    </row>
    <row r="82" spans="1:4" x14ac:dyDescent="0.2">
      <c r="A82" t="s">
        <v>89</v>
      </c>
      <c r="B82" t="s">
        <v>9</v>
      </c>
      <c r="C82" s="1">
        <v>2.6599999999999999E-2</v>
      </c>
      <c r="D82">
        <v>4.3</v>
      </c>
    </row>
    <row r="83" spans="1:4" x14ac:dyDescent="0.2">
      <c r="A83" t="s">
        <v>90</v>
      </c>
      <c r="B83" t="s">
        <v>39</v>
      </c>
      <c r="C83" s="1">
        <v>2.52E-2</v>
      </c>
      <c r="D83">
        <v>16.3</v>
      </c>
    </row>
    <row r="84" spans="1:4" x14ac:dyDescent="0.2">
      <c r="A84" t="s">
        <v>91</v>
      </c>
      <c r="B84" t="s">
        <v>12</v>
      </c>
      <c r="C84" s="1">
        <v>2.3800000000000002E-2</v>
      </c>
      <c r="D84">
        <v>1.5</v>
      </c>
    </row>
    <row r="85" spans="1:4" x14ac:dyDescent="0.2">
      <c r="A85" t="s">
        <v>92</v>
      </c>
      <c r="B85" t="s">
        <v>7</v>
      </c>
      <c r="C85" s="1">
        <v>2.3800000000000002E-2</v>
      </c>
      <c r="D85">
        <v>15.2</v>
      </c>
    </row>
    <row r="86" spans="1:4" x14ac:dyDescent="0.2">
      <c r="A86" t="s">
        <v>93</v>
      </c>
      <c r="B86" t="s">
        <v>9</v>
      </c>
      <c r="C86" s="1">
        <v>2.3800000000000002E-2</v>
      </c>
      <c r="D86">
        <v>0</v>
      </c>
    </row>
    <row r="87" spans="1:4" x14ac:dyDescent="0.2">
      <c r="A87" t="s">
        <v>94</v>
      </c>
      <c r="B87" t="s">
        <v>5</v>
      </c>
      <c r="C87" s="1">
        <v>2.3800000000000002E-2</v>
      </c>
      <c r="D87">
        <v>4.5</v>
      </c>
    </row>
    <row r="88" spans="1:4" x14ac:dyDescent="0.2">
      <c r="A88" t="s">
        <v>95</v>
      </c>
      <c r="B88" t="s">
        <v>12</v>
      </c>
      <c r="C88" s="1">
        <v>2.24E-2</v>
      </c>
      <c r="D88">
        <v>13</v>
      </c>
    </row>
    <row r="89" spans="1:4" x14ac:dyDescent="0.2">
      <c r="A89" t="s">
        <v>96</v>
      </c>
      <c r="B89" t="s">
        <v>9</v>
      </c>
      <c r="C89" s="1">
        <v>2.24E-2</v>
      </c>
      <c r="D89">
        <v>9.5</v>
      </c>
    </row>
    <row r="90" spans="1:4" x14ac:dyDescent="0.2">
      <c r="A90" t="s">
        <v>97</v>
      </c>
      <c r="B90" t="s">
        <v>5</v>
      </c>
      <c r="C90" s="1">
        <v>2.24E-2</v>
      </c>
      <c r="D90">
        <v>4.5</v>
      </c>
    </row>
    <row r="91" spans="1:4" x14ac:dyDescent="0.2">
      <c r="A91" t="s">
        <v>98</v>
      </c>
      <c r="B91" t="s">
        <v>9</v>
      </c>
      <c r="C91" s="1">
        <v>2.24E-2</v>
      </c>
      <c r="D91">
        <v>11.8</v>
      </c>
    </row>
    <row r="92" spans="1:4" x14ac:dyDescent="0.2">
      <c r="A92" t="s">
        <v>99</v>
      </c>
      <c r="B92" t="s">
        <v>12</v>
      </c>
      <c r="C92" s="1">
        <v>1.9599999999999999E-2</v>
      </c>
      <c r="D92">
        <v>8.3000000000000007</v>
      </c>
    </row>
    <row r="93" spans="1:4" x14ac:dyDescent="0.2">
      <c r="A93" t="s">
        <v>100</v>
      </c>
      <c r="B93" t="s">
        <v>9</v>
      </c>
      <c r="C93" s="1">
        <v>1.9599999999999999E-2</v>
      </c>
      <c r="D93">
        <v>2.8</v>
      </c>
    </row>
    <row r="94" spans="1:4" x14ac:dyDescent="0.2">
      <c r="A94" t="s">
        <v>101</v>
      </c>
      <c r="B94" t="s">
        <v>39</v>
      </c>
      <c r="C94" s="1">
        <v>1.9599999999999999E-2</v>
      </c>
      <c r="D94">
        <v>4.5</v>
      </c>
    </row>
    <row r="95" spans="1:4" x14ac:dyDescent="0.2">
      <c r="A95" t="s">
        <v>102</v>
      </c>
      <c r="B95" t="s">
        <v>12</v>
      </c>
      <c r="C95" s="1">
        <v>1.8200000000000001E-2</v>
      </c>
      <c r="D95">
        <v>2.6</v>
      </c>
    </row>
    <row r="96" spans="1:4" x14ac:dyDescent="0.2">
      <c r="A96" t="s">
        <v>103</v>
      </c>
      <c r="B96" t="s">
        <v>12</v>
      </c>
      <c r="C96" s="1">
        <v>1.8200000000000001E-2</v>
      </c>
      <c r="D96">
        <v>1.5</v>
      </c>
    </row>
    <row r="97" spans="1:4" x14ac:dyDescent="0.2">
      <c r="A97" t="s">
        <v>104</v>
      </c>
      <c r="B97" t="s">
        <v>39</v>
      </c>
      <c r="C97" s="1">
        <v>1.8200000000000001E-2</v>
      </c>
      <c r="D97">
        <v>1.5</v>
      </c>
    </row>
    <row r="98" spans="1:4" x14ac:dyDescent="0.2">
      <c r="A98" t="s">
        <v>105</v>
      </c>
      <c r="B98" t="s">
        <v>5</v>
      </c>
      <c r="C98" s="1">
        <v>1.8200000000000001E-2</v>
      </c>
      <c r="D98">
        <v>2.8</v>
      </c>
    </row>
    <row r="99" spans="1:4" x14ac:dyDescent="0.2">
      <c r="A99" t="s">
        <v>106</v>
      </c>
      <c r="B99" t="s">
        <v>12</v>
      </c>
      <c r="C99" s="1">
        <v>1.8200000000000001E-2</v>
      </c>
      <c r="D99">
        <v>26.9</v>
      </c>
    </row>
    <row r="100" spans="1:4" x14ac:dyDescent="0.2">
      <c r="A100" t="s">
        <v>107</v>
      </c>
      <c r="B100" t="s">
        <v>39</v>
      </c>
      <c r="C100" s="1">
        <v>1.6799999999999999E-2</v>
      </c>
      <c r="D100">
        <v>9.1</v>
      </c>
    </row>
    <row r="101" spans="1:4" x14ac:dyDescent="0.2">
      <c r="A101" t="s">
        <v>108</v>
      </c>
      <c r="B101" t="s">
        <v>39</v>
      </c>
      <c r="C101" s="1">
        <v>1.6799999999999999E-2</v>
      </c>
      <c r="D101">
        <v>1.3</v>
      </c>
    </row>
    <row r="102" spans="1:4" x14ac:dyDescent="0.2">
      <c r="A102" t="s">
        <v>109</v>
      </c>
      <c r="B102" t="s">
        <v>5</v>
      </c>
      <c r="C102" s="1">
        <v>1.6799999999999999E-2</v>
      </c>
      <c r="D102">
        <v>1.3</v>
      </c>
    </row>
    <row r="103" spans="1:4" x14ac:dyDescent="0.2">
      <c r="A103" t="s">
        <v>110</v>
      </c>
      <c r="B103" t="s">
        <v>12</v>
      </c>
      <c r="C103" s="1">
        <v>1.54E-2</v>
      </c>
      <c r="D103">
        <v>2.6</v>
      </c>
    </row>
    <row r="104" spans="1:4" x14ac:dyDescent="0.2">
      <c r="A104" t="s">
        <v>111</v>
      </c>
      <c r="B104" t="s">
        <v>39</v>
      </c>
      <c r="C104" s="1">
        <v>1.54E-2</v>
      </c>
      <c r="D104">
        <v>1.5</v>
      </c>
    </row>
    <row r="105" spans="1:4" x14ac:dyDescent="0.2">
      <c r="A105" t="s">
        <v>112</v>
      </c>
      <c r="B105" t="s">
        <v>9</v>
      </c>
      <c r="C105" s="1">
        <v>1.4E-2</v>
      </c>
      <c r="D105">
        <v>0</v>
      </c>
    </row>
    <row r="106" spans="1:4" x14ac:dyDescent="0.2">
      <c r="A106" t="s">
        <v>113</v>
      </c>
      <c r="B106" t="s">
        <v>5</v>
      </c>
      <c r="C106" s="1">
        <v>1.26E-2</v>
      </c>
      <c r="D106">
        <v>7.8</v>
      </c>
    </row>
    <row r="107" spans="1:4" x14ac:dyDescent="0.2">
      <c r="A107" t="s">
        <v>114</v>
      </c>
      <c r="B107" t="s">
        <v>12</v>
      </c>
      <c r="C107" s="1">
        <v>1.26E-2</v>
      </c>
      <c r="D107">
        <v>1.3</v>
      </c>
    </row>
    <row r="108" spans="1:4" x14ac:dyDescent="0.2">
      <c r="A108" t="s">
        <v>115</v>
      </c>
      <c r="B108" t="s">
        <v>5</v>
      </c>
      <c r="C108" s="1">
        <v>1.26E-2</v>
      </c>
      <c r="D108">
        <v>23.3</v>
      </c>
    </row>
    <row r="109" spans="1:4" x14ac:dyDescent="0.2">
      <c r="A109" t="s">
        <v>116</v>
      </c>
      <c r="B109" t="s">
        <v>7</v>
      </c>
      <c r="C109" s="1">
        <v>1.12E-2</v>
      </c>
      <c r="D109">
        <v>0</v>
      </c>
    </row>
    <row r="110" spans="1:4" x14ac:dyDescent="0.2">
      <c r="A110" t="s">
        <v>117</v>
      </c>
      <c r="B110" t="s">
        <v>12</v>
      </c>
      <c r="C110" s="1">
        <v>1.12E-2</v>
      </c>
      <c r="D110">
        <v>0</v>
      </c>
    </row>
    <row r="111" spans="1:4" x14ac:dyDescent="0.2">
      <c r="A111" t="s">
        <v>118</v>
      </c>
      <c r="B111" t="s">
        <v>7</v>
      </c>
      <c r="C111" s="1">
        <v>1.12E-2</v>
      </c>
      <c r="D111">
        <v>0</v>
      </c>
    </row>
    <row r="112" spans="1:4" x14ac:dyDescent="0.2">
      <c r="A112" t="s">
        <v>119</v>
      </c>
      <c r="B112" t="s">
        <v>12</v>
      </c>
      <c r="C112" s="1">
        <v>1.12E-2</v>
      </c>
      <c r="D112">
        <v>12.8</v>
      </c>
    </row>
    <row r="113" spans="1:4" x14ac:dyDescent="0.2">
      <c r="A113" t="s">
        <v>120</v>
      </c>
      <c r="B113" t="s">
        <v>9</v>
      </c>
      <c r="C113" s="1">
        <v>9.7999999999999997E-3</v>
      </c>
      <c r="D113">
        <v>0</v>
      </c>
    </row>
    <row r="114" spans="1:4" x14ac:dyDescent="0.2">
      <c r="A114" t="s">
        <v>121</v>
      </c>
      <c r="B114" t="s">
        <v>9</v>
      </c>
      <c r="C114" s="1">
        <v>9.7999999999999997E-3</v>
      </c>
      <c r="D114">
        <v>0</v>
      </c>
    </row>
    <row r="115" spans="1:4" x14ac:dyDescent="0.2">
      <c r="A115" t="s">
        <v>122</v>
      </c>
      <c r="B115" t="s">
        <v>9</v>
      </c>
      <c r="C115" s="1">
        <v>9.7999999999999997E-3</v>
      </c>
      <c r="D115">
        <v>2.8</v>
      </c>
    </row>
    <row r="116" spans="1:4" x14ac:dyDescent="0.2">
      <c r="A116" t="s">
        <v>123</v>
      </c>
      <c r="B116" t="s">
        <v>9</v>
      </c>
      <c r="C116" s="1">
        <v>8.3999999999999995E-3</v>
      </c>
      <c r="D116">
        <v>8.1999999999999993</v>
      </c>
    </row>
    <row r="117" spans="1:4" x14ac:dyDescent="0.2">
      <c r="A117" t="s">
        <v>124</v>
      </c>
      <c r="B117" t="s">
        <v>12</v>
      </c>
      <c r="C117" s="1">
        <v>8.3999999999999995E-3</v>
      </c>
      <c r="D117">
        <v>1.3</v>
      </c>
    </row>
    <row r="118" spans="1:4" x14ac:dyDescent="0.2">
      <c r="A118" t="s">
        <v>125</v>
      </c>
      <c r="B118" t="s">
        <v>12</v>
      </c>
      <c r="C118" s="1">
        <v>8.3999999999999995E-3</v>
      </c>
      <c r="D118">
        <v>3</v>
      </c>
    </row>
    <row r="119" spans="1:4" x14ac:dyDescent="0.2">
      <c r="A119" t="s">
        <v>126</v>
      </c>
      <c r="B119" t="s">
        <v>39</v>
      </c>
      <c r="C119" s="1">
        <v>8.3999999999999995E-3</v>
      </c>
      <c r="D119">
        <v>2.8</v>
      </c>
    </row>
    <row r="120" spans="1:4" x14ac:dyDescent="0.2">
      <c r="A120" t="s">
        <v>127</v>
      </c>
      <c r="B120" t="s">
        <v>12</v>
      </c>
      <c r="C120" s="1">
        <v>8.3999999999999995E-3</v>
      </c>
      <c r="D120">
        <v>1.3</v>
      </c>
    </row>
    <row r="121" spans="1:4" x14ac:dyDescent="0.2">
      <c r="A121" t="s">
        <v>128</v>
      </c>
      <c r="B121" t="s">
        <v>12</v>
      </c>
      <c r="C121" s="1">
        <v>7.0000000000000001E-3</v>
      </c>
      <c r="D121">
        <v>0</v>
      </c>
    </row>
    <row r="122" spans="1:4" x14ac:dyDescent="0.2">
      <c r="A122" t="s">
        <v>129</v>
      </c>
      <c r="B122" t="s">
        <v>39</v>
      </c>
      <c r="C122" s="1">
        <v>7.0000000000000001E-3</v>
      </c>
      <c r="D122">
        <v>1.5</v>
      </c>
    </row>
    <row r="123" spans="1:4" x14ac:dyDescent="0.2">
      <c r="A123" t="s">
        <v>130</v>
      </c>
      <c r="B123" t="s">
        <v>5</v>
      </c>
      <c r="C123" s="1">
        <v>7.0000000000000001E-3</v>
      </c>
      <c r="D123">
        <v>3</v>
      </c>
    </row>
    <row r="124" spans="1:4" x14ac:dyDescent="0.2">
      <c r="A124" t="s">
        <v>131</v>
      </c>
      <c r="B124" t="s">
        <v>9</v>
      </c>
      <c r="C124" s="1">
        <v>7.0000000000000001E-3</v>
      </c>
      <c r="D124">
        <v>3</v>
      </c>
    </row>
    <row r="125" spans="1:4" x14ac:dyDescent="0.2">
      <c r="A125" t="s">
        <v>132</v>
      </c>
      <c r="B125" t="s">
        <v>7</v>
      </c>
      <c r="C125" s="1">
        <v>4.1999999999999997E-3</v>
      </c>
      <c r="D125">
        <v>0</v>
      </c>
    </row>
    <row r="126" spans="1:4" x14ac:dyDescent="0.2">
      <c r="A126" t="s">
        <v>133</v>
      </c>
      <c r="B126" t="s">
        <v>9</v>
      </c>
      <c r="C126" s="1">
        <v>4.1999999999999997E-3</v>
      </c>
      <c r="D126">
        <v>0</v>
      </c>
    </row>
    <row r="127" spans="1:4" x14ac:dyDescent="0.2">
      <c r="A127" t="s">
        <v>134</v>
      </c>
      <c r="B127" t="s">
        <v>5</v>
      </c>
      <c r="C127" s="1">
        <v>2.8E-3</v>
      </c>
      <c r="D127">
        <v>1.5</v>
      </c>
    </row>
    <row r="128" spans="1:4" x14ac:dyDescent="0.2">
      <c r="A128" t="s">
        <v>135</v>
      </c>
      <c r="B128" t="s">
        <v>12</v>
      </c>
      <c r="C128" s="1">
        <v>2.8E-3</v>
      </c>
      <c r="D128">
        <v>0</v>
      </c>
    </row>
    <row r="129" spans="1:4" x14ac:dyDescent="0.2">
      <c r="A129" t="s">
        <v>136</v>
      </c>
      <c r="B129" t="s">
        <v>12</v>
      </c>
      <c r="C129" s="1">
        <v>2.8E-3</v>
      </c>
      <c r="D129">
        <v>0</v>
      </c>
    </row>
    <row r="130" spans="1:4" x14ac:dyDescent="0.2">
      <c r="A130" t="s">
        <v>137</v>
      </c>
      <c r="B130" t="s">
        <v>12</v>
      </c>
      <c r="C130" s="1">
        <v>2.8E-3</v>
      </c>
      <c r="D130">
        <v>4.3</v>
      </c>
    </row>
    <row r="131" spans="1:4" x14ac:dyDescent="0.2">
      <c r="A131" t="s">
        <v>138</v>
      </c>
      <c r="B131" t="s">
        <v>9</v>
      </c>
      <c r="C131" s="1">
        <v>2.8E-3</v>
      </c>
      <c r="D131">
        <v>0</v>
      </c>
    </row>
    <row r="132" spans="1:4" x14ac:dyDescent="0.2">
      <c r="A132" t="s">
        <v>139</v>
      </c>
      <c r="B132" t="s">
        <v>5</v>
      </c>
      <c r="C132" s="1">
        <v>2.8E-3</v>
      </c>
      <c r="D132">
        <v>0</v>
      </c>
    </row>
    <row r="133" spans="1:4" x14ac:dyDescent="0.2">
      <c r="A133" t="s">
        <v>140</v>
      </c>
      <c r="B133" t="s">
        <v>12</v>
      </c>
      <c r="C133" s="1">
        <v>2.8E-3</v>
      </c>
      <c r="D133">
        <v>0</v>
      </c>
    </row>
    <row r="134" spans="1:4" x14ac:dyDescent="0.2">
      <c r="A134" t="s">
        <v>141</v>
      </c>
      <c r="B134" t="s">
        <v>7</v>
      </c>
      <c r="C134" s="1">
        <v>2.8E-3</v>
      </c>
      <c r="D134">
        <v>0</v>
      </c>
    </row>
    <row r="135" spans="1:4" x14ac:dyDescent="0.2">
      <c r="A135" t="s">
        <v>142</v>
      </c>
      <c r="B135" t="s">
        <v>5</v>
      </c>
      <c r="C135" s="1">
        <v>1.4E-3</v>
      </c>
      <c r="D135">
        <v>0</v>
      </c>
    </row>
    <row r="136" spans="1:4" x14ac:dyDescent="0.2">
      <c r="A136" t="s">
        <v>143</v>
      </c>
      <c r="B136" t="s">
        <v>9</v>
      </c>
      <c r="C136" s="1">
        <v>1.4E-3</v>
      </c>
      <c r="D136">
        <v>0</v>
      </c>
    </row>
    <row r="137" spans="1:4" x14ac:dyDescent="0.2">
      <c r="A137" t="s">
        <v>144</v>
      </c>
      <c r="B137" t="s">
        <v>12</v>
      </c>
      <c r="C137" s="1">
        <v>1.4E-3</v>
      </c>
      <c r="D137">
        <v>0</v>
      </c>
    </row>
    <row r="138" spans="1:4" x14ac:dyDescent="0.2">
      <c r="A138" t="s">
        <v>145</v>
      </c>
      <c r="B138" t="s">
        <v>9</v>
      </c>
      <c r="C138" s="1">
        <v>1.4E-3</v>
      </c>
      <c r="D138">
        <v>0</v>
      </c>
    </row>
    <row r="139" spans="1:4" x14ac:dyDescent="0.2">
      <c r="A139" t="s">
        <v>146</v>
      </c>
      <c r="B139" t="s">
        <v>5</v>
      </c>
      <c r="C139" s="1">
        <v>1.4E-3</v>
      </c>
      <c r="D139">
        <v>0</v>
      </c>
    </row>
    <row r="140" spans="1:4" x14ac:dyDescent="0.2">
      <c r="A140" t="s">
        <v>147</v>
      </c>
      <c r="B140" t="s">
        <v>9</v>
      </c>
      <c r="C140" s="1">
        <v>1.4E-3</v>
      </c>
      <c r="D140">
        <v>0</v>
      </c>
    </row>
    <row r="141" spans="1:4" x14ac:dyDescent="0.2">
      <c r="A141" t="s">
        <v>148</v>
      </c>
      <c r="B141" t="s">
        <v>12</v>
      </c>
      <c r="C141" s="1">
        <v>1.4E-3</v>
      </c>
      <c r="D141">
        <v>0</v>
      </c>
    </row>
    <row r="142" spans="1:4" x14ac:dyDescent="0.2">
      <c r="A142" t="s">
        <v>149</v>
      </c>
      <c r="B142" t="s">
        <v>39</v>
      </c>
      <c r="C142" s="1">
        <v>1.4E-3</v>
      </c>
      <c r="D142">
        <v>6.5</v>
      </c>
    </row>
    <row r="143" spans="1:4" x14ac:dyDescent="0.2">
      <c r="A143" t="s">
        <v>150</v>
      </c>
      <c r="B143" t="s">
        <v>5</v>
      </c>
      <c r="C143" s="1">
        <v>1.4E-3</v>
      </c>
      <c r="D143">
        <v>0</v>
      </c>
    </row>
    <row r="144" spans="1:4" x14ac:dyDescent="0.2">
      <c r="A144" t="s">
        <v>151</v>
      </c>
      <c r="B144" t="s">
        <v>9</v>
      </c>
      <c r="C144" s="1">
        <v>1.4E-3</v>
      </c>
      <c r="D144">
        <v>0</v>
      </c>
    </row>
    <row r="145" spans="1:4" x14ac:dyDescent="0.2">
      <c r="A145" t="s">
        <v>152</v>
      </c>
      <c r="B145" t="s">
        <v>9</v>
      </c>
      <c r="C145" s="1">
        <v>1.4E-3</v>
      </c>
      <c r="D145">
        <v>0</v>
      </c>
    </row>
    <row r="146" spans="1:4" x14ac:dyDescent="0.2">
      <c r="A146" t="s">
        <v>153</v>
      </c>
      <c r="B146" t="s">
        <v>9</v>
      </c>
      <c r="C146" s="1">
        <v>1.4E-3</v>
      </c>
      <c r="D146">
        <v>0</v>
      </c>
    </row>
    <row r="147" spans="1:4" x14ac:dyDescent="0.2">
      <c r="A147" t="s">
        <v>154</v>
      </c>
      <c r="B147" t="s">
        <v>39</v>
      </c>
      <c r="C147" s="1">
        <v>1.4E-3</v>
      </c>
      <c r="D147">
        <v>0</v>
      </c>
    </row>
    <row r="148" spans="1:4" x14ac:dyDescent="0.2">
      <c r="A148" t="s">
        <v>155</v>
      </c>
      <c r="B148" t="s">
        <v>12</v>
      </c>
      <c r="C148" s="1">
        <v>1.4E-3</v>
      </c>
      <c r="D148">
        <v>0</v>
      </c>
    </row>
    <row r="149" spans="1:4" x14ac:dyDescent="0.2">
      <c r="A149" t="s">
        <v>156</v>
      </c>
      <c r="B149" t="s">
        <v>12</v>
      </c>
      <c r="C149" s="1">
        <v>1.4E-3</v>
      </c>
      <c r="D149">
        <v>0</v>
      </c>
    </row>
    <row r="150" spans="1:4" x14ac:dyDescent="0.2">
      <c r="A150" t="s">
        <v>157</v>
      </c>
      <c r="B150" t="s">
        <v>9</v>
      </c>
      <c r="C150" s="1">
        <v>1.4E-3</v>
      </c>
      <c r="D150">
        <v>1.3</v>
      </c>
    </row>
    <row r="151" spans="1:4" x14ac:dyDescent="0.2">
      <c r="A151" t="s">
        <v>158</v>
      </c>
      <c r="B151" t="s">
        <v>12</v>
      </c>
      <c r="C151" s="1">
        <v>1.4E-3</v>
      </c>
      <c r="D151">
        <v>0</v>
      </c>
    </row>
    <row r="152" spans="1:4" x14ac:dyDescent="0.2">
      <c r="A152" t="s">
        <v>159</v>
      </c>
      <c r="B152" t="s">
        <v>9</v>
      </c>
      <c r="C152" s="1">
        <v>1.4E-3</v>
      </c>
      <c r="D152">
        <v>4.5</v>
      </c>
    </row>
    <row r="153" spans="1:4" x14ac:dyDescent="0.2">
      <c r="A153" t="s">
        <v>160</v>
      </c>
      <c r="B153" t="s">
        <v>9</v>
      </c>
      <c r="C153" s="1">
        <v>1.4E-3</v>
      </c>
      <c r="D153">
        <v>0</v>
      </c>
    </row>
    <row r="154" spans="1:4" x14ac:dyDescent="0.2">
      <c r="A154" t="s">
        <v>161</v>
      </c>
      <c r="B154" t="s">
        <v>12</v>
      </c>
      <c r="C154" s="1">
        <v>1.4E-3</v>
      </c>
      <c r="D154">
        <v>10</v>
      </c>
    </row>
    <row r="155" spans="1:4" x14ac:dyDescent="0.2">
      <c r="A155" t="s">
        <v>162</v>
      </c>
      <c r="B155" t="s">
        <v>12</v>
      </c>
      <c r="C155" s="1">
        <v>1.4E-3</v>
      </c>
      <c r="D155">
        <v>2.8</v>
      </c>
    </row>
    <row r="156" spans="1:4" x14ac:dyDescent="0.2">
      <c r="A156" t="s">
        <v>163</v>
      </c>
      <c r="B156" t="s">
        <v>5</v>
      </c>
      <c r="C156" s="1">
        <v>1.4E-3</v>
      </c>
      <c r="D156">
        <v>0</v>
      </c>
    </row>
    <row r="157" spans="1:4" x14ac:dyDescent="0.2">
      <c r="A157" t="s">
        <v>164</v>
      </c>
      <c r="B157" t="s">
        <v>7</v>
      </c>
      <c r="C157" s="1">
        <v>1.4E-3</v>
      </c>
      <c r="D157">
        <v>0</v>
      </c>
    </row>
    <row r="158" spans="1:4" x14ac:dyDescent="0.2">
      <c r="A158" t="s">
        <v>165</v>
      </c>
      <c r="B158" t="s">
        <v>9</v>
      </c>
      <c r="C158" s="1">
        <v>1.4E-3</v>
      </c>
      <c r="D158">
        <v>1.5</v>
      </c>
    </row>
    <row r="159" spans="1:4" x14ac:dyDescent="0.2">
      <c r="A159" t="s">
        <v>166</v>
      </c>
      <c r="B159" t="s">
        <v>5</v>
      </c>
      <c r="C159" s="1">
        <v>1.4E-3</v>
      </c>
      <c r="D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EB5B-89FB-C94C-8382-3C9D17811EE3}">
  <dimension ref="A1:N143"/>
  <sheetViews>
    <sheetView tabSelected="1" topLeftCell="A132" workbookViewId="0">
      <selection activeCell="H151" sqref="H151"/>
    </sheetView>
  </sheetViews>
  <sheetFormatPr baseColWidth="10" defaultRowHeight="16" x14ac:dyDescent="0.2"/>
  <cols>
    <col min="1" max="1" width="18.6640625" bestFit="1" customWidth="1"/>
    <col min="2" max="2" width="5.33203125" bestFit="1" customWidth="1"/>
    <col min="3" max="3" width="7.6640625" bestFit="1" customWidth="1"/>
    <col min="4" max="4" width="6.1640625" bestFit="1" customWidth="1"/>
    <col min="5" max="5" width="12.83203125" bestFit="1" customWidth="1"/>
    <col min="6" max="6" width="10.33203125" bestFit="1" customWidth="1"/>
    <col min="7" max="7" width="12.83203125" bestFit="1" customWidth="1"/>
    <col min="8" max="10" width="12.1640625" bestFit="1" customWidth="1"/>
    <col min="11" max="11" width="10.5" bestFit="1" customWidth="1"/>
  </cols>
  <sheetData>
    <row r="1" spans="1:14" x14ac:dyDescent="0.2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t="s">
        <v>276</v>
      </c>
      <c r="M1" t="s">
        <v>277</v>
      </c>
      <c r="N1" t="s">
        <v>170</v>
      </c>
    </row>
    <row r="2" spans="1:14" x14ac:dyDescent="0.2">
      <c r="A2" t="s">
        <v>108</v>
      </c>
      <c r="B2" t="s">
        <v>204</v>
      </c>
      <c r="C2" t="s">
        <v>5</v>
      </c>
      <c r="D2">
        <v>2600</v>
      </c>
      <c r="E2">
        <v>5.1173032119233604</v>
      </c>
      <c r="F2">
        <v>3.67</v>
      </c>
      <c r="G2">
        <v>1.44730321192336</v>
      </c>
      <c r="H2">
        <v>1.96819354304744</v>
      </c>
      <c r="I2">
        <v>1.2793258029808401</v>
      </c>
      <c r="J2">
        <v>17.793258029808399</v>
      </c>
      <c r="K2" t="s">
        <v>244</v>
      </c>
      <c r="L2">
        <f>IFERROR(VLOOKUP($A2,Actual!$A:$D,4,FALSE),IFERROR(VLOOKUP($A2,fc!$A:$AC,29,FALSE),"Not Found"))</f>
        <v>1.3</v>
      </c>
      <c r="M2">
        <f>IFERROR(VLOOKUP($A2,Actual!$A:$D,3,FALSE),"0")</f>
        <v>1.6799999999999999E-2</v>
      </c>
      <c r="N2">
        <f>IFERROR(VLOOKUP($A2,NHT!$B:$F,5,FALSE),IFERROR(VLOOKUP(A2,fc!A:AD,28,FALSE),"Not Found"))</f>
        <v>4.7</v>
      </c>
    </row>
    <row r="3" spans="1:14" x14ac:dyDescent="0.2">
      <c r="A3" t="s">
        <v>226</v>
      </c>
      <c r="B3" t="s">
        <v>245</v>
      </c>
      <c r="C3" t="s">
        <v>5</v>
      </c>
      <c r="D3">
        <v>2500</v>
      </c>
      <c r="E3">
        <v>3.4240005661874799</v>
      </c>
      <c r="F3">
        <v>2.2000000000000002</v>
      </c>
      <c r="G3">
        <v>1.22400056618748</v>
      </c>
      <c r="H3">
        <v>1.36960022647499</v>
      </c>
      <c r="I3">
        <v>0.85600014154686999</v>
      </c>
      <c r="J3">
        <v>13.560001415468699</v>
      </c>
      <c r="K3" t="s">
        <v>244</v>
      </c>
      <c r="L3">
        <f>IFERROR(VLOOKUP($A3,Actual!$A:$D,4,FALSE),IFERROR(VLOOKUP($A3,fc!$A:$AC,29,FALSE),"Not Found"))</f>
        <v>2.6</v>
      </c>
      <c r="M3" t="str">
        <f>IFERROR(VLOOKUP($A3,Actual!$A:$D,3,FALSE),"0")</f>
        <v>0</v>
      </c>
      <c r="N3">
        <f>IFERROR(VLOOKUP($A3,NHT!$B:$F,5,FALSE),IFERROR(VLOOKUP(A3,fc!A:AD,28,FALSE),"Not Found"))</f>
        <v>7.1833333333332998</v>
      </c>
    </row>
    <row r="4" spans="1:14" x14ac:dyDescent="0.2">
      <c r="A4" t="s">
        <v>220</v>
      </c>
      <c r="B4" t="s">
        <v>211</v>
      </c>
      <c r="C4" t="s">
        <v>9</v>
      </c>
      <c r="D4">
        <v>2500</v>
      </c>
      <c r="E4">
        <v>2.21184962949207</v>
      </c>
      <c r="F4">
        <v>2.35</v>
      </c>
      <c r="G4">
        <v>-0.138150370507928</v>
      </c>
      <c r="H4">
        <v>0.88473985179682801</v>
      </c>
      <c r="I4">
        <v>0.55296240737301705</v>
      </c>
      <c r="J4">
        <v>10.529624073730099</v>
      </c>
      <c r="K4" t="s">
        <v>244</v>
      </c>
      <c r="L4">
        <f>IFERROR(VLOOKUP($A4,Actual!$A:$D,4,FALSE),IFERROR(VLOOKUP($A4,fc!$A:$AC,29,FALSE),"Not Found"))</f>
        <v>0</v>
      </c>
      <c r="M4" t="str">
        <f>IFERROR(VLOOKUP($A4,Actual!$A:$D,3,FALSE),"0")</f>
        <v>0</v>
      </c>
      <c r="N4">
        <f>IFERROR(VLOOKUP($A4,NHT!$B:$F,5,FALSE),IFERROR(VLOOKUP(A4,fc!A:AD,28,FALSE),"Not Found"))</f>
        <v>7.65</v>
      </c>
    </row>
    <row r="5" spans="1:14" x14ac:dyDescent="0.2">
      <c r="A5" t="s">
        <v>159</v>
      </c>
      <c r="B5" t="s">
        <v>203</v>
      </c>
      <c r="C5" t="s">
        <v>5</v>
      </c>
      <c r="D5">
        <v>2500</v>
      </c>
      <c r="E5">
        <v>2.84793383683387</v>
      </c>
      <c r="F5">
        <v>2.2000000000000002</v>
      </c>
      <c r="G5">
        <v>0.64793383683387695</v>
      </c>
      <c r="H5">
        <v>1.1391735347335501</v>
      </c>
      <c r="I5">
        <v>0.71198345920846895</v>
      </c>
      <c r="J5">
        <v>12.119834592084599</v>
      </c>
      <c r="K5" t="s">
        <v>244</v>
      </c>
      <c r="L5">
        <f>IFERROR(VLOOKUP($A5,Actual!$A:$D,4,FALSE),IFERROR(VLOOKUP($A5,fc!$A:$AC,29,FALSE),"Not Found"))</f>
        <v>4.5</v>
      </c>
      <c r="M5">
        <f>IFERROR(VLOOKUP($A5,Actual!$A:$D,3,FALSE),"0")</f>
        <v>1.4E-3</v>
      </c>
      <c r="N5">
        <f>IFERROR(VLOOKUP($A5,NHT!$B:$F,5,FALSE),IFERROR(VLOOKUP(A5,fc!A:AD,28,FALSE),"Not Found"))</f>
        <v>7.9833333333332996</v>
      </c>
    </row>
    <row r="6" spans="1:14" x14ac:dyDescent="0.2">
      <c r="A6" t="s">
        <v>105</v>
      </c>
      <c r="B6" t="s">
        <v>245</v>
      </c>
      <c r="C6" t="s">
        <v>9</v>
      </c>
      <c r="D6">
        <v>2900</v>
      </c>
      <c r="E6">
        <v>6.3275909122619698</v>
      </c>
      <c r="F6">
        <v>4.96</v>
      </c>
      <c r="G6">
        <v>1.36759091226197</v>
      </c>
      <c r="H6">
        <v>2.1819279007799901</v>
      </c>
      <c r="I6">
        <v>1.58189772806549</v>
      </c>
      <c r="J6">
        <v>20.818977280654899</v>
      </c>
      <c r="K6" t="s">
        <v>244</v>
      </c>
      <c r="L6">
        <f>IFERROR(VLOOKUP($A6,Actual!$A:$D,4,FALSE),IFERROR(VLOOKUP($A6,fc!$A:$AC,29,FALSE),"Not Found"))</f>
        <v>2.8</v>
      </c>
      <c r="M6">
        <f>IFERROR(VLOOKUP($A6,Actual!$A:$D,3,FALSE),"0")</f>
        <v>1.8200000000000001E-2</v>
      </c>
      <c r="N6">
        <f>IFERROR(VLOOKUP($A6,NHT!$B:$F,5,FALSE),IFERROR(VLOOKUP(A6,fc!A:AD,28,FALSE),"Not Found"))</f>
        <v>8.6833333333332998</v>
      </c>
    </row>
    <row r="7" spans="1:14" x14ac:dyDescent="0.2">
      <c r="A7" t="s">
        <v>229</v>
      </c>
      <c r="B7" t="s">
        <v>207</v>
      </c>
      <c r="C7" t="s">
        <v>5</v>
      </c>
      <c r="D7">
        <v>2500</v>
      </c>
      <c r="E7">
        <v>2.6021150153145798</v>
      </c>
      <c r="F7">
        <v>1.64</v>
      </c>
      <c r="G7">
        <v>0.96211501531458699</v>
      </c>
      <c r="H7">
        <v>1.04084600612583</v>
      </c>
      <c r="I7">
        <v>0.65052875382864594</v>
      </c>
      <c r="J7">
        <v>11.505287538286399</v>
      </c>
      <c r="K7" t="s">
        <v>244</v>
      </c>
      <c r="L7">
        <f>IFERROR(VLOOKUP($A7,Actual!$A:$D,4,FALSE),IFERROR(VLOOKUP($A7,fc!$A:$AC,29,FALSE),"Not Found"))</f>
        <v>3</v>
      </c>
      <c r="M7" t="str">
        <f>IFERROR(VLOOKUP($A7,Actual!$A:$D,3,FALSE),"0")</f>
        <v>0</v>
      </c>
      <c r="N7">
        <f>IFERROR(VLOOKUP($A7,NHT!$B:$F,5,FALSE),IFERROR(VLOOKUP(A7,fc!A:AD,28,FALSE),"Not Found"))</f>
        <v>8.7166666666667005</v>
      </c>
    </row>
    <row r="8" spans="1:14" x14ac:dyDescent="0.2">
      <c r="A8" t="s">
        <v>213</v>
      </c>
      <c r="B8" t="s">
        <v>207</v>
      </c>
      <c r="C8" t="s">
        <v>5</v>
      </c>
      <c r="D8">
        <v>2500</v>
      </c>
      <c r="E8">
        <v>4.2352707013406796</v>
      </c>
      <c r="F8">
        <v>3.4</v>
      </c>
      <c r="G8">
        <v>0.83527070134068804</v>
      </c>
      <c r="H8">
        <v>1.6941082805362699</v>
      </c>
      <c r="I8">
        <v>1.0588176753351699</v>
      </c>
      <c r="J8">
        <v>15.5881767533517</v>
      </c>
      <c r="K8" t="s">
        <v>244</v>
      </c>
      <c r="L8">
        <f>IFERROR(VLOOKUP($A8,Actual!$A:$D,4,FALSE),IFERROR(VLOOKUP($A8,fc!$A:$AC,29,FALSE),"Not Found"))</f>
        <v>0</v>
      </c>
      <c r="M8" t="str">
        <f>IFERROR(VLOOKUP($A8,Actual!$A:$D,3,FALSE),"0")</f>
        <v>0</v>
      </c>
      <c r="N8">
        <f>IFERROR(VLOOKUP($A8,NHT!$B:$F,5,FALSE),IFERROR(VLOOKUP(A8,fc!A:AD,28,FALSE),"Not Found"))</f>
        <v>8.8666666666666991</v>
      </c>
    </row>
    <row r="9" spans="1:14" x14ac:dyDescent="0.2">
      <c r="A9" t="s">
        <v>221</v>
      </c>
      <c r="B9" t="s">
        <v>207</v>
      </c>
      <c r="C9" t="s">
        <v>9</v>
      </c>
      <c r="D9">
        <v>2500</v>
      </c>
      <c r="E9">
        <v>4.7934399899996896</v>
      </c>
      <c r="F9">
        <v>3.87</v>
      </c>
      <c r="G9">
        <v>0.92343998999969801</v>
      </c>
      <c r="H9">
        <v>1.91737599599987</v>
      </c>
      <c r="I9">
        <v>1.1983599974999199</v>
      </c>
      <c r="J9">
        <v>16.983599974999201</v>
      </c>
      <c r="K9" t="s">
        <v>244</v>
      </c>
      <c r="L9">
        <f>IFERROR(VLOOKUP($A9,Actual!$A:$D,4,FALSE),IFERROR(VLOOKUP($A9,fc!$A:$AC,29,FALSE),"Not Found"))</f>
        <v>0</v>
      </c>
      <c r="M9" t="str">
        <f>IFERROR(VLOOKUP($A9,Actual!$A:$D,3,FALSE),"0")</f>
        <v>0</v>
      </c>
      <c r="N9">
        <f>IFERROR(VLOOKUP($A9,NHT!$B:$F,5,FALSE),IFERROR(VLOOKUP(A9,fc!A:AD,28,FALSE),"Not Found"))</f>
        <v>9.5166666666666995</v>
      </c>
    </row>
    <row r="10" spans="1:14" x14ac:dyDescent="0.2">
      <c r="A10" t="s">
        <v>218</v>
      </c>
      <c r="B10" t="s">
        <v>204</v>
      </c>
      <c r="C10" t="s">
        <v>9</v>
      </c>
      <c r="D10">
        <v>2500</v>
      </c>
      <c r="E10">
        <v>3.5647141513412999</v>
      </c>
      <c r="F10">
        <v>2.52</v>
      </c>
      <c r="G10">
        <v>1.0447141513413001</v>
      </c>
      <c r="H10">
        <v>1.42588566053652</v>
      </c>
      <c r="I10">
        <v>0.89117853783532597</v>
      </c>
      <c r="J10">
        <v>13.9117853783532</v>
      </c>
      <c r="K10" t="s">
        <v>244</v>
      </c>
      <c r="L10">
        <f>IFERROR(VLOOKUP($A10,Actual!$A:$D,4,FALSE),IFERROR(VLOOKUP($A10,fc!$A:$AC,29,FALSE),"Not Found"))</f>
        <v>1.3</v>
      </c>
      <c r="M10" t="str">
        <f>IFERROR(VLOOKUP($A10,Actual!$A:$D,3,FALSE),"0")</f>
        <v>0</v>
      </c>
      <c r="N10">
        <f>IFERROR(VLOOKUP($A10,NHT!$B:$F,5,FALSE),IFERROR(VLOOKUP(A10,fc!A:AD,28,FALSE),"Not Found"))</f>
        <v>9.65</v>
      </c>
    </row>
    <row r="11" spans="1:14" x14ac:dyDescent="0.2">
      <c r="A11" t="s">
        <v>104</v>
      </c>
      <c r="B11" t="s">
        <v>200</v>
      </c>
      <c r="C11" t="s">
        <v>9</v>
      </c>
      <c r="D11">
        <v>2500</v>
      </c>
      <c r="E11">
        <v>5.27459769154407</v>
      </c>
      <c r="F11">
        <v>5.28</v>
      </c>
      <c r="G11">
        <v>-5.4023084559293704E-3</v>
      </c>
      <c r="H11">
        <v>2.1098390766176198</v>
      </c>
      <c r="I11">
        <v>1.3186494228860099</v>
      </c>
      <c r="J11">
        <v>18.186494228860099</v>
      </c>
      <c r="K11" t="s">
        <v>244</v>
      </c>
      <c r="L11">
        <f>IFERROR(VLOOKUP($A11,Actual!$A:$D,4,FALSE),IFERROR(VLOOKUP($A11,fc!$A:$AC,29,FALSE),"Not Found"))</f>
        <v>1.5</v>
      </c>
      <c r="M11">
        <f>IFERROR(VLOOKUP($A11,Actual!$A:$D,3,FALSE),"0")</f>
        <v>1.8200000000000001E-2</v>
      </c>
      <c r="N11">
        <f>IFERROR(VLOOKUP($A11,NHT!$B:$F,5,FALSE),IFERROR(VLOOKUP(A11,fc!A:AD,28,FALSE),"Not Found"))</f>
        <v>9.8166666666667002</v>
      </c>
    </row>
    <row r="12" spans="1:14" x14ac:dyDescent="0.2">
      <c r="A12" t="s">
        <v>157</v>
      </c>
      <c r="B12" t="s">
        <v>207</v>
      </c>
      <c r="C12" t="s">
        <v>9</v>
      </c>
      <c r="D12">
        <v>2500</v>
      </c>
      <c r="E12">
        <v>3.6727104293921999</v>
      </c>
      <c r="F12">
        <v>2.86</v>
      </c>
      <c r="G12">
        <v>0.81271042939220495</v>
      </c>
      <c r="H12">
        <v>1.4690841717568801</v>
      </c>
      <c r="I12">
        <v>0.91817760734805098</v>
      </c>
      <c r="J12">
        <v>14.181776073480499</v>
      </c>
      <c r="K12" t="s">
        <v>244</v>
      </c>
      <c r="L12">
        <f>IFERROR(VLOOKUP($A12,Actual!$A:$D,4,FALSE),IFERROR(VLOOKUP($A12,fc!$A:$AC,29,FALSE),"Not Found"))</f>
        <v>1.3</v>
      </c>
      <c r="M12">
        <f>IFERROR(VLOOKUP($A12,Actual!$A:$D,3,FALSE),"0")</f>
        <v>1.4E-3</v>
      </c>
      <c r="N12">
        <f>IFERROR(VLOOKUP($A12,NHT!$B:$F,5,FALSE),IFERROR(VLOOKUP(A12,fc!A:AD,28,FALSE),"Not Found"))</f>
        <v>9.9499999999999993</v>
      </c>
    </row>
    <row r="13" spans="1:14" x14ac:dyDescent="0.2">
      <c r="A13" t="s">
        <v>149</v>
      </c>
      <c r="B13" t="s">
        <v>206</v>
      </c>
      <c r="C13" t="s">
        <v>9</v>
      </c>
      <c r="D13">
        <v>2500</v>
      </c>
      <c r="E13">
        <v>2.9309303753740199</v>
      </c>
      <c r="F13">
        <v>1.74</v>
      </c>
      <c r="G13">
        <v>1.1909303753740199</v>
      </c>
      <c r="H13">
        <v>1.1723721501496001</v>
      </c>
      <c r="I13">
        <v>0.73273259384350498</v>
      </c>
      <c r="J13">
        <v>12.327325938434999</v>
      </c>
      <c r="K13" t="s">
        <v>244</v>
      </c>
      <c r="L13">
        <f>IFERROR(VLOOKUP($A13,Actual!$A:$D,4,FALSE),IFERROR(VLOOKUP($A13,fc!$A:$AC,29,FALSE),"Not Found"))</f>
        <v>6.5</v>
      </c>
      <c r="M13">
        <f>IFERROR(VLOOKUP($A13,Actual!$A:$D,3,FALSE),"0")</f>
        <v>1.4E-3</v>
      </c>
      <c r="N13">
        <f>IFERROR(VLOOKUP($A13,NHT!$B:$F,5,FALSE),IFERROR(VLOOKUP(A13,fc!A:AD,28,FALSE),"Not Found"))</f>
        <v>10.066666666667</v>
      </c>
    </row>
    <row r="14" spans="1:14" x14ac:dyDescent="0.2">
      <c r="A14" t="s">
        <v>122</v>
      </c>
      <c r="B14" t="s">
        <v>211</v>
      </c>
      <c r="C14" t="s">
        <v>9</v>
      </c>
      <c r="D14">
        <v>2600</v>
      </c>
      <c r="E14">
        <v>4.5559318118368504</v>
      </c>
      <c r="F14">
        <v>4.05</v>
      </c>
      <c r="G14">
        <v>0.50593181183685698</v>
      </c>
      <c r="H14">
        <v>1.7522814660910899</v>
      </c>
      <c r="I14">
        <v>1.1389829529592099</v>
      </c>
      <c r="J14">
        <v>16.389829529592099</v>
      </c>
      <c r="K14" t="s">
        <v>244</v>
      </c>
      <c r="L14">
        <f>IFERROR(VLOOKUP($A14,Actual!$A:$D,4,FALSE),IFERROR(VLOOKUP($A14,fc!$A:$AC,29,FALSE),"Not Found"))</f>
        <v>2.8</v>
      </c>
      <c r="M14">
        <f>IFERROR(VLOOKUP($A14,Actual!$A:$D,3,FALSE),"0")</f>
        <v>9.7999999999999997E-3</v>
      </c>
      <c r="N14">
        <f>IFERROR(VLOOKUP($A14,NHT!$B:$F,5,FALSE),IFERROR(VLOOKUP(A14,fc!A:AD,28,FALSE),"Not Found"))</f>
        <v>10.1</v>
      </c>
    </row>
    <row r="15" spans="1:14" x14ac:dyDescent="0.2">
      <c r="A15" t="s">
        <v>165</v>
      </c>
      <c r="B15" t="s">
        <v>214</v>
      </c>
      <c r="C15" t="s">
        <v>9</v>
      </c>
      <c r="D15">
        <v>2800</v>
      </c>
      <c r="E15">
        <v>6.8432456528832803</v>
      </c>
      <c r="F15">
        <v>5.84</v>
      </c>
      <c r="G15">
        <v>1.00324565288328</v>
      </c>
      <c r="H15">
        <v>2.44401630460117</v>
      </c>
      <c r="I15">
        <v>1.7108114132208201</v>
      </c>
      <c r="J15">
        <v>22.1081141322082</v>
      </c>
      <c r="K15" t="s">
        <v>244</v>
      </c>
      <c r="L15">
        <f>IFERROR(VLOOKUP($A15,Actual!$A:$D,4,FALSE),IFERROR(VLOOKUP($A15,fc!$A:$AC,29,FALSE),"Not Found"))</f>
        <v>1.5</v>
      </c>
      <c r="M15">
        <f>IFERROR(VLOOKUP($A15,Actual!$A:$D,3,FALSE),"0")</f>
        <v>1.4E-3</v>
      </c>
      <c r="N15">
        <f>IFERROR(VLOOKUP($A15,NHT!$B:$F,5,FALSE),IFERROR(VLOOKUP(A15,fc!A:AD,28,FALSE),"Not Found"))</f>
        <v>10.533333333332999</v>
      </c>
    </row>
    <row r="16" spans="1:14" x14ac:dyDescent="0.2">
      <c r="A16" t="s">
        <v>134</v>
      </c>
      <c r="B16" t="s">
        <v>204</v>
      </c>
      <c r="C16" t="s">
        <v>5</v>
      </c>
      <c r="D16">
        <v>2500</v>
      </c>
      <c r="E16">
        <v>2.9464161282317698</v>
      </c>
      <c r="F16">
        <v>2.62</v>
      </c>
      <c r="G16">
        <v>0.32641612823177502</v>
      </c>
      <c r="H16">
        <v>1.1785664512927101</v>
      </c>
      <c r="I16">
        <v>0.736604032057943</v>
      </c>
      <c r="J16">
        <v>12.366040320579399</v>
      </c>
      <c r="K16" t="s">
        <v>244</v>
      </c>
      <c r="L16">
        <f>IFERROR(VLOOKUP($A16,Actual!$A:$D,4,FALSE),IFERROR(VLOOKUP($A16,fc!$A:$AC,29,FALSE),"Not Found"))</f>
        <v>1.5</v>
      </c>
      <c r="M16">
        <f>IFERROR(VLOOKUP($A16,Actual!$A:$D,3,FALSE),"0")</f>
        <v>2.8E-3</v>
      </c>
      <c r="N16">
        <f>IFERROR(VLOOKUP($A16,NHT!$B:$F,5,FALSE),IFERROR(VLOOKUP(A16,fc!A:AD,28,FALSE),"Not Found"))</f>
        <v>10.566666666667</v>
      </c>
    </row>
    <row r="17" spans="1:14" x14ac:dyDescent="0.2">
      <c r="A17" t="s">
        <v>71</v>
      </c>
      <c r="B17" t="s">
        <v>203</v>
      </c>
      <c r="C17" t="s">
        <v>5</v>
      </c>
      <c r="D17">
        <v>2800</v>
      </c>
      <c r="E17">
        <v>5.7764145657387402</v>
      </c>
      <c r="F17">
        <v>4.8899999999999997</v>
      </c>
      <c r="G17">
        <v>0.886414565738746</v>
      </c>
      <c r="H17">
        <v>2.06300520204955</v>
      </c>
      <c r="I17">
        <v>1.44410364143468</v>
      </c>
      <c r="J17">
        <v>19.441036414346801</v>
      </c>
      <c r="K17" t="s">
        <v>244</v>
      </c>
      <c r="L17">
        <f>IFERROR(VLOOKUP($A17,Actual!$A:$D,4,FALSE),IFERROR(VLOOKUP($A17,fc!$A:$AC,29,FALSE),"Not Found"))</f>
        <v>8</v>
      </c>
      <c r="M17">
        <f>IFERROR(VLOOKUP($A17,Actual!$A:$D,3,FALSE),"0")</f>
        <v>4.2099999999999999E-2</v>
      </c>
      <c r="N17">
        <f>IFERROR(VLOOKUP($A17,NHT!$B:$F,5,FALSE),IFERROR(VLOOKUP(A17,fc!A:AD,28,FALSE),"Not Found"))</f>
        <v>10.683333333333</v>
      </c>
    </row>
    <row r="18" spans="1:14" x14ac:dyDescent="0.2">
      <c r="A18" t="s">
        <v>109</v>
      </c>
      <c r="B18" t="s">
        <v>200</v>
      </c>
      <c r="C18" t="s">
        <v>5</v>
      </c>
      <c r="D18">
        <v>2500</v>
      </c>
      <c r="E18">
        <v>4.9664515383594701</v>
      </c>
      <c r="F18">
        <v>4.72</v>
      </c>
      <c r="G18">
        <v>0.24645153835947201</v>
      </c>
      <c r="H18">
        <v>1.9865806153437799</v>
      </c>
      <c r="I18">
        <v>1.24161288458986</v>
      </c>
      <c r="J18">
        <v>17.416128845898601</v>
      </c>
      <c r="K18" t="s">
        <v>244</v>
      </c>
      <c r="L18">
        <f>IFERROR(VLOOKUP($A18,Actual!$A:$D,4,FALSE),IFERROR(VLOOKUP($A18,fc!$A:$AC,29,FALSE),"Not Found"))</f>
        <v>1.3</v>
      </c>
      <c r="M18">
        <f>IFERROR(VLOOKUP($A18,Actual!$A:$D,3,FALSE),"0")</f>
        <v>1.6799999999999999E-2</v>
      </c>
      <c r="N18">
        <f>IFERROR(VLOOKUP($A18,NHT!$B:$F,5,FALSE),IFERROR(VLOOKUP(A18,fc!A:AD,28,FALSE),"Not Found"))</f>
        <v>11.116666666666999</v>
      </c>
    </row>
    <row r="19" spans="1:14" x14ac:dyDescent="0.2">
      <c r="A19" t="s">
        <v>76</v>
      </c>
      <c r="B19" t="s">
        <v>203</v>
      </c>
      <c r="C19" t="s">
        <v>5</v>
      </c>
      <c r="D19">
        <v>3900</v>
      </c>
      <c r="E19">
        <v>9.5439652196587197</v>
      </c>
      <c r="F19">
        <v>7.61</v>
      </c>
      <c r="G19">
        <v>1.93396521965872</v>
      </c>
      <c r="H19">
        <v>2.4471705691432599</v>
      </c>
      <c r="I19">
        <v>2.3859913049146799</v>
      </c>
      <c r="J19">
        <v>28.859913049146801</v>
      </c>
      <c r="K19" t="s">
        <v>244</v>
      </c>
      <c r="L19">
        <f>IFERROR(VLOOKUP($A19,Actual!$A:$D,4,FALSE),IFERROR(VLOOKUP($A19,fc!$A:$AC,29,FALSE),"Not Found"))</f>
        <v>4.5</v>
      </c>
      <c r="M19">
        <f>IFERROR(VLOOKUP($A19,Actual!$A:$D,3,FALSE),"0")</f>
        <v>3.6499999999999998E-2</v>
      </c>
      <c r="N19">
        <f>IFERROR(VLOOKUP($A19,NHT!$B:$F,5,FALSE),IFERROR(VLOOKUP(A19,fc!A:AD,28,FALSE),"Not Found"))</f>
        <v>11.216666666667001</v>
      </c>
    </row>
    <row r="20" spans="1:14" x14ac:dyDescent="0.2">
      <c r="A20" t="s">
        <v>217</v>
      </c>
      <c r="B20" t="s">
        <v>203</v>
      </c>
      <c r="C20" t="s">
        <v>5</v>
      </c>
      <c r="D20">
        <v>2500</v>
      </c>
      <c r="E20">
        <v>3.2793758691387902</v>
      </c>
      <c r="F20">
        <v>2.74</v>
      </c>
      <c r="G20">
        <v>0.53937586913879798</v>
      </c>
      <c r="H20">
        <v>1.3117503476555099</v>
      </c>
      <c r="I20">
        <v>0.81984396728469899</v>
      </c>
      <c r="J20">
        <v>13.1984396728469</v>
      </c>
      <c r="K20" t="s">
        <v>244</v>
      </c>
      <c r="L20">
        <f>IFERROR(VLOOKUP($A20,Actual!$A:$D,4,FALSE),IFERROR(VLOOKUP($A20,fc!$A:$AC,29,FALSE),"Not Found"))</f>
        <v>1.5</v>
      </c>
      <c r="M20" t="str">
        <f>IFERROR(VLOOKUP($A20,Actual!$A:$D,3,FALSE),"0")</f>
        <v>0</v>
      </c>
      <c r="N20">
        <f>IFERROR(VLOOKUP($A20,NHT!$B:$F,5,FALSE),IFERROR(VLOOKUP(A20,fc!A:AD,28,FALSE),"Not Found"))</f>
        <v>11.4</v>
      </c>
    </row>
    <row r="21" spans="1:14" x14ac:dyDescent="0.2">
      <c r="A21" t="s">
        <v>100</v>
      </c>
      <c r="B21" t="s">
        <v>200</v>
      </c>
      <c r="C21" t="s">
        <v>5</v>
      </c>
      <c r="D21">
        <v>2800</v>
      </c>
      <c r="E21">
        <v>6.0564763967395496</v>
      </c>
      <c r="F21">
        <v>5.68</v>
      </c>
      <c r="G21">
        <v>0.37647639673955702</v>
      </c>
      <c r="H21">
        <v>2.1630272845498402</v>
      </c>
      <c r="I21">
        <v>1.5141190991848801</v>
      </c>
      <c r="J21">
        <v>20.141190991848799</v>
      </c>
      <c r="K21" t="s">
        <v>244</v>
      </c>
      <c r="L21">
        <f>IFERROR(VLOOKUP($A21,Actual!$A:$D,4,FALSE),IFERROR(VLOOKUP($A21,fc!$A:$AC,29,FALSE),"Not Found"))</f>
        <v>2.8</v>
      </c>
      <c r="M21">
        <f>IFERROR(VLOOKUP($A21,Actual!$A:$D,3,FALSE),"0")</f>
        <v>1.9599999999999999E-2</v>
      </c>
      <c r="N21">
        <f>IFERROR(VLOOKUP($A21,NHT!$B:$F,5,FALSE),IFERROR(VLOOKUP(A21,fc!A:AD,28,FALSE),"Not Found"))</f>
        <v>11.416666666667</v>
      </c>
    </row>
    <row r="22" spans="1:14" x14ac:dyDescent="0.2">
      <c r="A22" t="s">
        <v>130</v>
      </c>
      <c r="B22" t="s">
        <v>204</v>
      </c>
      <c r="C22" t="s">
        <v>5</v>
      </c>
      <c r="D22">
        <v>2600</v>
      </c>
      <c r="E22">
        <v>3.2839245552073901</v>
      </c>
      <c r="F22">
        <v>2.87</v>
      </c>
      <c r="G22">
        <v>0.41392455520739402</v>
      </c>
      <c r="H22">
        <v>1.2630479058489901</v>
      </c>
      <c r="I22">
        <v>0.82098113880184798</v>
      </c>
      <c r="J22">
        <v>13.2098113880184</v>
      </c>
      <c r="K22" t="s">
        <v>244</v>
      </c>
      <c r="L22">
        <f>IFERROR(VLOOKUP($A22,Actual!$A:$D,4,FALSE),IFERROR(VLOOKUP($A22,fc!$A:$AC,29,FALSE),"Not Found"))</f>
        <v>3</v>
      </c>
      <c r="M22">
        <f>IFERROR(VLOOKUP($A22,Actual!$A:$D,3,FALSE),"0")</f>
        <v>7.0000000000000001E-3</v>
      </c>
      <c r="N22">
        <f>IFERROR(VLOOKUP($A22,NHT!$B:$F,5,FALSE),IFERROR(VLOOKUP(A22,fc!A:AD,28,FALSE),"Not Found"))</f>
        <v>11.433333333333</v>
      </c>
    </row>
    <row r="23" spans="1:14" x14ac:dyDescent="0.2">
      <c r="A23" t="s">
        <v>112</v>
      </c>
      <c r="B23" t="s">
        <v>200</v>
      </c>
      <c r="C23" t="s">
        <v>5</v>
      </c>
      <c r="D23">
        <v>2500</v>
      </c>
      <c r="E23">
        <v>5.2194585049281397</v>
      </c>
      <c r="F23">
        <v>5.4</v>
      </c>
      <c r="G23">
        <v>-0.18054149507185399</v>
      </c>
      <c r="H23">
        <v>2.08778340197125</v>
      </c>
      <c r="I23">
        <v>1.30486462623203</v>
      </c>
      <c r="J23">
        <v>18.0486462623203</v>
      </c>
      <c r="K23" t="s">
        <v>244</v>
      </c>
      <c r="L23">
        <f>IFERROR(VLOOKUP($A23,Actual!$A:$D,4,FALSE),IFERROR(VLOOKUP($A23,fc!$A:$AC,29,FALSE),"Not Found"))</f>
        <v>0</v>
      </c>
      <c r="M23">
        <f>IFERROR(VLOOKUP($A23,Actual!$A:$D,3,FALSE),"0")</f>
        <v>1.4E-2</v>
      </c>
      <c r="N23">
        <f>IFERROR(VLOOKUP($A23,NHT!$B:$F,5,FALSE),IFERROR(VLOOKUP(A23,fc!A:AD,28,FALSE),"Not Found"))</f>
        <v>11.516666666667</v>
      </c>
    </row>
    <row r="24" spans="1:14" x14ac:dyDescent="0.2">
      <c r="A24" t="s">
        <v>231</v>
      </c>
      <c r="B24" t="s">
        <v>214</v>
      </c>
      <c r="C24" t="s">
        <v>9</v>
      </c>
      <c r="D24">
        <v>2500</v>
      </c>
      <c r="E24">
        <v>4.0019468630184001</v>
      </c>
      <c r="F24">
        <v>2.88</v>
      </c>
      <c r="G24">
        <v>1.1219468630184</v>
      </c>
      <c r="H24">
        <v>1.6007787452073601</v>
      </c>
      <c r="I24">
        <v>1.0004867157546</v>
      </c>
      <c r="J24">
        <v>15.004867157546</v>
      </c>
      <c r="K24" t="s">
        <v>244</v>
      </c>
      <c r="L24">
        <f>IFERROR(VLOOKUP($A24,Actual!$A:$D,4,FALSE),IFERROR(VLOOKUP($A24,fc!$A:$AC,29,FALSE),"Not Found"))</f>
        <v>0</v>
      </c>
      <c r="M24" t="str">
        <f>IFERROR(VLOOKUP($A24,Actual!$A:$D,3,FALSE),"0")</f>
        <v>0</v>
      </c>
      <c r="N24">
        <f>IFERROR(VLOOKUP($A24,NHT!$B:$F,5,FALSE),IFERROR(VLOOKUP(A24,fc!A:AD,28,FALSE),"Not Found"))</f>
        <v>11.75</v>
      </c>
    </row>
    <row r="25" spans="1:14" x14ac:dyDescent="0.2">
      <c r="A25" t="s">
        <v>225</v>
      </c>
      <c r="B25" t="s">
        <v>206</v>
      </c>
      <c r="C25" t="s">
        <v>5</v>
      </c>
      <c r="D25">
        <v>2500</v>
      </c>
      <c r="E25">
        <v>3.3874150400198801</v>
      </c>
      <c r="F25">
        <v>2.5299999999999998</v>
      </c>
      <c r="G25">
        <v>0.857415040019883</v>
      </c>
      <c r="H25">
        <v>1.35496601600795</v>
      </c>
      <c r="I25">
        <v>0.84685376000497004</v>
      </c>
      <c r="J25">
        <v>13.4685376000497</v>
      </c>
      <c r="K25" t="s">
        <v>244</v>
      </c>
      <c r="L25">
        <f>IFERROR(VLOOKUP($A25,Actual!$A:$D,4,FALSE),IFERROR(VLOOKUP($A25,fc!$A:$AC,29,FALSE),"Not Found"))</f>
        <v>0</v>
      </c>
      <c r="M25" t="str">
        <f>IFERROR(VLOOKUP($A25,Actual!$A:$D,3,FALSE),"0")</f>
        <v>0</v>
      </c>
      <c r="N25">
        <f>IFERROR(VLOOKUP($A25,NHT!$B:$F,5,FALSE),IFERROR(VLOOKUP(A25,fc!A:AD,28,FALSE),"Not Found"))</f>
        <v>12.2</v>
      </c>
    </row>
    <row r="26" spans="1:14" x14ac:dyDescent="0.2">
      <c r="A26" t="s">
        <v>208</v>
      </c>
      <c r="B26" t="s">
        <v>207</v>
      </c>
      <c r="C26" t="s">
        <v>12</v>
      </c>
      <c r="D26">
        <v>2500</v>
      </c>
      <c r="E26">
        <v>4.8462801307115999</v>
      </c>
      <c r="F26">
        <v>2.64</v>
      </c>
      <c r="G26">
        <v>2.2062801307115998</v>
      </c>
      <c r="H26">
        <v>1.93851205228464</v>
      </c>
      <c r="I26">
        <v>1.2115700326779</v>
      </c>
      <c r="J26">
        <v>17.115700326778999</v>
      </c>
      <c r="K26" t="s">
        <v>244</v>
      </c>
      <c r="L26">
        <f>IFERROR(VLOOKUP($A26,Actual!$A:$D,4,FALSE),IFERROR(VLOOKUP($A26,fc!$A:$AC,29,FALSE),"Not Found"))</f>
        <v>7.8</v>
      </c>
      <c r="M26" t="str">
        <f>IFERROR(VLOOKUP($A26,Actual!$A:$D,3,FALSE),"0")</f>
        <v>0</v>
      </c>
      <c r="N26">
        <f>IFERROR(VLOOKUP($A26,NHT!$B:$F,5,FALSE),IFERROR(VLOOKUP(A26,fc!A:AD,28,FALSE),"Not Found"))</f>
        <v>12.55</v>
      </c>
    </row>
    <row r="27" spans="1:14" x14ac:dyDescent="0.2">
      <c r="A27" t="s">
        <v>230</v>
      </c>
      <c r="B27" t="s">
        <v>206</v>
      </c>
      <c r="C27" t="s">
        <v>5</v>
      </c>
      <c r="D27">
        <v>2500</v>
      </c>
      <c r="E27">
        <v>4.1110086897385099</v>
      </c>
      <c r="F27">
        <v>3.68</v>
      </c>
      <c r="G27">
        <v>0.43100868973851603</v>
      </c>
      <c r="H27">
        <v>1.6444034758954</v>
      </c>
      <c r="I27">
        <v>1.0277521724346199</v>
      </c>
      <c r="J27">
        <v>15.277521724346199</v>
      </c>
      <c r="K27" t="s">
        <v>244</v>
      </c>
      <c r="L27">
        <f>IFERROR(VLOOKUP($A27,Actual!$A:$D,4,FALSE),IFERROR(VLOOKUP($A27,fc!$A:$AC,29,FALSE),"Not Found"))</f>
        <v>1.5</v>
      </c>
      <c r="M27" t="str">
        <f>IFERROR(VLOOKUP($A27,Actual!$A:$D,3,FALSE),"0")</f>
        <v>0</v>
      </c>
      <c r="N27">
        <f>IFERROR(VLOOKUP($A27,NHT!$B:$F,5,FALSE),IFERROR(VLOOKUP(A27,fc!A:AD,28,FALSE),"Not Found"))</f>
        <v>12.65</v>
      </c>
    </row>
    <row r="28" spans="1:14" x14ac:dyDescent="0.2">
      <c r="A28" t="s">
        <v>140</v>
      </c>
      <c r="B28" t="s">
        <v>214</v>
      </c>
      <c r="C28" t="s">
        <v>12</v>
      </c>
      <c r="D28">
        <v>2500</v>
      </c>
      <c r="E28">
        <v>5.5297360300303904</v>
      </c>
      <c r="F28">
        <v>4.03</v>
      </c>
      <c r="G28">
        <v>1.4997360300303899</v>
      </c>
      <c r="H28">
        <v>2.2118944120121502</v>
      </c>
      <c r="I28">
        <v>1.38243400750759</v>
      </c>
      <c r="J28">
        <v>18.824340075075899</v>
      </c>
      <c r="K28" t="s">
        <v>244</v>
      </c>
      <c r="L28">
        <f>IFERROR(VLOOKUP($A28,Actual!$A:$D,4,FALSE),IFERROR(VLOOKUP($A28,fc!$A:$AC,29,FALSE),"Not Found"))</f>
        <v>0</v>
      </c>
      <c r="M28">
        <f>IFERROR(VLOOKUP($A28,Actual!$A:$D,3,FALSE),"0")</f>
        <v>2.8E-3</v>
      </c>
      <c r="N28">
        <f>IFERROR(VLOOKUP($A28,NHT!$B:$F,5,FALSE),IFERROR(VLOOKUP(A28,fc!A:AD,28,FALSE),"Not Found"))</f>
        <v>12.716666666667001</v>
      </c>
    </row>
    <row r="29" spans="1:14" x14ac:dyDescent="0.2">
      <c r="A29" t="s">
        <v>63</v>
      </c>
      <c r="B29" t="s">
        <v>245</v>
      </c>
      <c r="C29" t="s">
        <v>9</v>
      </c>
      <c r="D29">
        <v>3300</v>
      </c>
      <c r="E29">
        <v>7.85734604071585</v>
      </c>
      <c r="F29">
        <v>6.01</v>
      </c>
      <c r="G29">
        <v>1.84734604071585</v>
      </c>
      <c r="H29">
        <v>2.3810139517320699</v>
      </c>
      <c r="I29">
        <v>1.96433651017896</v>
      </c>
      <c r="J29">
        <v>24.643365101789598</v>
      </c>
      <c r="K29" t="s">
        <v>244</v>
      </c>
      <c r="L29">
        <f>IFERROR(VLOOKUP($A29,Actual!$A:$D,4,FALSE),IFERROR(VLOOKUP($A29,fc!$A:$AC,29,FALSE),"Not Found"))</f>
        <v>1.5</v>
      </c>
      <c r="M29">
        <f>IFERROR(VLOOKUP($A29,Actual!$A:$D,3,FALSE),"0")</f>
        <v>5.0500000000000003E-2</v>
      </c>
      <c r="N29">
        <f>IFERROR(VLOOKUP($A29,NHT!$B:$F,5,FALSE),IFERROR(VLOOKUP(A29,fc!A:AD,28,FALSE),"Not Found"))</f>
        <v>12.733333333333</v>
      </c>
    </row>
    <row r="30" spans="1:14" x14ac:dyDescent="0.2">
      <c r="A30" t="s">
        <v>8</v>
      </c>
      <c r="B30" t="s">
        <v>200</v>
      </c>
      <c r="C30" t="s">
        <v>9</v>
      </c>
      <c r="D30">
        <v>4400</v>
      </c>
      <c r="E30">
        <v>10.81624587962</v>
      </c>
      <c r="F30">
        <v>9.6199999999999992</v>
      </c>
      <c r="G30">
        <v>1.1962458796200499</v>
      </c>
      <c r="H30">
        <v>2.4582376999136399</v>
      </c>
      <c r="I30">
        <v>2.7040614699050098</v>
      </c>
      <c r="J30">
        <v>32.040614699050103</v>
      </c>
      <c r="K30" t="s">
        <v>244</v>
      </c>
      <c r="L30">
        <f>IFERROR(VLOOKUP($A30,Actual!$A:$D,4,FALSE),IFERROR(VLOOKUP($A30,fc!$A:$AC,29,FALSE),"Not Found"))</f>
        <v>0</v>
      </c>
      <c r="M30">
        <f>IFERROR(VLOOKUP($A30,Actual!$A:$D,3,FALSE),"0")</f>
        <v>0.31140000000000001</v>
      </c>
      <c r="N30">
        <f>IFERROR(VLOOKUP($A30,NHT!$B:$F,5,FALSE),IFERROR(VLOOKUP(A30,fc!A:AD,28,FALSE),"Not Found"))</f>
        <v>12.75</v>
      </c>
    </row>
    <row r="31" spans="1:14" x14ac:dyDescent="0.2">
      <c r="A31" t="s">
        <v>131</v>
      </c>
      <c r="B31" t="s">
        <v>211</v>
      </c>
      <c r="C31" t="s">
        <v>9</v>
      </c>
      <c r="D31">
        <v>2700</v>
      </c>
      <c r="E31">
        <v>4.8741856083753401</v>
      </c>
      <c r="F31">
        <v>5</v>
      </c>
      <c r="G31">
        <v>-0.12581439162465899</v>
      </c>
      <c r="H31">
        <v>1.8052539290278999</v>
      </c>
      <c r="I31">
        <v>1.2185464020938299</v>
      </c>
      <c r="J31">
        <v>17.185464020938301</v>
      </c>
      <c r="K31" t="s">
        <v>244</v>
      </c>
      <c r="L31">
        <f>IFERROR(VLOOKUP($A31,Actual!$A:$D,4,FALSE),IFERROR(VLOOKUP($A31,fc!$A:$AC,29,FALSE),"Not Found"))</f>
        <v>3</v>
      </c>
      <c r="M31">
        <f>IFERROR(VLOOKUP($A31,Actual!$A:$D,3,FALSE),"0")</f>
        <v>7.0000000000000001E-3</v>
      </c>
      <c r="N31">
        <f>IFERROR(VLOOKUP($A31,NHT!$B:$F,5,FALSE),IFERROR(VLOOKUP(A31,fc!A:AD,28,FALSE),"Not Found"))</f>
        <v>12.833333333333</v>
      </c>
    </row>
    <row r="32" spans="1:14" x14ac:dyDescent="0.2">
      <c r="A32" t="s">
        <v>228</v>
      </c>
      <c r="B32" t="s">
        <v>204</v>
      </c>
      <c r="C32" t="s">
        <v>12</v>
      </c>
      <c r="D32">
        <v>2500</v>
      </c>
      <c r="E32">
        <v>6.1603729424133702</v>
      </c>
      <c r="F32">
        <v>5.54</v>
      </c>
      <c r="G32">
        <v>0.62037294241337204</v>
      </c>
      <c r="H32">
        <v>2.4641491769653401</v>
      </c>
      <c r="I32">
        <v>1.5400932356033401</v>
      </c>
      <c r="J32">
        <v>20.400932356033401</v>
      </c>
      <c r="K32" t="s">
        <v>244</v>
      </c>
      <c r="L32">
        <f>IFERROR(VLOOKUP($A32,Actual!$A:$D,4,FALSE),IFERROR(VLOOKUP($A32,fc!$A:$AC,29,FALSE),"Not Found"))</f>
        <v>3</v>
      </c>
      <c r="M32" t="str">
        <f>IFERROR(VLOOKUP($A32,Actual!$A:$D,3,FALSE),"0")</f>
        <v>0</v>
      </c>
      <c r="N32">
        <f>IFERROR(VLOOKUP($A32,NHT!$B:$F,5,FALSE),IFERROR(VLOOKUP(A32,fc!A:AD,28,FALSE),"Not Found"))</f>
        <v>12.883333333333001</v>
      </c>
    </row>
    <row r="33" spans="1:14" x14ac:dyDescent="0.2">
      <c r="A33" t="s">
        <v>60</v>
      </c>
      <c r="B33" t="s">
        <v>211</v>
      </c>
      <c r="C33" t="s">
        <v>9</v>
      </c>
      <c r="D33">
        <v>3100</v>
      </c>
      <c r="E33">
        <v>6.5187320677268401</v>
      </c>
      <c r="F33">
        <v>6.05</v>
      </c>
      <c r="G33">
        <v>0.46873206772684101</v>
      </c>
      <c r="H33">
        <v>2.1028167960409099</v>
      </c>
      <c r="I33">
        <v>1.62968301693171</v>
      </c>
      <c r="J33">
        <v>21.296830169317101</v>
      </c>
      <c r="K33" t="s">
        <v>244</v>
      </c>
      <c r="L33">
        <f>IFERROR(VLOOKUP($A33,Actual!$A:$D,4,FALSE),IFERROR(VLOOKUP($A33,fc!$A:$AC,29,FALSE),"Not Found"))</f>
        <v>6</v>
      </c>
      <c r="M33">
        <f>IFERROR(VLOOKUP($A33,Actual!$A:$D,3,FALSE),"0")</f>
        <v>5.1900000000000002E-2</v>
      </c>
      <c r="N33">
        <f>IFERROR(VLOOKUP($A33,NHT!$B:$F,5,FALSE),IFERROR(VLOOKUP(A33,fc!A:AD,28,FALSE),"Not Found"))</f>
        <v>12.916666666667</v>
      </c>
    </row>
    <row r="34" spans="1:14" x14ac:dyDescent="0.2">
      <c r="A34" t="s">
        <v>97</v>
      </c>
      <c r="B34" t="s">
        <v>211</v>
      </c>
      <c r="C34" t="s">
        <v>5</v>
      </c>
      <c r="D34">
        <v>2600</v>
      </c>
      <c r="E34">
        <v>4.9916689619316204</v>
      </c>
      <c r="F34">
        <v>5.25</v>
      </c>
      <c r="G34">
        <v>-0.25833103806837099</v>
      </c>
      <c r="H34">
        <v>1.91987267766601</v>
      </c>
      <c r="I34">
        <v>1.2479172404829</v>
      </c>
      <c r="J34">
        <v>17.479172404829001</v>
      </c>
      <c r="K34" t="s">
        <v>244</v>
      </c>
      <c r="L34">
        <f>IFERROR(VLOOKUP($A34,Actual!$A:$D,4,FALSE),IFERROR(VLOOKUP($A34,fc!$A:$AC,29,FALSE),"Not Found"))</f>
        <v>4.5</v>
      </c>
      <c r="M34">
        <f>IFERROR(VLOOKUP($A34,Actual!$A:$D,3,FALSE),"0")</f>
        <v>2.24E-2</v>
      </c>
      <c r="N34">
        <f>IFERROR(VLOOKUP($A34,NHT!$B:$F,5,FALSE),IFERROR(VLOOKUP(A34,fc!A:AD,28,FALSE),"Not Found"))</f>
        <v>13.216666666667001</v>
      </c>
    </row>
    <row r="35" spans="1:14" x14ac:dyDescent="0.2">
      <c r="A35" t="s">
        <v>83</v>
      </c>
      <c r="B35" t="s">
        <v>245</v>
      </c>
      <c r="C35" t="s">
        <v>5</v>
      </c>
      <c r="D35">
        <v>2700</v>
      </c>
      <c r="E35">
        <v>5.2345528924274101</v>
      </c>
      <c r="F35">
        <v>4.21</v>
      </c>
      <c r="G35">
        <v>1.0245528924274101</v>
      </c>
      <c r="H35">
        <v>1.9387232934916301</v>
      </c>
      <c r="I35">
        <v>1.3086382231068501</v>
      </c>
      <c r="J35">
        <v>18.086382231068502</v>
      </c>
      <c r="K35" t="s">
        <v>244</v>
      </c>
      <c r="L35">
        <f>IFERROR(VLOOKUP($A35,Actual!$A:$D,4,FALSE),IFERROR(VLOOKUP($A35,fc!$A:$AC,29,FALSE),"Not Found"))</f>
        <v>6</v>
      </c>
      <c r="M35">
        <f>IFERROR(VLOOKUP($A35,Actual!$A:$D,3,FALSE),"0")</f>
        <v>3.09E-2</v>
      </c>
      <c r="N35">
        <f>IFERROR(VLOOKUP($A35,NHT!$B:$F,5,FALSE),IFERROR(VLOOKUP(A35,fc!A:AD,28,FALSE),"Not Found"))</f>
        <v>13.233333333333</v>
      </c>
    </row>
    <row r="36" spans="1:14" x14ac:dyDescent="0.2">
      <c r="A36" t="s">
        <v>223</v>
      </c>
      <c r="B36" t="s">
        <v>211</v>
      </c>
      <c r="C36" t="s">
        <v>12</v>
      </c>
      <c r="D36">
        <v>2500</v>
      </c>
      <c r="E36">
        <v>4.7291392378448904</v>
      </c>
      <c r="F36">
        <v>3.39</v>
      </c>
      <c r="G36">
        <v>1.3391392378448901</v>
      </c>
      <c r="H36">
        <v>1.89165569513795</v>
      </c>
      <c r="I36">
        <v>1.1822848094612199</v>
      </c>
      <c r="J36">
        <v>16.822848094612201</v>
      </c>
      <c r="K36" t="s">
        <v>244</v>
      </c>
      <c r="L36">
        <f>IFERROR(VLOOKUP($A36,Actual!$A:$D,4,FALSE),IFERROR(VLOOKUP($A36,fc!$A:$AC,29,FALSE),"Not Found"))</f>
        <v>0</v>
      </c>
      <c r="M36" t="str">
        <f>IFERROR(VLOOKUP($A36,Actual!$A:$D,3,FALSE),"0")</f>
        <v>0</v>
      </c>
      <c r="N36">
        <f>IFERROR(VLOOKUP($A36,NHT!$B:$F,5,FALSE),IFERROR(VLOOKUP(A36,fc!A:AD,28,FALSE),"Not Found"))</f>
        <v>13.383333333333001</v>
      </c>
    </row>
    <row r="37" spans="1:14" x14ac:dyDescent="0.2">
      <c r="A37" t="s">
        <v>113</v>
      </c>
      <c r="B37" t="s">
        <v>207</v>
      </c>
      <c r="C37" t="s">
        <v>5</v>
      </c>
      <c r="D37">
        <v>2700</v>
      </c>
      <c r="E37">
        <v>5.1253080413475702</v>
      </c>
      <c r="F37">
        <v>4.45</v>
      </c>
      <c r="G37">
        <v>0.67530804134757005</v>
      </c>
      <c r="H37">
        <v>1.89826223753613</v>
      </c>
      <c r="I37">
        <v>1.2813270103368899</v>
      </c>
      <c r="J37">
        <v>17.8132701033689</v>
      </c>
      <c r="K37" t="s">
        <v>244</v>
      </c>
      <c r="L37">
        <f>IFERROR(VLOOKUP($A37,Actual!$A:$D,4,FALSE),IFERROR(VLOOKUP($A37,fc!$A:$AC,29,FALSE),"Not Found"))</f>
        <v>7.8</v>
      </c>
      <c r="M37">
        <f>IFERROR(VLOOKUP($A37,Actual!$A:$D,3,FALSE),"0")</f>
        <v>1.26E-2</v>
      </c>
      <c r="N37">
        <f>IFERROR(VLOOKUP($A37,NHT!$B:$F,5,FALSE),IFERROR(VLOOKUP(A37,fc!A:AD,28,FALSE),"Not Found"))</f>
        <v>13.483333333333</v>
      </c>
    </row>
    <row r="38" spans="1:14" x14ac:dyDescent="0.2">
      <c r="A38" t="s">
        <v>115</v>
      </c>
      <c r="B38" t="s">
        <v>206</v>
      </c>
      <c r="C38" t="s">
        <v>5</v>
      </c>
      <c r="D38">
        <v>3600</v>
      </c>
      <c r="E38">
        <v>6.40407805013922</v>
      </c>
      <c r="F38">
        <v>5.97</v>
      </c>
      <c r="G38">
        <v>0.43407805013922102</v>
      </c>
      <c r="H38">
        <v>1.77891056948311</v>
      </c>
      <c r="I38">
        <v>1.6010195125347999</v>
      </c>
      <c r="J38">
        <v>21.010195125348002</v>
      </c>
      <c r="K38" t="s">
        <v>244</v>
      </c>
      <c r="L38">
        <f>IFERROR(VLOOKUP($A38,Actual!$A:$D,4,FALSE),IFERROR(VLOOKUP($A38,fc!$A:$AC,29,FALSE),"Not Found"))</f>
        <v>23.3</v>
      </c>
      <c r="M38">
        <f>IFERROR(VLOOKUP($A38,Actual!$A:$D,3,FALSE),"0")</f>
        <v>1.26E-2</v>
      </c>
      <c r="N38">
        <f>IFERROR(VLOOKUP($A38,NHT!$B:$F,5,FALSE),IFERROR(VLOOKUP(A38,fc!A:AD,28,FALSE),"Not Found"))</f>
        <v>13.5</v>
      </c>
    </row>
    <row r="39" spans="1:14" x14ac:dyDescent="0.2">
      <c r="A39" t="s">
        <v>91</v>
      </c>
      <c r="B39" t="s">
        <v>211</v>
      </c>
      <c r="C39" t="s">
        <v>12</v>
      </c>
      <c r="D39">
        <v>2600</v>
      </c>
      <c r="E39">
        <v>4.9516691604128198</v>
      </c>
      <c r="F39">
        <v>6.08</v>
      </c>
      <c r="G39">
        <v>-1.1283308395871701</v>
      </c>
      <c r="H39">
        <v>1.9044881386203101</v>
      </c>
      <c r="I39">
        <v>1.2379172901032001</v>
      </c>
      <c r="J39">
        <v>17.379172901032</v>
      </c>
      <c r="K39" t="s">
        <v>244</v>
      </c>
      <c r="L39">
        <f>IFERROR(VLOOKUP($A39,Actual!$A:$D,4,FALSE),IFERROR(VLOOKUP($A39,fc!$A:$AC,29,FALSE),"Not Found"))</f>
        <v>1.5</v>
      </c>
      <c r="M39">
        <f>IFERROR(VLOOKUP($A39,Actual!$A:$D,3,FALSE),"0")</f>
        <v>2.3800000000000002E-2</v>
      </c>
      <c r="N39">
        <f>IFERROR(VLOOKUP($A39,NHT!$B:$F,5,FALSE),IFERROR(VLOOKUP(A39,fc!A:AD,28,FALSE),"Not Found"))</f>
        <v>13.666666666667</v>
      </c>
    </row>
    <row r="40" spans="1:14" x14ac:dyDescent="0.2">
      <c r="A40" t="s">
        <v>22</v>
      </c>
      <c r="B40" t="s">
        <v>200</v>
      </c>
      <c r="C40" t="s">
        <v>5</v>
      </c>
      <c r="D40">
        <v>2600</v>
      </c>
      <c r="E40">
        <v>6.7788597085650499</v>
      </c>
      <c r="F40">
        <v>5.94</v>
      </c>
      <c r="G40">
        <v>0.83885970856505798</v>
      </c>
      <c r="H40">
        <v>2.6072537340634798</v>
      </c>
      <c r="I40">
        <v>1.69471492714126</v>
      </c>
      <c r="J40">
        <v>21.947149271412599</v>
      </c>
      <c r="K40" t="s">
        <v>244</v>
      </c>
      <c r="L40">
        <f>IFERROR(VLOOKUP($A40,Actual!$A:$D,4,FALSE),IFERROR(VLOOKUP($A40,fc!$A:$AC,29,FALSE),"Not Found"))</f>
        <v>1.5</v>
      </c>
      <c r="M40">
        <f>IFERROR(VLOOKUP($A40,Actual!$A:$D,3,FALSE),"0")</f>
        <v>0.15570000000000001</v>
      </c>
      <c r="N40">
        <f>IFERROR(VLOOKUP($A40,NHT!$B:$F,5,FALSE),IFERROR(VLOOKUP(A40,fc!A:AD,28,FALSE),"Not Found"))</f>
        <v>13.75</v>
      </c>
    </row>
    <row r="41" spans="1:14" x14ac:dyDescent="0.2">
      <c r="A41" t="s">
        <v>216</v>
      </c>
      <c r="B41" t="s">
        <v>203</v>
      </c>
      <c r="C41" t="s">
        <v>5</v>
      </c>
      <c r="D41">
        <v>2500</v>
      </c>
      <c r="E41">
        <v>3.3707566376201998</v>
      </c>
      <c r="F41">
        <v>2.7</v>
      </c>
      <c r="G41">
        <v>0.67075663762019899</v>
      </c>
      <c r="H41">
        <v>1.3483026550480799</v>
      </c>
      <c r="I41">
        <v>0.84268915940504996</v>
      </c>
      <c r="J41">
        <v>13.426891594050399</v>
      </c>
      <c r="K41" t="s">
        <v>244</v>
      </c>
      <c r="L41">
        <f>IFERROR(VLOOKUP($A41,Actual!$A:$D,4,FALSE),IFERROR(VLOOKUP($A41,fc!$A:$AC,29,FALSE),"Not Found"))</f>
        <v>0</v>
      </c>
      <c r="M41" t="str">
        <f>IFERROR(VLOOKUP($A41,Actual!$A:$D,3,FALSE),"0")</f>
        <v>0</v>
      </c>
      <c r="N41">
        <f>IFERROR(VLOOKUP($A41,NHT!$B:$F,5,FALSE),IFERROR(VLOOKUP(A41,fc!A:AD,28,FALSE),"Not Found"))</f>
        <v>13.766666666667</v>
      </c>
    </row>
    <row r="42" spans="1:14" x14ac:dyDescent="0.2">
      <c r="A42" t="s">
        <v>166</v>
      </c>
      <c r="B42" t="s">
        <v>211</v>
      </c>
      <c r="C42" t="s">
        <v>5</v>
      </c>
      <c r="D42">
        <v>2500</v>
      </c>
      <c r="E42">
        <v>3.4653118956150801</v>
      </c>
      <c r="F42">
        <v>3.82</v>
      </c>
      <c r="G42">
        <v>-0.35468810438491299</v>
      </c>
      <c r="H42">
        <v>1.3861247582460301</v>
      </c>
      <c r="I42">
        <v>0.86632797390377103</v>
      </c>
      <c r="J42">
        <v>13.6632797390377</v>
      </c>
      <c r="K42" t="s">
        <v>244</v>
      </c>
      <c r="L42">
        <f>IFERROR(VLOOKUP($A42,Actual!$A:$D,4,FALSE),IFERROR(VLOOKUP($A42,fc!$A:$AC,29,FALSE),"Not Found"))</f>
        <v>0</v>
      </c>
      <c r="M42">
        <f>IFERROR(VLOOKUP($A42,Actual!$A:$D,3,FALSE),"0")</f>
        <v>1.4E-3</v>
      </c>
      <c r="N42">
        <f>IFERROR(VLOOKUP($A42,NHT!$B:$F,5,FALSE),IFERROR(VLOOKUP(A42,fc!A:AD,28,FALSE),"Not Found"))</f>
        <v>13.783333333332999</v>
      </c>
    </row>
    <row r="43" spans="1:14" x14ac:dyDescent="0.2">
      <c r="A43" t="s">
        <v>96</v>
      </c>
      <c r="B43" t="s">
        <v>206</v>
      </c>
      <c r="C43" t="s">
        <v>9</v>
      </c>
      <c r="D43">
        <v>5300</v>
      </c>
      <c r="E43">
        <v>10.3071442314422</v>
      </c>
      <c r="F43">
        <v>8.4600000000000009</v>
      </c>
      <c r="G43">
        <v>1.8471442314422699</v>
      </c>
      <c r="H43">
        <v>1.9447441946117501</v>
      </c>
      <c r="I43">
        <v>2.5767860578605699</v>
      </c>
      <c r="J43">
        <v>30.767860578605699</v>
      </c>
      <c r="K43" t="s">
        <v>244</v>
      </c>
      <c r="L43">
        <f>IFERROR(VLOOKUP($A43,Actual!$A:$D,4,FALSE),IFERROR(VLOOKUP($A43,fc!$A:$AC,29,FALSE),"Not Found"))</f>
        <v>9.5</v>
      </c>
      <c r="M43">
        <f>IFERROR(VLOOKUP($A43,Actual!$A:$D,3,FALSE),"0")</f>
        <v>2.24E-2</v>
      </c>
      <c r="N43">
        <f>IFERROR(VLOOKUP($A43,NHT!$B:$F,5,FALSE),IFERROR(VLOOKUP(A43,fc!A:AD,28,FALSE),"Not Found"))</f>
        <v>13.9</v>
      </c>
    </row>
    <row r="44" spans="1:14" x14ac:dyDescent="0.2">
      <c r="A44" t="s">
        <v>224</v>
      </c>
      <c r="B44" t="s">
        <v>206</v>
      </c>
      <c r="C44" t="s">
        <v>12</v>
      </c>
      <c r="D44">
        <v>2500</v>
      </c>
      <c r="E44">
        <v>3.77734813708213</v>
      </c>
      <c r="F44">
        <v>2.2999999999999998</v>
      </c>
      <c r="G44">
        <v>1.47734813708213</v>
      </c>
      <c r="H44">
        <v>1.51093925483285</v>
      </c>
      <c r="I44">
        <v>0.94433703427053395</v>
      </c>
      <c r="J44">
        <v>14.4433703427053</v>
      </c>
      <c r="K44" t="s">
        <v>244</v>
      </c>
      <c r="L44">
        <f>IFERROR(VLOOKUP($A44,Actual!$A:$D,4,FALSE),IFERROR(VLOOKUP($A44,fc!$A:$AC,29,FALSE),"Not Found"))</f>
        <v>1.3</v>
      </c>
      <c r="M44" t="str">
        <f>IFERROR(VLOOKUP($A44,Actual!$A:$D,3,FALSE),"0")</f>
        <v>0</v>
      </c>
      <c r="N44">
        <f>IFERROR(VLOOKUP($A44,NHT!$B:$F,5,FALSE),IFERROR(VLOOKUP(A44,fc!A:AD,28,FALSE),"Not Found"))</f>
        <v>14.283333333332999</v>
      </c>
    </row>
    <row r="45" spans="1:14" x14ac:dyDescent="0.2">
      <c r="A45" t="s">
        <v>89</v>
      </c>
      <c r="B45" t="s">
        <v>211</v>
      </c>
      <c r="C45" t="s">
        <v>9</v>
      </c>
      <c r="D45">
        <v>4300</v>
      </c>
      <c r="E45">
        <v>9.0231894946598192</v>
      </c>
      <c r="F45">
        <v>8.24</v>
      </c>
      <c r="G45">
        <v>0.78318949465982701</v>
      </c>
      <c r="H45">
        <v>2.0984161615487902</v>
      </c>
      <c r="I45">
        <v>2.2557973736649499</v>
      </c>
      <c r="J45">
        <v>27.557973736649501</v>
      </c>
      <c r="K45" t="s">
        <v>244</v>
      </c>
      <c r="L45">
        <f>IFERROR(VLOOKUP($A45,Actual!$A:$D,4,FALSE),IFERROR(VLOOKUP($A45,fc!$A:$AC,29,FALSE),"Not Found"))</f>
        <v>4.3</v>
      </c>
      <c r="M45">
        <f>IFERROR(VLOOKUP($A45,Actual!$A:$D,3,FALSE),"0")</f>
        <v>2.6599999999999999E-2</v>
      </c>
      <c r="N45">
        <f>IFERROR(VLOOKUP($A45,NHT!$B:$F,5,FALSE),IFERROR(VLOOKUP(A45,fc!A:AD,28,FALSE),"Not Found"))</f>
        <v>14.45</v>
      </c>
    </row>
    <row r="46" spans="1:14" x14ac:dyDescent="0.2">
      <c r="A46" t="s">
        <v>129</v>
      </c>
      <c r="B46" t="s">
        <v>245</v>
      </c>
      <c r="C46" t="s">
        <v>9</v>
      </c>
      <c r="D46">
        <v>2800</v>
      </c>
      <c r="E46">
        <v>6.7171363607792296</v>
      </c>
      <c r="F46">
        <v>5.1100000000000003</v>
      </c>
      <c r="G46">
        <v>1.6071363607792299</v>
      </c>
      <c r="H46">
        <v>2.3989772717068698</v>
      </c>
      <c r="I46">
        <v>1.6792840901948001</v>
      </c>
      <c r="J46">
        <v>21.792840901948001</v>
      </c>
      <c r="K46" t="s">
        <v>244</v>
      </c>
      <c r="L46">
        <f>IFERROR(VLOOKUP($A46,Actual!$A:$D,4,FALSE),IFERROR(VLOOKUP($A46,fc!$A:$AC,29,FALSE),"Not Found"))</f>
        <v>1.5</v>
      </c>
      <c r="M46">
        <f>IFERROR(VLOOKUP($A46,Actual!$A:$D,3,FALSE),"0")</f>
        <v>7.0000000000000001E-3</v>
      </c>
      <c r="N46">
        <f>IFERROR(VLOOKUP($A46,NHT!$B:$F,5,FALSE),IFERROR(VLOOKUP(A46,fc!A:AD,28,FALSE),"Not Found"))</f>
        <v>14.633333333333001</v>
      </c>
    </row>
    <row r="47" spans="1:14" x14ac:dyDescent="0.2">
      <c r="A47" t="s">
        <v>70</v>
      </c>
      <c r="B47" t="s">
        <v>214</v>
      </c>
      <c r="C47" t="s">
        <v>5</v>
      </c>
      <c r="D47">
        <v>2700</v>
      </c>
      <c r="E47">
        <v>6.41446433604413</v>
      </c>
      <c r="F47">
        <v>5.53</v>
      </c>
      <c r="G47">
        <v>0.88446433604413099</v>
      </c>
      <c r="H47">
        <v>2.3757275318681899</v>
      </c>
      <c r="I47">
        <v>1.6036160840110301</v>
      </c>
      <c r="J47">
        <v>21.036160840110298</v>
      </c>
      <c r="K47" t="s">
        <v>244</v>
      </c>
      <c r="L47">
        <f>IFERROR(VLOOKUP($A47,Actual!$A:$D,4,FALSE),IFERROR(VLOOKUP($A47,fc!$A:$AC,29,FALSE),"Not Found"))</f>
        <v>1.5</v>
      </c>
      <c r="M47">
        <f>IFERROR(VLOOKUP($A47,Actual!$A:$D,3,FALSE),"0")</f>
        <v>4.3499999999999997E-2</v>
      </c>
      <c r="N47">
        <f>IFERROR(VLOOKUP($A47,NHT!$B:$F,5,FALSE),IFERROR(VLOOKUP(A47,fc!A:AD,28,FALSE),"Not Found"))</f>
        <v>14.683333333333</v>
      </c>
    </row>
    <row r="48" spans="1:14" x14ac:dyDescent="0.2">
      <c r="A48" t="s">
        <v>78</v>
      </c>
      <c r="B48" t="s">
        <v>206</v>
      </c>
      <c r="C48" t="s">
        <v>9</v>
      </c>
      <c r="D48">
        <v>3200</v>
      </c>
      <c r="E48">
        <v>6.4894088314392899</v>
      </c>
      <c r="F48">
        <v>5.2</v>
      </c>
      <c r="G48">
        <v>1.28940883143929</v>
      </c>
      <c r="H48">
        <v>2.0279402598247702</v>
      </c>
      <c r="I48">
        <v>1.62235220785982</v>
      </c>
      <c r="J48">
        <v>21.223522078598201</v>
      </c>
      <c r="K48" t="s">
        <v>244</v>
      </c>
      <c r="L48">
        <f>IFERROR(VLOOKUP($A48,Actual!$A:$D,4,FALSE),IFERROR(VLOOKUP($A48,fc!$A:$AC,29,FALSE),"Not Found"))</f>
        <v>4.5</v>
      </c>
      <c r="M48">
        <f>IFERROR(VLOOKUP($A48,Actual!$A:$D,3,FALSE),"0")</f>
        <v>3.3700000000000001E-2</v>
      </c>
      <c r="N48">
        <f>IFERROR(VLOOKUP($A48,NHT!$B:$F,5,FALSE),IFERROR(VLOOKUP(A48,fc!A:AD,28,FALSE),"Not Found"))</f>
        <v>14.8</v>
      </c>
    </row>
    <row r="49" spans="1:14" x14ac:dyDescent="0.2">
      <c r="A49" t="s">
        <v>44</v>
      </c>
      <c r="B49" t="s">
        <v>200</v>
      </c>
      <c r="C49" t="s">
        <v>12</v>
      </c>
      <c r="D49">
        <v>2600</v>
      </c>
      <c r="E49">
        <v>6.9553865787081097</v>
      </c>
      <c r="F49">
        <v>6.36</v>
      </c>
      <c r="G49">
        <v>0.59538657870811795</v>
      </c>
      <c r="H49">
        <v>2.6751486841185002</v>
      </c>
      <c r="I49">
        <v>1.7388466446770201</v>
      </c>
      <c r="J49">
        <v>22.388466446770199</v>
      </c>
      <c r="K49" t="s">
        <v>244</v>
      </c>
      <c r="L49">
        <f>IFERROR(VLOOKUP($A49,Actual!$A:$D,4,FALSE),IFERROR(VLOOKUP($A49,fc!$A:$AC,29,FALSE),"Not Found"))</f>
        <v>9.1</v>
      </c>
      <c r="M49">
        <f>IFERROR(VLOOKUP($A49,Actual!$A:$D,3,FALSE),"0")</f>
        <v>7.5700000000000003E-2</v>
      </c>
      <c r="N49">
        <f>IFERROR(VLOOKUP($A49,NHT!$B:$F,5,FALSE),IFERROR(VLOOKUP(A49,fc!A:AD,28,FALSE),"Not Found"))</f>
        <v>14.816666666667</v>
      </c>
    </row>
    <row r="50" spans="1:14" x14ac:dyDescent="0.2">
      <c r="A50" t="s">
        <v>40</v>
      </c>
      <c r="B50" t="s">
        <v>200</v>
      </c>
      <c r="C50" t="s">
        <v>5</v>
      </c>
      <c r="D50">
        <v>2900</v>
      </c>
      <c r="E50">
        <v>6.6916866614440398</v>
      </c>
      <c r="F50">
        <v>6.31</v>
      </c>
      <c r="G50">
        <v>0.38168666144404401</v>
      </c>
      <c r="H50">
        <v>2.30747815911863</v>
      </c>
      <c r="I50">
        <v>1.6729216653610099</v>
      </c>
      <c r="J50">
        <v>21.729216653610099</v>
      </c>
      <c r="K50" t="s">
        <v>244</v>
      </c>
      <c r="L50">
        <f>IFERROR(VLOOKUP($A50,Actual!$A:$D,4,FALSE),IFERROR(VLOOKUP($A50,fc!$A:$AC,29,FALSE),"Not Found"))</f>
        <v>0</v>
      </c>
      <c r="M50">
        <f>IFERROR(VLOOKUP($A50,Actual!$A:$D,3,FALSE),"0")</f>
        <v>9.2600000000000002E-2</v>
      </c>
      <c r="N50">
        <f>IFERROR(VLOOKUP($A50,NHT!$B:$F,5,FALSE),IFERROR(VLOOKUP(A50,fc!A:AD,28,FALSE),"Not Found"))</f>
        <v>14.816666666667</v>
      </c>
    </row>
    <row r="51" spans="1:14" x14ac:dyDescent="0.2">
      <c r="A51" t="s">
        <v>58</v>
      </c>
      <c r="B51" t="s">
        <v>206</v>
      </c>
      <c r="C51" t="s">
        <v>9</v>
      </c>
      <c r="D51">
        <v>2700</v>
      </c>
      <c r="E51">
        <v>6.3883009039420999</v>
      </c>
      <c r="F51">
        <v>4.7300000000000004</v>
      </c>
      <c r="G51">
        <v>1.6583009039420999</v>
      </c>
      <c r="H51">
        <v>2.36603737183041</v>
      </c>
      <c r="I51">
        <v>1.5970752259855201</v>
      </c>
      <c r="J51">
        <v>20.9707522598552</v>
      </c>
      <c r="K51" t="s">
        <v>244</v>
      </c>
      <c r="L51">
        <f>IFERROR(VLOOKUP($A51,Actual!$A:$D,4,FALSE),IFERROR(VLOOKUP($A51,fc!$A:$AC,29,FALSE),"Not Found"))</f>
        <v>0</v>
      </c>
      <c r="M51">
        <f>IFERROR(VLOOKUP($A51,Actual!$A:$D,3,FALSE),"0")</f>
        <v>5.6099999999999997E-2</v>
      </c>
      <c r="N51">
        <f>IFERROR(VLOOKUP($A51,NHT!$B:$F,5,FALSE),IFERROR(VLOOKUP(A51,fc!A:AD,28,FALSE),"Not Found"))</f>
        <v>14.85</v>
      </c>
    </row>
    <row r="52" spans="1:14" x14ac:dyDescent="0.2">
      <c r="A52" t="s">
        <v>107</v>
      </c>
      <c r="B52" t="s">
        <v>203</v>
      </c>
      <c r="C52" t="s">
        <v>12</v>
      </c>
      <c r="D52">
        <v>2500</v>
      </c>
      <c r="E52">
        <v>4.7382247198663698</v>
      </c>
      <c r="F52">
        <v>4.97</v>
      </c>
      <c r="G52">
        <v>-0.231775280133629</v>
      </c>
      <c r="H52">
        <v>1.8952898879465401</v>
      </c>
      <c r="I52">
        <v>1.18455617996659</v>
      </c>
      <c r="J52">
        <v>16.845561799665902</v>
      </c>
      <c r="K52" t="s">
        <v>244</v>
      </c>
      <c r="L52">
        <f>IFERROR(VLOOKUP($A52,Actual!$A:$D,4,FALSE),IFERROR(VLOOKUP($A52,fc!$A:$AC,29,FALSE),"Not Found"))</f>
        <v>9.1</v>
      </c>
      <c r="M52">
        <f>IFERROR(VLOOKUP($A52,Actual!$A:$D,3,FALSE),"0")</f>
        <v>1.6799999999999999E-2</v>
      </c>
      <c r="N52">
        <f>IFERROR(VLOOKUP($A52,NHT!$B:$F,5,FALSE),IFERROR(VLOOKUP(A52,fc!A:AD,28,FALSE),"Not Found"))</f>
        <v>14.866666666666999</v>
      </c>
    </row>
    <row r="53" spans="1:14" x14ac:dyDescent="0.2">
      <c r="A53" t="s">
        <v>128</v>
      </c>
      <c r="B53" t="s">
        <v>204</v>
      </c>
      <c r="C53" t="s">
        <v>12</v>
      </c>
      <c r="D53">
        <v>2500</v>
      </c>
      <c r="E53">
        <v>5.8885851007677799</v>
      </c>
      <c r="F53">
        <v>4.96</v>
      </c>
      <c r="G53">
        <v>0.928585100767781</v>
      </c>
      <c r="H53">
        <v>2.3554340403071099</v>
      </c>
      <c r="I53">
        <v>1.4721462751919401</v>
      </c>
      <c r="J53">
        <v>19.7214627519194</v>
      </c>
      <c r="K53" t="s">
        <v>244</v>
      </c>
      <c r="L53">
        <f>IFERROR(VLOOKUP($A53,Actual!$A:$D,4,FALSE),IFERROR(VLOOKUP($A53,fc!$A:$AC,29,FALSE),"Not Found"))</f>
        <v>0</v>
      </c>
      <c r="M53">
        <f>IFERROR(VLOOKUP($A53,Actual!$A:$D,3,FALSE),"0")</f>
        <v>7.0000000000000001E-3</v>
      </c>
      <c r="N53">
        <f>IFERROR(VLOOKUP($A53,NHT!$B:$F,5,FALSE),IFERROR(VLOOKUP(A53,fc!A:AD,28,FALSE),"Not Found"))</f>
        <v>14.933333333333</v>
      </c>
    </row>
    <row r="54" spans="1:14" x14ac:dyDescent="0.2">
      <c r="A54" t="s">
        <v>69</v>
      </c>
      <c r="B54" t="s">
        <v>204</v>
      </c>
      <c r="C54" t="s">
        <v>12</v>
      </c>
      <c r="D54">
        <v>2700</v>
      </c>
      <c r="E54">
        <v>6.8246407844161903</v>
      </c>
      <c r="F54">
        <v>6.35</v>
      </c>
      <c r="G54">
        <v>0.47464078441619001</v>
      </c>
      <c r="H54">
        <v>2.5276447349689501</v>
      </c>
      <c r="I54">
        <v>1.70616019610404</v>
      </c>
      <c r="J54">
        <v>22.061601961040399</v>
      </c>
      <c r="K54" t="s">
        <v>244</v>
      </c>
      <c r="L54">
        <f>IFERROR(VLOOKUP($A54,Actual!$A:$D,4,FALSE),IFERROR(VLOOKUP($A54,fc!$A:$AC,29,FALSE),"Not Found"))</f>
        <v>1.3</v>
      </c>
      <c r="M54">
        <f>IFERROR(VLOOKUP($A54,Actual!$A:$D,3,FALSE),"0")</f>
        <v>4.6300000000000001E-2</v>
      </c>
      <c r="N54">
        <f>IFERROR(VLOOKUP($A54,NHT!$B:$F,5,FALSE),IFERROR(VLOOKUP(A54,fc!A:AD,28,FALSE),"Not Found"))</f>
        <v>14.983333333333</v>
      </c>
    </row>
    <row r="55" spans="1:14" x14ac:dyDescent="0.2">
      <c r="A55" t="s">
        <v>61</v>
      </c>
      <c r="B55" t="s">
        <v>214</v>
      </c>
      <c r="C55" t="s">
        <v>9</v>
      </c>
      <c r="D55">
        <v>5600</v>
      </c>
      <c r="E55">
        <v>12.834072604005</v>
      </c>
      <c r="F55">
        <v>10.32</v>
      </c>
      <c r="G55">
        <v>2.5140726040050501</v>
      </c>
      <c r="H55">
        <v>2.2917986792866101</v>
      </c>
      <c r="I55">
        <v>3.2085181510012601</v>
      </c>
      <c r="J55">
        <v>37.085181510012603</v>
      </c>
      <c r="K55" t="s">
        <v>244</v>
      </c>
      <c r="L55">
        <f>IFERROR(VLOOKUP($A55,Actual!$A:$D,4,FALSE),IFERROR(VLOOKUP($A55,fc!$A:$AC,29,FALSE),"Not Found"))</f>
        <v>1.5</v>
      </c>
      <c r="M55">
        <f>IFERROR(VLOOKUP($A55,Actual!$A:$D,3,FALSE),"0")</f>
        <v>5.0500000000000003E-2</v>
      </c>
      <c r="N55">
        <f>IFERROR(VLOOKUP($A55,NHT!$B:$F,5,FALSE),IFERROR(VLOOKUP(A55,fc!A:AD,28,FALSE),"Not Found"))</f>
        <v>15.016666666667</v>
      </c>
    </row>
    <row r="56" spans="1:14" x14ac:dyDescent="0.2">
      <c r="A56" t="s">
        <v>56</v>
      </c>
      <c r="B56" t="s">
        <v>214</v>
      </c>
      <c r="C56" t="s">
        <v>9</v>
      </c>
      <c r="D56">
        <v>3500</v>
      </c>
      <c r="E56">
        <v>8.7073577543847307</v>
      </c>
      <c r="F56">
        <v>7.03</v>
      </c>
      <c r="G56">
        <v>1.67735775438473</v>
      </c>
      <c r="H56">
        <v>2.4878165012527802</v>
      </c>
      <c r="I56">
        <v>2.17683943859618</v>
      </c>
      <c r="J56">
        <v>26.768394385961798</v>
      </c>
      <c r="K56" t="s">
        <v>244</v>
      </c>
      <c r="L56">
        <f>IFERROR(VLOOKUP($A56,Actual!$A:$D,4,FALSE),IFERROR(VLOOKUP($A56,fc!$A:$AC,29,FALSE),"Not Found"))</f>
        <v>0</v>
      </c>
      <c r="M56">
        <f>IFERROR(VLOOKUP($A56,Actual!$A:$D,3,FALSE),"0")</f>
        <v>5.7500000000000002E-2</v>
      </c>
      <c r="N56">
        <f>IFERROR(VLOOKUP($A56,NHT!$B:$F,5,FALSE),IFERROR(VLOOKUP(A56,fc!A:AD,28,FALSE),"Not Found"))</f>
        <v>15.016666666667</v>
      </c>
    </row>
    <row r="57" spans="1:14" x14ac:dyDescent="0.2">
      <c r="A57" t="s">
        <v>101</v>
      </c>
      <c r="B57" t="s">
        <v>204</v>
      </c>
      <c r="C57" t="s">
        <v>12</v>
      </c>
      <c r="D57">
        <v>3000</v>
      </c>
      <c r="E57">
        <v>8.8348288971001399</v>
      </c>
      <c r="F57">
        <v>6.54</v>
      </c>
      <c r="G57">
        <v>2.2948288971001398</v>
      </c>
      <c r="H57">
        <v>2.9449429657000401</v>
      </c>
      <c r="I57">
        <v>2.2087072242750301</v>
      </c>
      <c r="J57">
        <v>27.087072242750299</v>
      </c>
      <c r="K57" t="s">
        <v>244</v>
      </c>
      <c r="L57">
        <f>IFERROR(VLOOKUP($A57,Actual!$A:$D,4,FALSE),IFERROR(VLOOKUP($A57,fc!$A:$AC,29,FALSE),"Not Found"))</f>
        <v>4.5</v>
      </c>
      <c r="M57">
        <f>IFERROR(VLOOKUP($A57,Actual!$A:$D,3,FALSE),"0")</f>
        <v>1.9599999999999999E-2</v>
      </c>
      <c r="N57">
        <f>IFERROR(VLOOKUP($A57,NHT!$B:$F,5,FALSE),IFERROR(VLOOKUP(A57,fc!A:AD,28,FALSE),"Not Found"))</f>
        <v>15.15</v>
      </c>
    </row>
    <row r="58" spans="1:14" x14ac:dyDescent="0.2">
      <c r="A58" t="s">
        <v>82</v>
      </c>
      <c r="B58" t="s">
        <v>207</v>
      </c>
      <c r="C58" t="s">
        <v>9</v>
      </c>
      <c r="D58">
        <v>4100</v>
      </c>
      <c r="E58">
        <v>8.7003015871058693</v>
      </c>
      <c r="F58">
        <v>7.9</v>
      </c>
      <c r="G58">
        <v>0.80030158710587196</v>
      </c>
      <c r="H58">
        <v>2.1220247773428902</v>
      </c>
      <c r="I58">
        <v>2.1750753967764598</v>
      </c>
      <c r="J58">
        <v>26.750753967764599</v>
      </c>
      <c r="K58" t="s">
        <v>244</v>
      </c>
      <c r="L58">
        <f>IFERROR(VLOOKUP($A58,Actual!$A:$D,4,FALSE),IFERROR(VLOOKUP($A58,fc!$A:$AC,29,FALSE),"Not Found"))</f>
        <v>13</v>
      </c>
      <c r="M58">
        <f>IFERROR(VLOOKUP($A58,Actual!$A:$D,3,FALSE),"0")</f>
        <v>3.2300000000000002E-2</v>
      </c>
      <c r="N58">
        <f>IFERROR(VLOOKUP($A58,NHT!$B:$F,5,FALSE),IFERROR(VLOOKUP(A58,fc!A:AD,28,FALSE),"Not Found"))</f>
        <v>15.2</v>
      </c>
    </row>
    <row r="59" spans="1:14" x14ac:dyDescent="0.2">
      <c r="A59" t="s">
        <v>49</v>
      </c>
      <c r="B59" t="s">
        <v>214</v>
      </c>
      <c r="C59" t="s">
        <v>5</v>
      </c>
      <c r="D59">
        <v>5400</v>
      </c>
      <c r="E59">
        <v>12.2791635575241</v>
      </c>
      <c r="F59">
        <v>10.25</v>
      </c>
      <c r="G59">
        <v>2.02916355752417</v>
      </c>
      <c r="H59">
        <v>2.2739191773192902</v>
      </c>
      <c r="I59">
        <v>3.0697908893810402</v>
      </c>
      <c r="J59">
        <v>35.6979088938104</v>
      </c>
      <c r="K59" t="s">
        <v>244</v>
      </c>
      <c r="L59">
        <f>IFERROR(VLOOKUP($A59,Actual!$A:$D,4,FALSE),IFERROR(VLOOKUP($A59,fc!$A:$AC,29,FALSE),"Not Found"))</f>
        <v>1.5</v>
      </c>
      <c r="M59">
        <f>IFERROR(VLOOKUP($A59,Actual!$A:$D,3,FALSE),"0")</f>
        <v>6.4500000000000002E-2</v>
      </c>
      <c r="N59">
        <f>IFERROR(VLOOKUP($A59,NHT!$B:$F,5,FALSE),IFERROR(VLOOKUP(A59,fc!A:AD,28,FALSE),"Not Found"))</f>
        <v>15.4</v>
      </c>
    </row>
    <row r="60" spans="1:14" x14ac:dyDescent="0.2">
      <c r="A60" t="s">
        <v>47</v>
      </c>
      <c r="B60" t="s">
        <v>211</v>
      </c>
      <c r="C60" t="s">
        <v>5</v>
      </c>
      <c r="D60">
        <v>3200</v>
      </c>
      <c r="E60">
        <v>5.7146516179560303</v>
      </c>
      <c r="F60">
        <v>5.59</v>
      </c>
      <c r="G60">
        <v>0.12465161795603601</v>
      </c>
      <c r="H60">
        <v>1.7858286306112601</v>
      </c>
      <c r="I60">
        <v>1.428662904489</v>
      </c>
      <c r="J60">
        <v>19.286629044889999</v>
      </c>
      <c r="K60" t="s">
        <v>244</v>
      </c>
      <c r="L60">
        <f>IFERROR(VLOOKUP($A60,Actual!$A:$D,4,FALSE),IFERROR(VLOOKUP($A60,fc!$A:$AC,29,FALSE),"Not Found"))</f>
        <v>10.5</v>
      </c>
      <c r="M60">
        <f>IFERROR(VLOOKUP($A60,Actual!$A:$D,3,FALSE),"0")</f>
        <v>6.8699999999999997E-2</v>
      </c>
      <c r="N60">
        <f>IFERROR(VLOOKUP($A60,NHT!$B:$F,5,FALSE),IFERROR(VLOOKUP(A60,fc!A:AD,28,FALSE),"Not Found"))</f>
        <v>15.466666666667001</v>
      </c>
    </row>
    <row r="61" spans="1:14" x14ac:dyDescent="0.2">
      <c r="A61" t="s">
        <v>31</v>
      </c>
      <c r="B61" t="s">
        <v>203</v>
      </c>
      <c r="C61" t="s">
        <v>9</v>
      </c>
      <c r="D61">
        <v>2500</v>
      </c>
      <c r="E61">
        <v>8.7999896511913107</v>
      </c>
      <c r="F61">
        <v>6.89</v>
      </c>
      <c r="G61">
        <v>1.9099896511913099</v>
      </c>
      <c r="H61">
        <v>3.51999586047652</v>
      </c>
      <c r="I61">
        <v>2.1999974127978201</v>
      </c>
      <c r="J61">
        <v>26.999974127978199</v>
      </c>
      <c r="K61" t="s">
        <v>244</v>
      </c>
      <c r="L61">
        <f>IFERROR(VLOOKUP($A61,Actual!$A:$D,4,FALSE),IFERROR(VLOOKUP($A61,fc!$A:$AC,29,FALSE),"Not Found"))</f>
        <v>4.5</v>
      </c>
      <c r="M61">
        <f>IFERROR(VLOOKUP($A61,Actual!$A:$D,3,FALSE),"0")</f>
        <v>0.1234</v>
      </c>
      <c r="N61">
        <f>IFERROR(VLOOKUP($A61,NHT!$B:$F,5,FALSE),IFERROR(VLOOKUP(A61,fc!A:AD,28,FALSE),"Not Found"))</f>
        <v>15.566666666667</v>
      </c>
    </row>
    <row r="62" spans="1:14" x14ac:dyDescent="0.2">
      <c r="A62" t="s">
        <v>212</v>
      </c>
      <c r="B62" t="s">
        <v>206</v>
      </c>
      <c r="C62" t="s">
        <v>5</v>
      </c>
      <c r="D62">
        <v>2500</v>
      </c>
      <c r="E62">
        <v>4.3389093777574503</v>
      </c>
      <c r="F62">
        <v>3.93</v>
      </c>
      <c r="G62">
        <v>0.40890937775745301</v>
      </c>
      <c r="H62">
        <v>1.73556375110298</v>
      </c>
      <c r="I62">
        <v>1.0847273444393599</v>
      </c>
      <c r="J62">
        <v>15.847273444393601</v>
      </c>
      <c r="K62" t="s">
        <v>244</v>
      </c>
      <c r="L62">
        <f>IFERROR(VLOOKUP($A62,Actual!$A:$D,4,FALSE),IFERROR(VLOOKUP($A62,fc!$A:$AC,29,FALSE),"Not Found"))</f>
        <v>9.3000000000000007</v>
      </c>
      <c r="M62" t="str">
        <f>IFERROR(VLOOKUP($A62,Actual!$A:$D,3,FALSE),"0")</f>
        <v>0</v>
      </c>
      <c r="N62">
        <f>IFERROR(VLOOKUP($A62,NHT!$B:$F,5,FALSE),IFERROR(VLOOKUP(A62,fc!A:AD,28,FALSE),"Not Found"))</f>
        <v>15.6</v>
      </c>
    </row>
    <row r="63" spans="1:14" x14ac:dyDescent="0.2">
      <c r="A63" t="s">
        <v>103</v>
      </c>
      <c r="B63" t="s">
        <v>207</v>
      </c>
      <c r="C63" t="s">
        <v>12</v>
      </c>
      <c r="D63">
        <v>2900</v>
      </c>
      <c r="E63">
        <v>5.9783050758611997</v>
      </c>
      <c r="F63">
        <v>4.5199999999999996</v>
      </c>
      <c r="G63">
        <v>1.4583050758612</v>
      </c>
      <c r="H63">
        <v>2.0614845089176499</v>
      </c>
      <c r="I63">
        <v>1.4945762689652999</v>
      </c>
      <c r="J63">
        <v>19.945762689653002</v>
      </c>
      <c r="K63" t="s">
        <v>244</v>
      </c>
      <c r="L63">
        <f>IFERROR(VLOOKUP($A63,Actual!$A:$D,4,FALSE),IFERROR(VLOOKUP($A63,fc!$A:$AC,29,FALSE),"Not Found"))</f>
        <v>1.5</v>
      </c>
      <c r="M63">
        <f>IFERROR(VLOOKUP($A63,Actual!$A:$D,3,FALSE),"0")</f>
        <v>1.8200000000000001E-2</v>
      </c>
      <c r="N63">
        <f>IFERROR(VLOOKUP($A63,NHT!$B:$F,5,FALSE),IFERROR(VLOOKUP(A63,fc!A:AD,28,FALSE),"Not Found"))</f>
        <v>15.85</v>
      </c>
    </row>
    <row r="64" spans="1:14" x14ac:dyDescent="0.2">
      <c r="A64" t="s">
        <v>48</v>
      </c>
      <c r="B64" t="s">
        <v>206</v>
      </c>
      <c r="C64" t="s">
        <v>9</v>
      </c>
      <c r="D64">
        <v>4000</v>
      </c>
      <c r="E64">
        <v>7.2647143867980004</v>
      </c>
      <c r="F64">
        <v>6.42</v>
      </c>
      <c r="G64">
        <v>0.84471438679800004</v>
      </c>
      <c r="H64">
        <v>1.8161785966995001</v>
      </c>
      <c r="I64">
        <v>1.8161785966995001</v>
      </c>
      <c r="J64">
        <v>23.161785966995001</v>
      </c>
      <c r="K64" t="s">
        <v>244</v>
      </c>
      <c r="L64">
        <f>IFERROR(VLOOKUP($A64,Actual!$A:$D,4,FALSE),IFERROR(VLOOKUP($A64,fc!$A:$AC,29,FALSE),"Not Found"))</f>
        <v>11.5</v>
      </c>
      <c r="M64">
        <f>IFERROR(VLOOKUP($A64,Actual!$A:$D,3,FALSE),"0")</f>
        <v>6.59E-2</v>
      </c>
      <c r="N64">
        <f>IFERROR(VLOOKUP($A64,NHT!$B:$F,5,FALSE),IFERROR(VLOOKUP(A64,fc!A:AD,28,FALSE),"Not Found"))</f>
        <v>16.033333333333001</v>
      </c>
    </row>
    <row r="65" spans="1:14" x14ac:dyDescent="0.2">
      <c r="A65" t="s">
        <v>52</v>
      </c>
      <c r="B65" t="s">
        <v>203</v>
      </c>
      <c r="C65" t="s">
        <v>9</v>
      </c>
      <c r="D65">
        <v>3700</v>
      </c>
      <c r="E65">
        <v>7.3643899760455698</v>
      </c>
      <c r="F65">
        <v>6.06</v>
      </c>
      <c r="G65">
        <v>1.3043899760455699</v>
      </c>
      <c r="H65">
        <v>1.9903756692015</v>
      </c>
      <c r="I65">
        <v>1.84109749401139</v>
      </c>
      <c r="J65">
        <v>23.410974940113899</v>
      </c>
      <c r="K65" t="s">
        <v>244</v>
      </c>
      <c r="L65">
        <f>IFERROR(VLOOKUP($A65,Actual!$A:$D,4,FALSE),IFERROR(VLOOKUP($A65,fc!$A:$AC,29,FALSE),"Not Found"))</f>
        <v>1.5</v>
      </c>
      <c r="M65">
        <f>IFERROR(VLOOKUP($A65,Actual!$A:$D,3,FALSE),"0")</f>
        <v>6.3100000000000003E-2</v>
      </c>
      <c r="N65">
        <f>IFERROR(VLOOKUP($A65,NHT!$B:$F,5,FALSE),IFERROR(VLOOKUP(A65,fc!A:AD,28,FALSE),"Not Found"))</f>
        <v>16.149999999999999</v>
      </c>
    </row>
    <row r="66" spans="1:14" x14ac:dyDescent="0.2">
      <c r="A66" t="s">
        <v>37</v>
      </c>
      <c r="B66" t="s">
        <v>214</v>
      </c>
      <c r="C66" t="s">
        <v>9</v>
      </c>
      <c r="D66">
        <v>3900</v>
      </c>
      <c r="E66">
        <v>9.6597183174244297</v>
      </c>
      <c r="F66">
        <v>7.48</v>
      </c>
      <c r="G66">
        <v>2.1797183174244301</v>
      </c>
      <c r="H66">
        <v>2.4768508506216498</v>
      </c>
      <c r="I66">
        <v>2.4149295793560999</v>
      </c>
      <c r="J66">
        <v>29.149295793560999</v>
      </c>
      <c r="K66" t="s">
        <v>244</v>
      </c>
      <c r="L66">
        <f>IFERROR(VLOOKUP($A66,Actual!$A:$D,4,FALSE),IFERROR(VLOOKUP($A66,fc!$A:$AC,29,FALSE),"Not Found"))</f>
        <v>6</v>
      </c>
      <c r="M66">
        <f>IFERROR(VLOOKUP($A66,Actual!$A:$D,3,FALSE),"0")</f>
        <v>9.4E-2</v>
      </c>
      <c r="N66">
        <f>IFERROR(VLOOKUP($A66,NHT!$B:$F,5,FALSE),IFERROR(VLOOKUP(A66,fc!A:AD,28,FALSE),"Not Found"))</f>
        <v>16.166666666666998</v>
      </c>
    </row>
    <row r="67" spans="1:14" x14ac:dyDescent="0.2">
      <c r="A67" t="s">
        <v>57</v>
      </c>
      <c r="B67" t="s">
        <v>200</v>
      </c>
      <c r="C67" t="s">
        <v>5</v>
      </c>
      <c r="D67">
        <v>3000</v>
      </c>
      <c r="E67">
        <v>5.8961855192225503</v>
      </c>
      <c r="F67">
        <v>5.46</v>
      </c>
      <c r="G67">
        <v>0.43618551922255</v>
      </c>
      <c r="H67">
        <v>1.9653951730741801</v>
      </c>
      <c r="I67">
        <v>1.47404637980563</v>
      </c>
      <c r="J67">
        <v>19.7404637980563</v>
      </c>
      <c r="K67" t="s">
        <v>244</v>
      </c>
      <c r="L67">
        <f>IFERROR(VLOOKUP($A67,Actual!$A:$D,4,FALSE),IFERROR(VLOOKUP($A67,fc!$A:$AC,29,FALSE),"Not Found"))</f>
        <v>3</v>
      </c>
      <c r="M67">
        <f>IFERROR(VLOOKUP($A67,Actual!$A:$D,3,FALSE),"0")</f>
        <v>5.6099999999999997E-2</v>
      </c>
      <c r="N67">
        <f>IFERROR(VLOOKUP($A67,NHT!$B:$F,5,FALSE),IFERROR(VLOOKUP(A67,fc!A:AD,28,FALSE),"Not Found"))</f>
        <v>16.316666666667</v>
      </c>
    </row>
    <row r="68" spans="1:14" x14ac:dyDescent="0.2">
      <c r="A68" t="s">
        <v>53</v>
      </c>
      <c r="B68" t="s">
        <v>207</v>
      </c>
      <c r="C68" t="s">
        <v>9</v>
      </c>
      <c r="D68">
        <v>2800</v>
      </c>
      <c r="E68">
        <v>6.0324525639922504</v>
      </c>
      <c r="F68">
        <v>4.78</v>
      </c>
      <c r="G68">
        <v>1.2524525639922499</v>
      </c>
      <c r="H68">
        <v>2.1544473442829402</v>
      </c>
      <c r="I68">
        <v>1.5081131409980599</v>
      </c>
      <c r="J68">
        <v>20.0811314099806</v>
      </c>
      <c r="K68" t="s">
        <v>244</v>
      </c>
      <c r="L68">
        <f>IFERROR(VLOOKUP($A68,Actual!$A:$D,4,FALSE),IFERROR(VLOOKUP($A68,fc!$A:$AC,29,FALSE),"Not Found"))</f>
        <v>9.5</v>
      </c>
      <c r="M68">
        <f>IFERROR(VLOOKUP($A68,Actual!$A:$D,3,FALSE),"0")</f>
        <v>5.8900000000000001E-2</v>
      </c>
      <c r="N68">
        <f>IFERROR(VLOOKUP($A68,NHT!$B:$F,5,FALSE),IFERROR(VLOOKUP(A68,fc!A:AD,28,FALSE),"Not Found"))</f>
        <v>16.583333333333002</v>
      </c>
    </row>
    <row r="69" spans="1:14" x14ac:dyDescent="0.2">
      <c r="A69" t="s">
        <v>114</v>
      </c>
      <c r="B69" t="s">
        <v>214</v>
      </c>
      <c r="C69" t="s">
        <v>12</v>
      </c>
      <c r="D69">
        <v>3500</v>
      </c>
      <c r="E69">
        <v>7.7468213224045002</v>
      </c>
      <c r="F69">
        <v>7.17</v>
      </c>
      <c r="G69">
        <v>0.57682132240450701</v>
      </c>
      <c r="H69">
        <v>2.2133775206870001</v>
      </c>
      <c r="I69">
        <v>1.9367053306011199</v>
      </c>
      <c r="J69">
        <v>24.367053306011201</v>
      </c>
      <c r="K69" t="s">
        <v>244</v>
      </c>
      <c r="L69">
        <f>IFERROR(VLOOKUP($A69,Actual!$A:$D,4,FALSE),IFERROR(VLOOKUP($A69,fc!$A:$AC,29,FALSE),"Not Found"))</f>
        <v>1.3</v>
      </c>
      <c r="M69">
        <f>IFERROR(VLOOKUP($A69,Actual!$A:$D,3,FALSE),"0")</f>
        <v>1.26E-2</v>
      </c>
      <c r="N69">
        <f>IFERROR(VLOOKUP($A69,NHT!$B:$F,5,FALSE),IFERROR(VLOOKUP(A69,fc!A:AD,28,FALSE),"Not Found"))</f>
        <v>16.633333333332999</v>
      </c>
    </row>
    <row r="70" spans="1:14" x14ac:dyDescent="0.2">
      <c r="A70" t="s">
        <v>123</v>
      </c>
      <c r="B70" t="s">
        <v>245</v>
      </c>
      <c r="C70" t="s">
        <v>5</v>
      </c>
      <c r="D70">
        <v>2500</v>
      </c>
      <c r="E70">
        <v>5.53611047628279</v>
      </c>
      <c r="F70">
        <v>4.5599999999999996</v>
      </c>
      <c r="G70">
        <v>0.97611047628279501</v>
      </c>
      <c r="H70">
        <v>2.21444419051311</v>
      </c>
      <c r="I70">
        <v>1.3840276190706899</v>
      </c>
      <c r="J70">
        <v>18.840276190706899</v>
      </c>
      <c r="K70" t="s">
        <v>244</v>
      </c>
      <c r="L70">
        <f>IFERROR(VLOOKUP($A70,Actual!$A:$D,4,FALSE),IFERROR(VLOOKUP($A70,fc!$A:$AC,29,FALSE),"Not Found"))</f>
        <v>8.1999999999999993</v>
      </c>
      <c r="M70">
        <f>IFERROR(VLOOKUP($A70,Actual!$A:$D,3,FALSE),"0")</f>
        <v>8.3999999999999995E-3</v>
      </c>
      <c r="N70">
        <f>IFERROR(VLOOKUP($A70,NHT!$B:$F,5,FALSE),IFERROR(VLOOKUP(A70,fc!A:AD,28,FALSE),"Not Found"))</f>
        <v>16.649999999999999</v>
      </c>
    </row>
    <row r="71" spans="1:14" x14ac:dyDescent="0.2">
      <c r="A71" t="s">
        <v>94</v>
      </c>
      <c r="B71" t="s">
        <v>214</v>
      </c>
      <c r="C71" t="s">
        <v>9</v>
      </c>
      <c r="D71">
        <v>3400</v>
      </c>
      <c r="E71">
        <v>7.6616178174818597</v>
      </c>
      <c r="F71">
        <v>6.85</v>
      </c>
      <c r="G71">
        <v>0.81161781748186801</v>
      </c>
      <c r="H71">
        <v>2.2534170051417202</v>
      </c>
      <c r="I71">
        <v>1.91540445437046</v>
      </c>
      <c r="J71">
        <v>24.1540445437046</v>
      </c>
      <c r="K71" t="s">
        <v>244</v>
      </c>
      <c r="L71">
        <f>IFERROR(VLOOKUP($A71,Actual!$A:$D,4,FALSE),IFERROR(VLOOKUP($A71,fc!$A:$AC,29,FALSE),"Not Found"))</f>
        <v>4.5</v>
      </c>
      <c r="M71">
        <f>IFERROR(VLOOKUP($A71,Actual!$A:$D,3,FALSE),"0")</f>
        <v>2.3800000000000002E-2</v>
      </c>
      <c r="N71">
        <f>IFERROR(VLOOKUP($A71,NHT!$B:$F,5,FALSE),IFERROR(VLOOKUP(A71,fc!A:AD,28,FALSE),"Not Found"))</f>
        <v>16.716666666666999</v>
      </c>
    </row>
    <row r="72" spans="1:14" x14ac:dyDescent="0.2">
      <c r="A72" t="s">
        <v>87</v>
      </c>
      <c r="B72" t="s">
        <v>214</v>
      </c>
      <c r="C72" t="s">
        <v>5</v>
      </c>
      <c r="D72">
        <v>3300</v>
      </c>
      <c r="E72">
        <v>7.3527613056034697</v>
      </c>
      <c r="F72">
        <v>6.44</v>
      </c>
      <c r="G72">
        <v>0.91276130560347801</v>
      </c>
      <c r="H72">
        <v>2.2281094865464999</v>
      </c>
      <c r="I72">
        <v>1.8381903264008601</v>
      </c>
      <c r="J72">
        <v>23.381903264008599</v>
      </c>
      <c r="K72" t="s">
        <v>244</v>
      </c>
      <c r="L72">
        <f>IFERROR(VLOOKUP($A72,Actual!$A:$D,4,FALSE),IFERROR(VLOOKUP($A72,fc!$A:$AC,29,FALSE),"Not Found"))</f>
        <v>0</v>
      </c>
      <c r="M72">
        <f>IFERROR(VLOOKUP($A72,Actual!$A:$D,3,FALSE),"0")</f>
        <v>2.6599999999999999E-2</v>
      </c>
      <c r="N72">
        <f>IFERROR(VLOOKUP($A72,NHT!$B:$F,5,FALSE),IFERROR(VLOOKUP(A72,fc!A:AD,28,FALSE),"Not Found"))</f>
        <v>17.233333333333</v>
      </c>
    </row>
    <row r="73" spans="1:14" x14ac:dyDescent="0.2">
      <c r="A73" t="s">
        <v>77</v>
      </c>
      <c r="B73" t="s">
        <v>206</v>
      </c>
      <c r="C73" t="s">
        <v>9</v>
      </c>
      <c r="D73">
        <v>4500</v>
      </c>
      <c r="E73">
        <v>9.2856219944865899</v>
      </c>
      <c r="F73">
        <v>8.01</v>
      </c>
      <c r="G73">
        <v>1.2756219944865901</v>
      </c>
      <c r="H73">
        <v>2.0634715543303499</v>
      </c>
      <c r="I73">
        <v>2.3214054986216399</v>
      </c>
      <c r="J73">
        <v>28.2140549862164</v>
      </c>
      <c r="K73" t="s">
        <v>244</v>
      </c>
      <c r="L73">
        <f>IFERROR(VLOOKUP($A73,Actual!$A:$D,4,FALSE),IFERROR(VLOOKUP($A73,fc!$A:$AC,29,FALSE),"Not Found"))</f>
        <v>1.3</v>
      </c>
      <c r="M73">
        <f>IFERROR(VLOOKUP($A73,Actual!$A:$D,3,FALSE),"0")</f>
        <v>3.6499999999999998E-2</v>
      </c>
      <c r="N73">
        <f>IFERROR(VLOOKUP($A73,NHT!$B:$F,5,FALSE),IFERROR(VLOOKUP(A73,fc!A:AD,28,FALSE),"Not Found"))</f>
        <v>17.25</v>
      </c>
    </row>
    <row r="74" spans="1:14" x14ac:dyDescent="0.2">
      <c r="A74" t="s">
        <v>24</v>
      </c>
      <c r="B74" t="s">
        <v>245</v>
      </c>
      <c r="C74" t="s">
        <v>5</v>
      </c>
      <c r="D74">
        <v>5300</v>
      </c>
      <c r="E74">
        <v>10.577372002245101</v>
      </c>
      <c r="F74">
        <v>8.6999999999999993</v>
      </c>
      <c r="G74">
        <v>1.8773720022451399</v>
      </c>
      <c r="H74">
        <v>1.9957305664613401</v>
      </c>
      <c r="I74">
        <v>2.64434300056128</v>
      </c>
      <c r="J74">
        <v>31.4434300056128</v>
      </c>
      <c r="K74" t="s">
        <v>244</v>
      </c>
      <c r="L74">
        <f>IFERROR(VLOOKUP($A74,Actual!$A:$D,4,FALSE),IFERROR(VLOOKUP($A74,fc!$A:$AC,29,FALSE),"Not Found"))</f>
        <v>10</v>
      </c>
      <c r="M74">
        <f>IFERROR(VLOOKUP($A74,Actual!$A:$D,3,FALSE),"0")</f>
        <v>0.15290000000000001</v>
      </c>
      <c r="N74">
        <f>IFERROR(VLOOKUP($A74,NHT!$B:$F,5,FALSE),IFERROR(VLOOKUP(A74,fc!A:AD,28,FALSE),"Not Found"))</f>
        <v>17.283333333333001</v>
      </c>
    </row>
    <row r="75" spans="1:14" x14ac:dyDescent="0.2">
      <c r="A75" t="s">
        <v>43</v>
      </c>
      <c r="B75" t="s">
        <v>204</v>
      </c>
      <c r="C75" t="s">
        <v>9</v>
      </c>
      <c r="D75">
        <v>3600</v>
      </c>
      <c r="E75">
        <v>9.9928514045698495</v>
      </c>
      <c r="F75">
        <v>7.77</v>
      </c>
      <c r="G75">
        <v>2.22285140456985</v>
      </c>
      <c r="H75">
        <v>2.7757920568249599</v>
      </c>
      <c r="I75">
        <v>2.4982128511424602</v>
      </c>
      <c r="J75">
        <v>29.982128511424602</v>
      </c>
      <c r="K75" t="s">
        <v>244</v>
      </c>
      <c r="L75">
        <f>IFERROR(VLOOKUP($A75,Actual!$A:$D,4,FALSE),IFERROR(VLOOKUP($A75,fc!$A:$AC,29,FALSE),"Not Found"))</f>
        <v>11</v>
      </c>
      <c r="M75">
        <f>IFERROR(VLOOKUP($A75,Actual!$A:$D,3,FALSE),"0")</f>
        <v>7.85E-2</v>
      </c>
      <c r="N75">
        <f>IFERROR(VLOOKUP($A75,NHT!$B:$F,5,FALSE),IFERROR(VLOOKUP(A75,fc!A:AD,28,FALSE),"Not Found"))</f>
        <v>17.3</v>
      </c>
    </row>
    <row r="76" spans="1:14" x14ac:dyDescent="0.2">
      <c r="A76" t="s">
        <v>136</v>
      </c>
      <c r="B76" t="s">
        <v>245</v>
      </c>
      <c r="C76" t="s">
        <v>12</v>
      </c>
      <c r="D76">
        <v>2500</v>
      </c>
      <c r="E76">
        <v>4.8734961254090701</v>
      </c>
      <c r="F76">
        <v>2.9</v>
      </c>
      <c r="G76">
        <v>1.9734961254090699</v>
      </c>
      <c r="H76">
        <v>1.9493984501636199</v>
      </c>
      <c r="I76">
        <v>1.21837403135226</v>
      </c>
      <c r="J76">
        <v>17.183740313522598</v>
      </c>
      <c r="K76" t="s">
        <v>244</v>
      </c>
      <c r="L76">
        <f>IFERROR(VLOOKUP($A76,Actual!$A:$D,4,FALSE),IFERROR(VLOOKUP($A76,fc!$A:$AC,29,FALSE),"Not Found"))</f>
        <v>0</v>
      </c>
      <c r="M76">
        <f>IFERROR(VLOOKUP($A76,Actual!$A:$D,3,FALSE),"0")</f>
        <v>2.8E-3</v>
      </c>
      <c r="N76">
        <f>IFERROR(VLOOKUP($A76,NHT!$B:$F,5,FALSE),IFERROR(VLOOKUP(A76,fc!A:AD,28,FALSE),"Not Found"))</f>
        <v>17.399999999999999</v>
      </c>
    </row>
    <row r="77" spans="1:14" x14ac:dyDescent="0.2">
      <c r="A77" t="s">
        <v>90</v>
      </c>
      <c r="B77" t="s">
        <v>206</v>
      </c>
      <c r="C77" t="s">
        <v>5</v>
      </c>
      <c r="D77">
        <v>6800</v>
      </c>
      <c r="E77">
        <v>11.385095645269701</v>
      </c>
      <c r="F77">
        <v>9.4600000000000009</v>
      </c>
      <c r="G77">
        <v>1.92509564526979</v>
      </c>
      <c r="H77">
        <v>1.6742787713631999</v>
      </c>
      <c r="I77">
        <v>2.8462739113174398</v>
      </c>
      <c r="J77">
        <v>33.462739113174401</v>
      </c>
      <c r="K77" t="s">
        <v>244</v>
      </c>
      <c r="L77">
        <f>IFERROR(VLOOKUP($A77,Actual!$A:$D,4,FALSE),IFERROR(VLOOKUP($A77,fc!$A:$AC,29,FALSE),"Not Found"))</f>
        <v>16.3</v>
      </c>
      <c r="M77">
        <f>IFERROR(VLOOKUP($A77,Actual!$A:$D,3,FALSE),"0")</f>
        <v>2.52E-2</v>
      </c>
      <c r="N77">
        <f>IFERROR(VLOOKUP($A77,NHT!$B:$F,5,FALSE),IFERROR(VLOOKUP(A77,fc!A:AD,28,FALSE),"Not Found"))</f>
        <v>17.483333333333</v>
      </c>
    </row>
    <row r="78" spans="1:14" x14ac:dyDescent="0.2">
      <c r="A78" t="s">
        <v>72</v>
      </c>
      <c r="B78" t="s">
        <v>214</v>
      </c>
      <c r="C78" t="s">
        <v>9</v>
      </c>
      <c r="D78">
        <v>5100</v>
      </c>
      <c r="E78">
        <v>12.0180785451793</v>
      </c>
      <c r="F78">
        <v>9.82</v>
      </c>
      <c r="G78">
        <v>2.1980785451793201</v>
      </c>
      <c r="H78">
        <v>2.3564859892508401</v>
      </c>
      <c r="I78">
        <v>3.0045196362948299</v>
      </c>
      <c r="J78">
        <v>35.045196362948303</v>
      </c>
      <c r="K78" t="s">
        <v>244</v>
      </c>
      <c r="L78">
        <f>IFERROR(VLOOKUP($A78,Actual!$A:$D,4,FALSE),IFERROR(VLOOKUP($A78,fc!$A:$AC,29,FALSE),"Not Found"))</f>
        <v>6</v>
      </c>
      <c r="M78">
        <f>IFERROR(VLOOKUP($A78,Actual!$A:$D,3,FALSE),"0")</f>
        <v>4.2099999999999999E-2</v>
      </c>
      <c r="N78">
        <f>IFERROR(VLOOKUP($A78,NHT!$B:$F,5,FALSE),IFERROR(VLOOKUP(A78,fc!A:AD,28,FALSE),"Not Found"))</f>
        <v>17.600000000000001</v>
      </c>
    </row>
    <row r="79" spans="1:14" x14ac:dyDescent="0.2">
      <c r="A79" t="s">
        <v>13</v>
      </c>
      <c r="B79" t="s">
        <v>200</v>
      </c>
      <c r="C79" t="s">
        <v>5</v>
      </c>
      <c r="D79">
        <v>3700</v>
      </c>
      <c r="E79">
        <v>8.5947337823130692</v>
      </c>
      <c r="F79">
        <v>7.7</v>
      </c>
      <c r="G79">
        <v>0.89473378231307199</v>
      </c>
      <c r="H79">
        <v>2.3229010222467701</v>
      </c>
      <c r="I79">
        <v>2.1486834455782602</v>
      </c>
      <c r="J79">
        <v>26.486834455782599</v>
      </c>
      <c r="K79" t="s">
        <v>244</v>
      </c>
      <c r="L79">
        <f>IFERROR(VLOOKUP($A79,Actual!$A:$D,4,FALSE),IFERROR(VLOOKUP($A79,fc!$A:$AC,29,FALSE),"Not Found"))</f>
        <v>3</v>
      </c>
      <c r="M79">
        <f>IFERROR(VLOOKUP($A79,Actual!$A:$D,3,FALSE),"0")</f>
        <v>0.26369999999999999</v>
      </c>
      <c r="N79">
        <f>IFERROR(VLOOKUP($A79,NHT!$B:$F,5,FALSE),IFERROR(VLOOKUP(A79,fc!A:AD,28,FALSE),"Not Found"))</f>
        <v>17.600000000000001</v>
      </c>
    </row>
    <row r="80" spans="1:14" x14ac:dyDescent="0.2">
      <c r="A80" t="s">
        <v>50</v>
      </c>
      <c r="B80" t="s">
        <v>200</v>
      </c>
      <c r="C80" t="s">
        <v>12</v>
      </c>
      <c r="D80">
        <v>2600</v>
      </c>
      <c r="E80">
        <v>5.5297756103248199</v>
      </c>
      <c r="F80">
        <v>6.02</v>
      </c>
      <c r="G80">
        <v>-0.49022438967517101</v>
      </c>
      <c r="H80">
        <v>2.1268367732018501</v>
      </c>
      <c r="I80">
        <v>1.3824439025812001</v>
      </c>
      <c r="J80">
        <v>18.824439025812001</v>
      </c>
      <c r="K80" t="s">
        <v>244</v>
      </c>
      <c r="L80">
        <f>IFERROR(VLOOKUP($A80,Actual!$A:$D,4,FALSE),IFERROR(VLOOKUP($A80,fc!$A:$AC,29,FALSE),"Not Found"))</f>
        <v>3</v>
      </c>
      <c r="M80">
        <f>IFERROR(VLOOKUP($A80,Actual!$A:$D,3,FALSE),"0")</f>
        <v>6.4500000000000002E-2</v>
      </c>
      <c r="N80">
        <f>IFERROR(VLOOKUP($A80,NHT!$B:$F,5,FALSE),IFERROR(VLOOKUP(A80,fc!A:AD,28,FALSE),"Not Found"))</f>
        <v>17.733333333333</v>
      </c>
    </row>
    <row r="81" spans="1:14" x14ac:dyDescent="0.2">
      <c r="A81" t="s">
        <v>85</v>
      </c>
      <c r="B81" t="s">
        <v>211</v>
      </c>
      <c r="C81" t="s">
        <v>9</v>
      </c>
      <c r="D81">
        <v>3900</v>
      </c>
      <c r="E81">
        <v>6.9273565270275999</v>
      </c>
      <c r="F81">
        <v>7.14</v>
      </c>
      <c r="G81">
        <v>-0.212643472972393</v>
      </c>
      <c r="H81">
        <v>1.77624526334041</v>
      </c>
      <c r="I81">
        <v>1.7318391317569</v>
      </c>
      <c r="J81">
        <v>22.318391317568999</v>
      </c>
      <c r="K81" t="s">
        <v>244</v>
      </c>
      <c r="L81">
        <f>IFERROR(VLOOKUP($A81,Actual!$A:$D,4,FALSE),IFERROR(VLOOKUP($A81,fc!$A:$AC,29,FALSE),"Not Found"))</f>
        <v>1.3</v>
      </c>
      <c r="M81">
        <f>IFERROR(VLOOKUP($A81,Actual!$A:$D,3,FALSE),"0")</f>
        <v>2.9499999999999998E-2</v>
      </c>
      <c r="N81">
        <f>IFERROR(VLOOKUP($A81,NHT!$B:$F,5,FALSE),IFERROR(VLOOKUP(A81,fc!A:AD,28,FALSE),"Not Found"))</f>
        <v>17.850000000000001</v>
      </c>
    </row>
    <row r="82" spans="1:14" x14ac:dyDescent="0.2">
      <c r="A82" t="s">
        <v>51</v>
      </c>
      <c r="B82" t="s">
        <v>204</v>
      </c>
      <c r="C82" t="s">
        <v>9</v>
      </c>
      <c r="D82">
        <v>6700</v>
      </c>
      <c r="E82">
        <v>16.855668701772601</v>
      </c>
      <c r="F82">
        <v>13.29</v>
      </c>
      <c r="G82">
        <v>3.5656687017726001</v>
      </c>
      <c r="H82">
        <v>2.51577144802576</v>
      </c>
      <c r="I82">
        <v>4.2139171754431501</v>
      </c>
      <c r="J82">
        <v>47.139171754431501</v>
      </c>
      <c r="K82" t="s">
        <v>244</v>
      </c>
      <c r="L82">
        <f>IFERROR(VLOOKUP($A82,Actual!$A:$D,4,FALSE),IFERROR(VLOOKUP($A82,fc!$A:$AC,29,FALSE),"Not Found"))</f>
        <v>15.5</v>
      </c>
      <c r="M82">
        <f>IFERROR(VLOOKUP($A82,Actual!$A:$D,3,FALSE),"0")</f>
        <v>6.4500000000000002E-2</v>
      </c>
      <c r="N82">
        <f>IFERROR(VLOOKUP($A82,NHT!$B:$F,5,FALSE),IFERROR(VLOOKUP(A82,fc!A:AD,28,FALSE),"Not Found"))</f>
        <v>17.916666666666998</v>
      </c>
    </row>
    <row r="83" spans="1:14" x14ac:dyDescent="0.2">
      <c r="A83" t="s">
        <v>28</v>
      </c>
      <c r="B83" t="s">
        <v>245</v>
      </c>
      <c r="C83" t="s">
        <v>9</v>
      </c>
      <c r="D83">
        <v>9500</v>
      </c>
      <c r="E83">
        <v>21.479450304867498</v>
      </c>
      <c r="F83">
        <v>16.350000000000001</v>
      </c>
      <c r="G83">
        <v>5.1294503048675804</v>
      </c>
      <c r="H83">
        <v>2.26099476893343</v>
      </c>
      <c r="I83">
        <v>5.3698625762168897</v>
      </c>
      <c r="J83">
        <v>58.698625762168902</v>
      </c>
      <c r="K83" t="s">
        <v>244</v>
      </c>
      <c r="L83">
        <f>IFERROR(VLOOKUP($A83,Actual!$A:$D,4,FALSE),IFERROR(VLOOKUP($A83,fc!$A:$AC,29,FALSE),"Not Found"))</f>
        <v>27.4</v>
      </c>
      <c r="M83">
        <f>IFERROR(VLOOKUP($A83,Actual!$A:$D,3,FALSE),"0")</f>
        <v>0.13320000000000001</v>
      </c>
      <c r="N83">
        <f>IFERROR(VLOOKUP($A83,NHT!$B:$F,5,FALSE),IFERROR(VLOOKUP(A83,fc!A:AD,28,FALSE),"Not Found"))</f>
        <v>18.333333333333002</v>
      </c>
    </row>
    <row r="84" spans="1:14" x14ac:dyDescent="0.2">
      <c r="A84" t="s">
        <v>95</v>
      </c>
      <c r="B84" t="s">
        <v>207</v>
      </c>
      <c r="C84" t="s">
        <v>12</v>
      </c>
      <c r="D84">
        <v>2500</v>
      </c>
      <c r="E84">
        <v>5.4093438932047402</v>
      </c>
      <c r="F84">
        <v>4.46</v>
      </c>
      <c r="G84">
        <v>0.94934389320474</v>
      </c>
      <c r="H84">
        <v>2.1637375572818902</v>
      </c>
      <c r="I84">
        <v>1.3523359733011799</v>
      </c>
      <c r="J84">
        <v>18.523359733011802</v>
      </c>
      <c r="K84" t="s">
        <v>244</v>
      </c>
      <c r="L84">
        <f>IFERROR(VLOOKUP($A84,Actual!$A:$D,4,FALSE),IFERROR(VLOOKUP($A84,fc!$A:$AC,29,FALSE),"Not Found"))</f>
        <v>13</v>
      </c>
      <c r="M84">
        <f>IFERROR(VLOOKUP($A84,Actual!$A:$D,3,FALSE),"0")</f>
        <v>2.24E-2</v>
      </c>
      <c r="N84">
        <f>IFERROR(VLOOKUP($A84,NHT!$B:$F,5,FALSE),IFERROR(VLOOKUP(A84,fc!A:AD,28,FALSE),"Not Found"))</f>
        <v>18.383333333332999</v>
      </c>
    </row>
    <row r="85" spans="1:14" x14ac:dyDescent="0.2">
      <c r="A85" t="s">
        <v>98</v>
      </c>
      <c r="B85" t="s">
        <v>211</v>
      </c>
      <c r="C85" t="s">
        <v>9</v>
      </c>
      <c r="D85">
        <v>7700</v>
      </c>
      <c r="E85">
        <v>13.000344020159501</v>
      </c>
      <c r="F85">
        <v>12.28</v>
      </c>
      <c r="G85">
        <v>0.720344020159572</v>
      </c>
      <c r="H85">
        <v>1.68835636625448</v>
      </c>
      <c r="I85">
        <v>3.2500860050398899</v>
      </c>
      <c r="J85">
        <v>37.500860050398899</v>
      </c>
      <c r="K85" t="s">
        <v>244</v>
      </c>
      <c r="L85">
        <f>IFERROR(VLOOKUP($A85,Actual!$A:$D,4,FALSE),IFERROR(VLOOKUP($A85,fc!$A:$AC,29,FALSE),"Not Found"))</f>
        <v>11.8</v>
      </c>
      <c r="M85">
        <f>IFERROR(VLOOKUP($A85,Actual!$A:$D,3,FALSE),"0")</f>
        <v>2.24E-2</v>
      </c>
      <c r="N85">
        <f>IFERROR(VLOOKUP($A85,NHT!$B:$F,5,FALSE),IFERROR(VLOOKUP(A85,fc!A:AD,28,FALSE),"Not Found"))</f>
        <v>18.466666666666999</v>
      </c>
    </row>
    <row r="86" spans="1:14" x14ac:dyDescent="0.2">
      <c r="A86" t="s">
        <v>38</v>
      </c>
      <c r="B86" t="s">
        <v>245</v>
      </c>
      <c r="C86" t="s">
        <v>5</v>
      </c>
      <c r="D86">
        <v>7000</v>
      </c>
      <c r="E86">
        <v>15.673544483303001</v>
      </c>
      <c r="F86">
        <v>12.95</v>
      </c>
      <c r="G86">
        <v>2.7235444833030402</v>
      </c>
      <c r="H86">
        <v>2.2390777833289999</v>
      </c>
      <c r="I86">
        <v>3.91838612082576</v>
      </c>
      <c r="J86">
        <v>44.183861208257603</v>
      </c>
      <c r="K86" t="s">
        <v>244</v>
      </c>
      <c r="L86">
        <f>IFERROR(VLOOKUP($A86,Actual!$A:$D,4,FALSE),IFERROR(VLOOKUP($A86,fc!$A:$AC,29,FALSE),"Not Found"))</f>
        <v>6.5</v>
      </c>
      <c r="M86">
        <f>IFERROR(VLOOKUP($A86,Actual!$A:$D,3,FALSE),"0")</f>
        <v>9.4E-2</v>
      </c>
      <c r="N86">
        <f>IFERROR(VLOOKUP($A86,NHT!$B:$F,5,FALSE),IFERROR(VLOOKUP(A86,fc!A:AD,28,FALSE),"Not Found"))</f>
        <v>18.55</v>
      </c>
    </row>
    <row r="87" spans="1:14" x14ac:dyDescent="0.2">
      <c r="A87" t="s">
        <v>79</v>
      </c>
      <c r="B87" t="s">
        <v>204</v>
      </c>
      <c r="C87" t="s">
        <v>12</v>
      </c>
      <c r="D87">
        <v>3100</v>
      </c>
      <c r="E87">
        <v>7.1592941405883703</v>
      </c>
      <c r="F87">
        <v>6.1</v>
      </c>
      <c r="G87">
        <v>1.05929414058837</v>
      </c>
      <c r="H87">
        <v>2.3094497227704398</v>
      </c>
      <c r="I87">
        <v>1.7898235351470899</v>
      </c>
      <c r="J87">
        <v>22.898235351470898</v>
      </c>
      <c r="K87" t="s">
        <v>244</v>
      </c>
      <c r="L87">
        <f>IFERROR(VLOOKUP($A87,Actual!$A:$D,4,FALSE),IFERROR(VLOOKUP($A87,fc!$A:$AC,29,FALSE),"Not Found"))</f>
        <v>4.0999999999999996</v>
      </c>
      <c r="M87">
        <f>IFERROR(VLOOKUP($A87,Actual!$A:$D,3,FALSE),"0")</f>
        <v>3.3700000000000001E-2</v>
      </c>
      <c r="N87">
        <f>IFERROR(VLOOKUP($A87,NHT!$B:$F,5,FALSE),IFERROR(VLOOKUP(A87,fc!A:AD,28,FALSE),"Not Found"))</f>
        <v>18.75</v>
      </c>
    </row>
    <row r="88" spans="1:14" x14ac:dyDescent="0.2">
      <c r="A88" t="s">
        <v>75</v>
      </c>
      <c r="B88" t="s">
        <v>204</v>
      </c>
      <c r="C88" t="s">
        <v>5</v>
      </c>
      <c r="D88">
        <v>3100</v>
      </c>
      <c r="E88">
        <v>5.8475575658995202</v>
      </c>
      <c r="F88">
        <v>5.91</v>
      </c>
      <c r="G88">
        <v>-6.2442434100472698E-2</v>
      </c>
      <c r="H88">
        <v>1.8863088922256499</v>
      </c>
      <c r="I88">
        <v>1.4618893914748801</v>
      </c>
      <c r="J88">
        <v>19.618893914748799</v>
      </c>
      <c r="K88" t="s">
        <v>244</v>
      </c>
      <c r="L88">
        <f>IFERROR(VLOOKUP($A88,Actual!$A:$D,4,FALSE),IFERROR(VLOOKUP($A88,fc!$A:$AC,29,FALSE),"Not Found"))</f>
        <v>9.1</v>
      </c>
      <c r="M88">
        <f>IFERROR(VLOOKUP($A88,Actual!$A:$D,3,FALSE),"0")</f>
        <v>3.7900000000000003E-2</v>
      </c>
      <c r="N88">
        <f>IFERROR(VLOOKUP($A88,NHT!$B:$F,5,FALSE),IFERROR(VLOOKUP(A88,fc!A:AD,28,FALSE),"Not Found"))</f>
        <v>18.883333333332999</v>
      </c>
    </row>
    <row r="89" spans="1:14" x14ac:dyDescent="0.2">
      <c r="A89" t="s">
        <v>55</v>
      </c>
      <c r="B89" t="s">
        <v>214</v>
      </c>
      <c r="C89" t="s">
        <v>5</v>
      </c>
      <c r="D89">
        <v>4600</v>
      </c>
      <c r="E89">
        <v>9.8414291152615991</v>
      </c>
      <c r="F89">
        <v>8.39</v>
      </c>
      <c r="G89">
        <v>1.4514291152615899</v>
      </c>
      <c r="H89">
        <v>2.1394411120133898</v>
      </c>
      <c r="I89">
        <v>2.4603572788153998</v>
      </c>
      <c r="J89">
        <v>29.603572788153901</v>
      </c>
      <c r="K89" t="s">
        <v>244</v>
      </c>
      <c r="L89">
        <f>IFERROR(VLOOKUP($A89,Actual!$A:$D,4,FALSE),IFERROR(VLOOKUP($A89,fc!$A:$AC,29,FALSE),"Not Found"))</f>
        <v>2.8</v>
      </c>
      <c r="M89">
        <f>IFERROR(VLOOKUP($A89,Actual!$A:$D,3,FALSE),"0")</f>
        <v>5.7500000000000002E-2</v>
      </c>
      <c r="N89">
        <f>IFERROR(VLOOKUP($A89,NHT!$B:$F,5,FALSE),IFERROR(VLOOKUP(A89,fc!A:AD,28,FALSE),"Not Found"))</f>
        <v>19</v>
      </c>
    </row>
    <row r="90" spans="1:14" x14ac:dyDescent="0.2">
      <c r="A90" t="s">
        <v>111</v>
      </c>
      <c r="B90" t="s">
        <v>245</v>
      </c>
      <c r="C90" t="s">
        <v>5</v>
      </c>
      <c r="D90">
        <v>2800</v>
      </c>
      <c r="E90">
        <v>6.4108043945001203</v>
      </c>
      <c r="F90">
        <v>5.15</v>
      </c>
      <c r="G90">
        <v>1.2608043945001199</v>
      </c>
      <c r="H90">
        <v>2.2895729980357502</v>
      </c>
      <c r="I90">
        <v>1.6027010986250301</v>
      </c>
      <c r="J90">
        <v>21.0270109862503</v>
      </c>
      <c r="K90" t="s">
        <v>244</v>
      </c>
      <c r="L90">
        <f>IFERROR(VLOOKUP($A90,Actual!$A:$D,4,FALSE),IFERROR(VLOOKUP($A90,fc!$A:$AC,29,FALSE),"Not Found"))</f>
        <v>1.5</v>
      </c>
      <c r="M90">
        <f>IFERROR(VLOOKUP($A90,Actual!$A:$D,3,FALSE),"0")</f>
        <v>1.54E-2</v>
      </c>
      <c r="N90">
        <f>IFERROR(VLOOKUP($A90,NHT!$B:$F,5,FALSE),IFERROR(VLOOKUP(A90,fc!A:AD,28,FALSE),"Not Found"))</f>
        <v>19.116666666667001</v>
      </c>
    </row>
    <row r="91" spans="1:14" x14ac:dyDescent="0.2">
      <c r="A91" t="s">
        <v>15</v>
      </c>
      <c r="B91" t="s">
        <v>200</v>
      </c>
      <c r="C91" t="s">
        <v>5</v>
      </c>
      <c r="D91">
        <v>5200</v>
      </c>
      <c r="E91">
        <v>12.347091544509601</v>
      </c>
      <c r="F91">
        <v>10.81</v>
      </c>
      <c r="G91">
        <v>1.53709154450963</v>
      </c>
      <c r="H91">
        <v>2.37444068163646</v>
      </c>
      <c r="I91">
        <v>3.0867728861274002</v>
      </c>
      <c r="J91">
        <v>35.867728861274003</v>
      </c>
      <c r="K91" t="s">
        <v>244</v>
      </c>
      <c r="L91">
        <f>IFERROR(VLOOKUP($A91,Actual!$A:$D,4,FALSE),IFERROR(VLOOKUP($A91,fc!$A:$AC,29,FALSE),"Not Found"))</f>
        <v>15.8</v>
      </c>
      <c r="M91">
        <f>IFERROR(VLOOKUP($A91,Actual!$A:$D,3,FALSE),"0")</f>
        <v>0.23280000000000001</v>
      </c>
      <c r="N91">
        <f>IFERROR(VLOOKUP($A91,NHT!$B:$F,5,FALSE),IFERROR(VLOOKUP(A91,fc!A:AD,28,FALSE),"Not Found"))</f>
        <v>19.216666666666999</v>
      </c>
    </row>
    <row r="92" spans="1:14" x14ac:dyDescent="0.2">
      <c r="A92" t="s">
        <v>23</v>
      </c>
      <c r="B92" t="s">
        <v>203</v>
      </c>
      <c r="C92" t="s">
        <v>5</v>
      </c>
      <c r="D92">
        <v>6000</v>
      </c>
      <c r="E92">
        <v>10.534915105601799</v>
      </c>
      <c r="F92">
        <v>9.15</v>
      </c>
      <c r="G92">
        <v>1.38491510560185</v>
      </c>
      <c r="H92">
        <v>1.7558191842669699</v>
      </c>
      <c r="I92">
        <v>2.63372877640046</v>
      </c>
      <c r="J92">
        <v>31.3372877640046</v>
      </c>
      <c r="K92" t="s">
        <v>244</v>
      </c>
      <c r="L92">
        <f>IFERROR(VLOOKUP($A92,Actual!$A:$D,4,FALSE),IFERROR(VLOOKUP($A92,fc!$A:$AC,29,FALSE),"Not Found"))</f>
        <v>6.5</v>
      </c>
      <c r="M92">
        <f>IFERROR(VLOOKUP($A92,Actual!$A:$D,3,FALSE),"0")</f>
        <v>0.15570000000000001</v>
      </c>
      <c r="N92">
        <f>IFERROR(VLOOKUP($A92,NHT!$B:$F,5,FALSE),IFERROR(VLOOKUP(A92,fc!A:AD,28,FALSE),"Not Found"))</f>
        <v>19.25</v>
      </c>
    </row>
    <row r="93" spans="1:14" x14ac:dyDescent="0.2">
      <c r="A93" t="s">
        <v>74</v>
      </c>
      <c r="B93" t="s">
        <v>206</v>
      </c>
      <c r="C93" t="s">
        <v>5</v>
      </c>
      <c r="D93">
        <v>7800</v>
      </c>
      <c r="E93">
        <v>16.277207800744801</v>
      </c>
      <c r="F93">
        <v>13.57</v>
      </c>
      <c r="G93">
        <v>2.7072078007448401</v>
      </c>
      <c r="H93">
        <v>2.0868215129159999</v>
      </c>
      <c r="I93">
        <v>4.06930195018621</v>
      </c>
      <c r="J93">
        <v>45.693019501862103</v>
      </c>
      <c r="K93" t="s">
        <v>244</v>
      </c>
      <c r="L93">
        <f>IFERROR(VLOOKUP($A93,Actual!$A:$D,4,FALSE),IFERROR(VLOOKUP($A93,fc!$A:$AC,29,FALSE),"Not Found"))</f>
        <v>1.5</v>
      </c>
      <c r="M93">
        <f>IFERROR(VLOOKUP($A93,Actual!$A:$D,3,FALSE),"0")</f>
        <v>4.07E-2</v>
      </c>
      <c r="N93">
        <f>IFERROR(VLOOKUP($A93,NHT!$B:$F,5,FALSE),IFERROR(VLOOKUP(A93,fc!A:AD,28,FALSE),"Not Found"))</f>
        <v>19.283333333333001</v>
      </c>
    </row>
    <row r="94" spans="1:14" x14ac:dyDescent="0.2">
      <c r="A94" t="s">
        <v>66</v>
      </c>
      <c r="B94" t="s">
        <v>204</v>
      </c>
      <c r="C94" t="s">
        <v>9</v>
      </c>
      <c r="D94">
        <v>3400</v>
      </c>
      <c r="E94">
        <v>6.9696835864002002</v>
      </c>
      <c r="F94">
        <v>5.42</v>
      </c>
      <c r="G94">
        <v>1.5496835864002001</v>
      </c>
      <c r="H94">
        <v>2.0499069371765302</v>
      </c>
      <c r="I94">
        <v>1.7424208966000501</v>
      </c>
      <c r="J94">
        <v>22.424208966000499</v>
      </c>
      <c r="K94" t="s">
        <v>244</v>
      </c>
      <c r="L94">
        <f>IFERROR(VLOOKUP($A94,Actual!$A:$D,4,FALSE),IFERROR(VLOOKUP($A94,fc!$A:$AC,29,FALSE),"Not Found"))</f>
        <v>10</v>
      </c>
      <c r="M94">
        <f>IFERROR(VLOOKUP($A94,Actual!$A:$D,3,FALSE),"0")</f>
        <v>4.6300000000000001E-2</v>
      </c>
      <c r="N94">
        <f>IFERROR(VLOOKUP($A94,NHT!$B:$F,5,FALSE),IFERROR(VLOOKUP(A94,fc!A:AD,28,FALSE),"Not Found"))</f>
        <v>19.3</v>
      </c>
    </row>
    <row r="95" spans="1:14" x14ac:dyDescent="0.2">
      <c r="A95" t="s">
        <v>14</v>
      </c>
      <c r="B95" t="s">
        <v>203</v>
      </c>
      <c r="C95" t="s">
        <v>9</v>
      </c>
      <c r="D95">
        <v>7600</v>
      </c>
      <c r="E95">
        <v>15.290330268767701</v>
      </c>
      <c r="F95">
        <v>12.9</v>
      </c>
      <c r="G95">
        <v>2.3903302687677601</v>
      </c>
      <c r="H95">
        <v>2.0118855616799598</v>
      </c>
      <c r="I95">
        <v>3.8225825671919398</v>
      </c>
      <c r="J95">
        <v>43.225825671919402</v>
      </c>
      <c r="K95" t="s">
        <v>244</v>
      </c>
      <c r="L95">
        <f>IFERROR(VLOOKUP($A95,Actual!$A:$D,4,FALSE),IFERROR(VLOOKUP($A95,fc!$A:$AC,29,FALSE),"Not Found"))</f>
        <v>20.6</v>
      </c>
      <c r="M95">
        <f>IFERROR(VLOOKUP($A95,Actual!$A:$D,3,FALSE),"0")</f>
        <v>0.25530000000000003</v>
      </c>
      <c r="N95">
        <f>IFERROR(VLOOKUP($A95,NHT!$B:$F,5,FALSE),IFERROR(VLOOKUP(A95,fc!A:AD,28,FALSE),"Not Found"))</f>
        <v>19.366666666667001</v>
      </c>
    </row>
    <row r="96" spans="1:14" x14ac:dyDescent="0.2">
      <c r="A96" t="s">
        <v>54</v>
      </c>
      <c r="B96" t="s">
        <v>214</v>
      </c>
      <c r="C96" t="s">
        <v>12</v>
      </c>
      <c r="D96">
        <v>3100</v>
      </c>
      <c r="E96">
        <v>7.4423890031619697</v>
      </c>
      <c r="F96">
        <v>5.86</v>
      </c>
      <c r="G96">
        <v>1.5823890031619701</v>
      </c>
      <c r="H96">
        <v>2.4007706461812801</v>
      </c>
      <c r="I96">
        <v>1.86059725079049</v>
      </c>
      <c r="J96">
        <v>23.605972507904902</v>
      </c>
      <c r="K96" t="s">
        <v>244</v>
      </c>
      <c r="L96">
        <f>IFERROR(VLOOKUP($A96,Actual!$A:$D,4,FALSE),IFERROR(VLOOKUP($A96,fc!$A:$AC,29,FALSE),"Not Found"))</f>
        <v>2.8</v>
      </c>
      <c r="M96">
        <f>IFERROR(VLOOKUP($A96,Actual!$A:$D,3,FALSE),"0")</f>
        <v>5.7500000000000002E-2</v>
      </c>
      <c r="N96">
        <f>IFERROR(VLOOKUP($A96,NHT!$B:$F,5,FALSE),IFERROR(VLOOKUP(A96,fc!A:AD,28,FALSE),"Not Found"))</f>
        <v>19.399999999999999</v>
      </c>
    </row>
    <row r="97" spans="1:14" x14ac:dyDescent="0.2">
      <c r="A97" t="s">
        <v>162</v>
      </c>
      <c r="B97" t="s">
        <v>245</v>
      </c>
      <c r="C97" t="s">
        <v>12</v>
      </c>
      <c r="D97">
        <v>2800</v>
      </c>
      <c r="E97">
        <v>7.3745123778089496</v>
      </c>
      <c r="F97">
        <v>5.47</v>
      </c>
      <c r="G97">
        <v>1.9045123778089501</v>
      </c>
      <c r="H97">
        <v>2.6337544206460501</v>
      </c>
      <c r="I97">
        <v>1.8436280944522301</v>
      </c>
      <c r="J97">
        <v>23.436280944522299</v>
      </c>
      <c r="K97" t="s">
        <v>244</v>
      </c>
      <c r="L97">
        <f>IFERROR(VLOOKUP($A97,Actual!$A:$D,4,FALSE),IFERROR(VLOOKUP($A97,fc!$A:$AC,29,FALSE),"Not Found"))</f>
        <v>2.8</v>
      </c>
      <c r="M97">
        <f>IFERROR(VLOOKUP($A97,Actual!$A:$D,3,FALSE),"0")</f>
        <v>1.4E-3</v>
      </c>
      <c r="N97">
        <f>IFERROR(VLOOKUP($A97,NHT!$B:$F,5,FALSE),IFERROR(VLOOKUP(A97,fc!A:AD,28,FALSE),"Not Found"))</f>
        <v>19.899999999999999</v>
      </c>
    </row>
    <row r="98" spans="1:14" x14ac:dyDescent="0.2">
      <c r="A98" t="s">
        <v>86</v>
      </c>
      <c r="B98" t="s">
        <v>211</v>
      </c>
      <c r="C98" t="s">
        <v>9</v>
      </c>
      <c r="D98">
        <v>6900</v>
      </c>
      <c r="E98">
        <v>12.059441069892699</v>
      </c>
      <c r="F98">
        <v>11.42</v>
      </c>
      <c r="G98">
        <v>0.639441069892702</v>
      </c>
      <c r="H98">
        <v>1.74774508259314</v>
      </c>
      <c r="I98">
        <v>3.0148602674731699</v>
      </c>
      <c r="J98">
        <v>35.148602674731698</v>
      </c>
      <c r="K98" t="s">
        <v>244</v>
      </c>
      <c r="L98">
        <f>IFERROR(VLOOKUP($A98,Actual!$A:$D,4,FALSE),IFERROR(VLOOKUP($A98,fc!$A:$AC,29,FALSE),"Not Found"))</f>
        <v>1.5</v>
      </c>
      <c r="M98">
        <f>IFERROR(VLOOKUP($A98,Actual!$A:$D,3,FALSE),"0")</f>
        <v>2.81E-2</v>
      </c>
      <c r="N98">
        <f>IFERROR(VLOOKUP($A98,NHT!$B:$F,5,FALSE),IFERROR(VLOOKUP(A98,fc!A:AD,28,FALSE),"Not Found"))</f>
        <v>19.933333333333</v>
      </c>
    </row>
    <row r="99" spans="1:14" x14ac:dyDescent="0.2">
      <c r="A99" t="s">
        <v>18</v>
      </c>
      <c r="B99" t="s">
        <v>203</v>
      </c>
      <c r="C99" t="s">
        <v>12</v>
      </c>
      <c r="D99">
        <v>3800</v>
      </c>
      <c r="E99">
        <v>8.5141463225472709</v>
      </c>
      <c r="F99">
        <v>7.82</v>
      </c>
      <c r="G99">
        <v>0.69414632254727504</v>
      </c>
      <c r="H99">
        <v>2.2405648217229599</v>
      </c>
      <c r="I99">
        <v>2.1285365806368102</v>
      </c>
      <c r="J99">
        <v>26.285365806368102</v>
      </c>
      <c r="K99" t="s">
        <v>244</v>
      </c>
      <c r="L99">
        <f>IFERROR(VLOOKUP($A99,Actual!$A:$D,4,FALSE),IFERROR(VLOOKUP($A99,fc!$A:$AC,29,FALSE),"Not Found"))</f>
        <v>40.1</v>
      </c>
      <c r="M99">
        <f>IFERROR(VLOOKUP($A99,Actual!$A:$D,3,FALSE),"0")</f>
        <v>0.18090000000000001</v>
      </c>
      <c r="N99">
        <f>IFERROR(VLOOKUP($A99,NHT!$B:$F,5,FALSE),IFERROR(VLOOKUP(A99,fc!A:AD,28,FALSE),"Not Found"))</f>
        <v>19.966666666666999</v>
      </c>
    </row>
    <row r="100" spans="1:14" x14ac:dyDescent="0.2">
      <c r="A100" t="s">
        <v>10</v>
      </c>
      <c r="B100" t="s">
        <v>203</v>
      </c>
      <c r="C100" t="s">
        <v>5</v>
      </c>
      <c r="D100">
        <v>9300</v>
      </c>
      <c r="E100">
        <v>17.244632898625099</v>
      </c>
      <c r="F100">
        <v>14.41</v>
      </c>
      <c r="G100">
        <v>2.8346328986251201</v>
      </c>
      <c r="H100">
        <v>1.8542616020027001</v>
      </c>
      <c r="I100">
        <v>4.3111582246562801</v>
      </c>
      <c r="J100">
        <v>48.111582246562797</v>
      </c>
      <c r="K100" t="s">
        <v>244</v>
      </c>
      <c r="L100">
        <f>IFERROR(VLOOKUP($A100,Actual!$A:$D,4,FALSE),IFERROR(VLOOKUP($A100,fc!$A:$AC,29,FALSE),"Not Found"))</f>
        <v>24.5</v>
      </c>
      <c r="M100">
        <f>IFERROR(VLOOKUP($A100,Actual!$A:$D,3,FALSE),"0")</f>
        <v>0.27629999999999999</v>
      </c>
      <c r="N100">
        <f>IFERROR(VLOOKUP($A100,NHT!$B:$F,5,FALSE),IFERROR(VLOOKUP(A100,fc!A:AD,28,FALSE),"Not Found"))</f>
        <v>20.149999999999999</v>
      </c>
    </row>
    <row r="101" spans="1:14" x14ac:dyDescent="0.2">
      <c r="A101" t="s">
        <v>124</v>
      </c>
      <c r="B101" t="s">
        <v>211</v>
      </c>
      <c r="C101" t="s">
        <v>12</v>
      </c>
      <c r="D101">
        <v>2900</v>
      </c>
      <c r="E101">
        <v>6.0238297859778003</v>
      </c>
      <c r="F101">
        <v>5.36</v>
      </c>
      <c r="G101">
        <v>0.66382978597780595</v>
      </c>
      <c r="H101">
        <v>2.0771826848199302</v>
      </c>
      <c r="I101">
        <v>1.5059574464944501</v>
      </c>
      <c r="J101">
        <v>20.0595744649445</v>
      </c>
      <c r="K101" t="s">
        <v>244</v>
      </c>
      <c r="L101">
        <f>IFERROR(VLOOKUP($A101,Actual!$A:$D,4,FALSE),IFERROR(VLOOKUP($A101,fc!$A:$AC,29,FALSE),"Not Found"))</f>
        <v>1.3</v>
      </c>
      <c r="M101">
        <f>IFERROR(VLOOKUP($A101,Actual!$A:$D,3,FALSE),"0")</f>
        <v>8.3999999999999995E-3</v>
      </c>
      <c r="N101">
        <f>IFERROR(VLOOKUP($A101,NHT!$B:$F,5,FALSE),IFERROR(VLOOKUP(A101,fc!A:AD,28,FALSE),"Not Found"))</f>
        <v>20.25</v>
      </c>
    </row>
    <row r="102" spans="1:14" x14ac:dyDescent="0.2">
      <c r="A102" t="s">
        <v>222</v>
      </c>
      <c r="B102" t="s">
        <v>200</v>
      </c>
      <c r="C102" t="s">
        <v>12</v>
      </c>
      <c r="D102">
        <v>2500</v>
      </c>
      <c r="E102">
        <v>5.5061199565955299</v>
      </c>
      <c r="F102">
        <v>3.92</v>
      </c>
      <c r="G102">
        <v>1.58611995659553</v>
      </c>
      <c r="H102">
        <v>2.2024479826382102</v>
      </c>
      <c r="I102">
        <v>1.37652998914888</v>
      </c>
      <c r="J102">
        <v>18.765299891488802</v>
      </c>
      <c r="K102" t="s">
        <v>244</v>
      </c>
      <c r="L102">
        <f>IFERROR(VLOOKUP($A102,Actual!$A:$D,4,FALSE),IFERROR(VLOOKUP($A102,fc!$A:$AC,29,FALSE),"Not Found"))</f>
        <v>1.3</v>
      </c>
      <c r="M102" t="str">
        <f>IFERROR(VLOOKUP($A102,Actual!$A:$D,3,FALSE),"0")</f>
        <v>0</v>
      </c>
      <c r="N102">
        <f>IFERROR(VLOOKUP($A102,NHT!$B:$F,5,FALSE),IFERROR(VLOOKUP(A102,fc!A:AD,28,FALSE),"Not Found"))</f>
        <v>20.433333333333</v>
      </c>
    </row>
    <row r="103" spans="1:14" x14ac:dyDescent="0.2">
      <c r="A103" t="s">
        <v>117</v>
      </c>
      <c r="B103" t="s">
        <v>200</v>
      </c>
      <c r="C103" t="s">
        <v>12</v>
      </c>
      <c r="D103">
        <v>2500</v>
      </c>
      <c r="E103">
        <v>4.2845030596193601</v>
      </c>
      <c r="F103">
        <v>4.21</v>
      </c>
      <c r="G103">
        <v>7.4503059619360101E-2</v>
      </c>
      <c r="H103">
        <v>1.71380122384774</v>
      </c>
      <c r="I103">
        <v>1.07112576490484</v>
      </c>
      <c r="J103">
        <v>15.711257649048401</v>
      </c>
      <c r="K103" t="s">
        <v>244</v>
      </c>
      <c r="L103">
        <f>IFERROR(VLOOKUP($A103,Actual!$A:$D,4,FALSE),IFERROR(VLOOKUP($A103,fc!$A:$AC,29,FALSE),"Not Found"))</f>
        <v>0</v>
      </c>
      <c r="M103">
        <f>IFERROR(VLOOKUP($A103,Actual!$A:$D,3,FALSE),"0")</f>
        <v>1.12E-2</v>
      </c>
      <c r="N103">
        <f>IFERROR(VLOOKUP($A103,NHT!$B:$F,5,FALSE),IFERROR(VLOOKUP(A103,fc!A:AD,28,FALSE),"Not Found"))</f>
        <v>20.6</v>
      </c>
    </row>
    <row r="104" spans="1:14" x14ac:dyDescent="0.2">
      <c r="A104" t="s">
        <v>125</v>
      </c>
      <c r="B104" t="s">
        <v>211</v>
      </c>
      <c r="C104" t="s">
        <v>12</v>
      </c>
      <c r="D104">
        <v>4500</v>
      </c>
      <c r="E104">
        <v>7.7571161279188097</v>
      </c>
      <c r="F104">
        <v>8.93</v>
      </c>
      <c r="G104">
        <v>-1.1728838720811801</v>
      </c>
      <c r="H104">
        <v>1.7238035839819501</v>
      </c>
      <c r="I104">
        <v>1.9392790319797</v>
      </c>
      <c r="J104">
        <v>24.392790319797001</v>
      </c>
      <c r="K104" t="s">
        <v>244</v>
      </c>
      <c r="L104">
        <f>IFERROR(VLOOKUP($A104,Actual!$A:$D,4,FALSE),IFERROR(VLOOKUP($A104,fc!$A:$AC,29,FALSE),"Not Found"))</f>
        <v>3</v>
      </c>
      <c r="M104">
        <f>IFERROR(VLOOKUP($A104,Actual!$A:$D,3,FALSE),"0")</f>
        <v>8.3999999999999995E-3</v>
      </c>
      <c r="N104">
        <f>IFERROR(VLOOKUP($A104,NHT!$B:$F,5,FALSE),IFERROR(VLOOKUP(A104,fc!A:AD,28,FALSE),"Not Found"))</f>
        <v>20.65</v>
      </c>
    </row>
    <row r="105" spans="1:14" x14ac:dyDescent="0.2">
      <c r="A105" t="s">
        <v>102</v>
      </c>
      <c r="B105" t="s">
        <v>214</v>
      </c>
      <c r="C105" t="s">
        <v>12</v>
      </c>
      <c r="D105">
        <v>3200</v>
      </c>
      <c r="E105">
        <v>6.0293864890339401</v>
      </c>
      <c r="F105">
        <v>6.31</v>
      </c>
      <c r="G105">
        <v>-0.28061351096605203</v>
      </c>
      <c r="H105">
        <v>1.8841832778231</v>
      </c>
      <c r="I105">
        <v>1.5073466222584799</v>
      </c>
      <c r="J105">
        <v>20.073466222584798</v>
      </c>
      <c r="K105" t="s">
        <v>244</v>
      </c>
      <c r="L105">
        <f>IFERROR(VLOOKUP($A105,Actual!$A:$D,4,FALSE),IFERROR(VLOOKUP($A105,fc!$A:$AC,29,FALSE),"Not Found"))</f>
        <v>2.6</v>
      </c>
      <c r="M105">
        <f>IFERROR(VLOOKUP($A105,Actual!$A:$D,3,FALSE),"0")</f>
        <v>1.8200000000000001E-2</v>
      </c>
      <c r="N105">
        <f>IFERROR(VLOOKUP($A105,NHT!$B:$F,5,FALSE),IFERROR(VLOOKUP(A105,fc!A:AD,28,FALSE),"Not Found"))</f>
        <v>20.666666666666998</v>
      </c>
    </row>
    <row r="106" spans="1:14" x14ac:dyDescent="0.2">
      <c r="A106" t="s">
        <v>17</v>
      </c>
      <c r="B106" t="s">
        <v>200</v>
      </c>
      <c r="C106" t="s">
        <v>5</v>
      </c>
      <c r="D106">
        <v>4700</v>
      </c>
      <c r="E106">
        <v>8.9076080530695894</v>
      </c>
      <c r="F106">
        <v>8.9</v>
      </c>
      <c r="G106">
        <v>7.6080530695961102E-3</v>
      </c>
      <c r="H106">
        <v>1.8952357559722499</v>
      </c>
      <c r="I106">
        <v>2.2269020132673898</v>
      </c>
      <c r="J106">
        <v>27.269020132673901</v>
      </c>
      <c r="K106" t="s">
        <v>244</v>
      </c>
      <c r="L106">
        <f>IFERROR(VLOOKUP($A106,Actual!$A:$D,4,FALSE),IFERROR(VLOOKUP($A106,fc!$A:$AC,29,FALSE),"Not Found"))</f>
        <v>25.6</v>
      </c>
      <c r="M106">
        <f>IFERROR(VLOOKUP($A106,Actual!$A:$D,3,FALSE),"0")</f>
        <v>0.19639999999999999</v>
      </c>
      <c r="N106">
        <f>IFERROR(VLOOKUP($A106,NHT!$B:$F,5,FALSE),IFERROR(VLOOKUP(A106,fc!A:AD,28,FALSE),"Not Found"))</f>
        <v>20.716666666666999</v>
      </c>
    </row>
    <row r="107" spans="1:14" x14ac:dyDescent="0.2">
      <c r="A107" t="s">
        <v>127</v>
      </c>
      <c r="B107" t="s">
        <v>206</v>
      </c>
      <c r="C107" t="s">
        <v>12</v>
      </c>
      <c r="D107">
        <v>2700</v>
      </c>
      <c r="E107">
        <v>5.3822861495219199</v>
      </c>
      <c r="F107">
        <v>4.09</v>
      </c>
      <c r="G107">
        <v>1.29228614952192</v>
      </c>
      <c r="H107">
        <v>1.99343931463774</v>
      </c>
      <c r="I107">
        <v>1.34557153738048</v>
      </c>
      <c r="J107">
        <v>18.4557153738048</v>
      </c>
      <c r="K107" t="s">
        <v>244</v>
      </c>
      <c r="L107">
        <f>IFERROR(VLOOKUP($A107,Actual!$A:$D,4,FALSE),IFERROR(VLOOKUP($A107,fc!$A:$AC,29,FALSE),"Not Found"))</f>
        <v>1.3</v>
      </c>
      <c r="M107">
        <f>IFERROR(VLOOKUP($A107,Actual!$A:$D,3,FALSE),"0")</f>
        <v>8.3999999999999995E-3</v>
      </c>
      <c r="N107">
        <f>IFERROR(VLOOKUP($A107,NHT!$B:$F,5,FALSE),IFERROR(VLOOKUP(A107,fc!A:AD,28,FALSE),"Not Found"))</f>
        <v>20.85</v>
      </c>
    </row>
    <row r="108" spans="1:14" x14ac:dyDescent="0.2">
      <c r="A108" t="s">
        <v>110</v>
      </c>
      <c r="B108" t="s">
        <v>211</v>
      </c>
      <c r="C108" t="s">
        <v>12</v>
      </c>
      <c r="D108">
        <v>2700</v>
      </c>
      <c r="E108">
        <v>5.8327924269526701</v>
      </c>
      <c r="F108">
        <v>5.39</v>
      </c>
      <c r="G108">
        <v>0.44279242695267801</v>
      </c>
      <c r="H108">
        <v>2.1602934914639502</v>
      </c>
      <c r="I108">
        <v>1.45819810673816</v>
      </c>
      <c r="J108">
        <v>19.581981067381601</v>
      </c>
      <c r="K108" t="s">
        <v>244</v>
      </c>
      <c r="L108">
        <f>IFERROR(VLOOKUP($A108,Actual!$A:$D,4,FALSE),IFERROR(VLOOKUP($A108,fc!$A:$AC,29,FALSE),"Not Found"))</f>
        <v>2.6</v>
      </c>
      <c r="M108">
        <f>IFERROR(VLOOKUP($A108,Actual!$A:$D,3,FALSE),"0")</f>
        <v>1.54E-2</v>
      </c>
      <c r="N108">
        <f>IFERROR(VLOOKUP($A108,NHT!$B:$F,5,FALSE),IFERROR(VLOOKUP(A108,fc!A:AD,28,FALSE),"Not Found"))</f>
        <v>21.05</v>
      </c>
    </row>
    <row r="109" spans="1:14" x14ac:dyDescent="0.2">
      <c r="A109" t="s">
        <v>80</v>
      </c>
      <c r="B109" t="s">
        <v>207</v>
      </c>
      <c r="C109" t="s">
        <v>12</v>
      </c>
      <c r="D109">
        <v>3300</v>
      </c>
      <c r="E109">
        <v>6.58961524596626</v>
      </c>
      <c r="F109">
        <v>5.8</v>
      </c>
      <c r="G109">
        <v>0.78961524596626098</v>
      </c>
      <c r="H109">
        <v>1.9968531048382601</v>
      </c>
      <c r="I109">
        <v>1.6474038114915599</v>
      </c>
      <c r="J109">
        <v>21.474038114915601</v>
      </c>
      <c r="K109" t="s">
        <v>244</v>
      </c>
      <c r="L109">
        <f>IFERROR(VLOOKUP($A109,Actual!$A:$D,4,FALSE),IFERROR(VLOOKUP($A109,fc!$A:$AC,29,FALSE),"Not Found"))</f>
        <v>11</v>
      </c>
      <c r="M109">
        <f>IFERROR(VLOOKUP($A109,Actual!$A:$D,3,FALSE),"0")</f>
        <v>3.3700000000000001E-2</v>
      </c>
      <c r="N109">
        <f>IFERROR(VLOOKUP($A109,NHT!$B:$F,5,FALSE),IFERROR(VLOOKUP(A109,fc!A:AD,28,FALSE),"Not Found"))</f>
        <v>21.133333333332999</v>
      </c>
    </row>
    <row r="110" spans="1:14" x14ac:dyDescent="0.2">
      <c r="A110" t="s">
        <v>34</v>
      </c>
      <c r="B110" t="s">
        <v>207</v>
      </c>
      <c r="C110" t="s">
        <v>5</v>
      </c>
      <c r="D110">
        <v>5700</v>
      </c>
      <c r="E110">
        <v>11.8874018700141</v>
      </c>
      <c r="F110">
        <v>9.17</v>
      </c>
      <c r="G110">
        <v>2.71740187001416</v>
      </c>
      <c r="H110">
        <v>2.0855091000024801</v>
      </c>
      <c r="I110">
        <v>2.9718504675035402</v>
      </c>
      <c r="J110">
        <v>34.718504675035398</v>
      </c>
      <c r="K110" t="s">
        <v>244</v>
      </c>
      <c r="L110">
        <f>IFERROR(VLOOKUP($A110,Actual!$A:$D,4,FALSE),IFERROR(VLOOKUP($A110,fc!$A:$AC,29,FALSE),"Not Found"))</f>
        <v>11.3</v>
      </c>
      <c r="M110">
        <f>IFERROR(VLOOKUP($A110,Actual!$A:$D,3,FALSE),"0")</f>
        <v>0.11219999999999999</v>
      </c>
      <c r="N110">
        <f>IFERROR(VLOOKUP($A110,NHT!$B:$F,5,FALSE),IFERROR(VLOOKUP(A110,fc!A:AD,28,FALSE),"Not Found"))</f>
        <v>21.2</v>
      </c>
    </row>
    <row r="111" spans="1:14" x14ac:dyDescent="0.2">
      <c r="A111" t="s">
        <v>33</v>
      </c>
      <c r="B111" t="s">
        <v>207</v>
      </c>
      <c r="C111" t="s">
        <v>5</v>
      </c>
      <c r="D111">
        <v>7100</v>
      </c>
      <c r="E111">
        <v>14.8149111744943</v>
      </c>
      <c r="F111">
        <v>12.15</v>
      </c>
      <c r="G111">
        <v>2.6649111744943301</v>
      </c>
      <c r="H111">
        <v>2.0866072076752502</v>
      </c>
      <c r="I111">
        <v>3.70372779362358</v>
      </c>
      <c r="J111">
        <v>42.037277936235803</v>
      </c>
      <c r="K111" t="s">
        <v>244</v>
      </c>
      <c r="L111">
        <f>IFERROR(VLOOKUP($A111,Actual!$A:$D,4,FALSE),IFERROR(VLOOKUP($A111,fc!$A:$AC,29,FALSE),"Not Found"))</f>
        <v>9.5</v>
      </c>
      <c r="M111">
        <f>IFERROR(VLOOKUP($A111,Actual!$A:$D,3,FALSE),"0")</f>
        <v>0.11360000000000001</v>
      </c>
      <c r="N111">
        <f>IFERROR(VLOOKUP($A111,NHT!$B:$F,5,FALSE),IFERROR(VLOOKUP(A111,fc!A:AD,28,FALSE),"Not Found"))</f>
        <v>21.45</v>
      </c>
    </row>
    <row r="112" spans="1:14" x14ac:dyDescent="0.2">
      <c r="A112" t="s">
        <v>35</v>
      </c>
      <c r="B112" t="s">
        <v>245</v>
      </c>
      <c r="C112" t="s">
        <v>9</v>
      </c>
      <c r="D112">
        <v>7500</v>
      </c>
      <c r="E112">
        <v>16.387876074783001</v>
      </c>
      <c r="F112">
        <v>13.53</v>
      </c>
      <c r="G112">
        <v>2.8578760747830199</v>
      </c>
      <c r="H112">
        <v>2.1850501433043998</v>
      </c>
      <c r="I112">
        <v>4.0969690186957504</v>
      </c>
      <c r="J112">
        <v>45.9696901869575</v>
      </c>
      <c r="K112" t="s">
        <v>244</v>
      </c>
      <c r="L112">
        <f>IFERROR(VLOOKUP($A112,Actual!$A:$D,4,FALSE),IFERROR(VLOOKUP($A112,fc!$A:$AC,29,FALSE),"Not Found"))</f>
        <v>7.3</v>
      </c>
      <c r="M112">
        <f>IFERROR(VLOOKUP($A112,Actual!$A:$D,3,FALSE),"0")</f>
        <v>0.1094</v>
      </c>
      <c r="N112">
        <f>IFERROR(VLOOKUP($A112,NHT!$B:$F,5,FALSE),IFERROR(VLOOKUP(A112,fc!A:AD,28,FALSE),"Not Found"))</f>
        <v>21.766666666667</v>
      </c>
    </row>
    <row r="113" spans="1:14" x14ac:dyDescent="0.2">
      <c r="A113" t="s">
        <v>119</v>
      </c>
      <c r="B113" t="s">
        <v>207</v>
      </c>
      <c r="C113" t="s">
        <v>12</v>
      </c>
      <c r="D113">
        <v>2600</v>
      </c>
      <c r="E113">
        <v>6.3640812406660503</v>
      </c>
      <c r="F113">
        <v>4.72</v>
      </c>
      <c r="G113">
        <v>1.6440812406660501</v>
      </c>
      <c r="H113">
        <v>2.4477235541023199</v>
      </c>
      <c r="I113">
        <v>1.5910203101665099</v>
      </c>
      <c r="J113">
        <v>20.9102031016651</v>
      </c>
      <c r="K113" t="s">
        <v>244</v>
      </c>
      <c r="L113">
        <f>IFERROR(VLOOKUP($A113,Actual!$A:$D,4,FALSE),IFERROR(VLOOKUP($A113,fc!$A:$AC,29,FALSE),"Not Found"))</f>
        <v>12.8</v>
      </c>
      <c r="M113">
        <f>IFERROR(VLOOKUP($A113,Actual!$A:$D,3,FALSE),"0")</f>
        <v>1.12E-2</v>
      </c>
      <c r="N113">
        <f>IFERROR(VLOOKUP($A113,NHT!$B:$F,5,FALSE),IFERROR(VLOOKUP(A113,fc!A:AD,28,FALSE),"Not Found"))</f>
        <v>22.016666666667</v>
      </c>
    </row>
    <row r="114" spans="1:14" x14ac:dyDescent="0.2">
      <c r="A114" t="s">
        <v>88</v>
      </c>
      <c r="B114" t="s">
        <v>211</v>
      </c>
      <c r="C114" t="s">
        <v>5</v>
      </c>
      <c r="D114">
        <v>6100</v>
      </c>
      <c r="E114">
        <v>10.666273500899299</v>
      </c>
      <c r="F114">
        <v>11.12</v>
      </c>
      <c r="G114">
        <v>-0.45372649910067803</v>
      </c>
      <c r="H114">
        <v>1.74856942637693</v>
      </c>
      <c r="I114">
        <v>2.6665683752248301</v>
      </c>
      <c r="J114">
        <v>31.665683752248299</v>
      </c>
      <c r="K114" t="s">
        <v>244</v>
      </c>
      <c r="L114">
        <f>IFERROR(VLOOKUP($A114,Actual!$A:$D,4,FALSE),IFERROR(VLOOKUP($A114,fc!$A:$AC,29,FALSE),"Not Found"))</f>
        <v>0</v>
      </c>
      <c r="M114">
        <f>IFERROR(VLOOKUP($A114,Actual!$A:$D,3,FALSE),"0")</f>
        <v>2.6599999999999999E-2</v>
      </c>
      <c r="N114">
        <f>IFERROR(VLOOKUP($A114,NHT!$B:$F,5,FALSE),IFERROR(VLOOKUP(A114,fc!A:AD,28,FALSE),"Not Found"))</f>
        <v>22.233333333333</v>
      </c>
    </row>
    <row r="115" spans="1:14" x14ac:dyDescent="0.2">
      <c r="A115" t="s">
        <v>84</v>
      </c>
      <c r="B115" t="s">
        <v>206</v>
      </c>
      <c r="C115" t="s">
        <v>12</v>
      </c>
      <c r="D115">
        <v>6200</v>
      </c>
      <c r="E115">
        <v>12.9365935334579</v>
      </c>
      <c r="F115">
        <v>10.199999999999999</v>
      </c>
      <c r="G115">
        <v>2.7365935334579099</v>
      </c>
      <c r="H115">
        <v>2.0865473441061102</v>
      </c>
      <c r="I115">
        <v>3.2341483833644702</v>
      </c>
      <c r="J115">
        <v>37.341483833644702</v>
      </c>
      <c r="K115" t="s">
        <v>244</v>
      </c>
      <c r="L115">
        <f>IFERROR(VLOOKUP($A115,Actual!$A:$D,4,FALSE),IFERROR(VLOOKUP($A115,fc!$A:$AC,29,FALSE),"Not Found"))</f>
        <v>2.8</v>
      </c>
      <c r="M115">
        <f>IFERROR(VLOOKUP($A115,Actual!$A:$D,3,FALSE),"0")</f>
        <v>3.09E-2</v>
      </c>
      <c r="N115">
        <f>IFERROR(VLOOKUP($A115,NHT!$B:$F,5,FALSE),IFERROR(VLOOKUP(A115,fc!A:AD,28,FALSE),"Not Found"))</f>
        <v>22.316666666667</v>
      </c>
    </row>
    <row r="116" spans="1:14" x14ac:dyDescent="0.2">
      <c r="A116" t="s">
        <v>64</v>
      </c>
      <c r="B116" t="s">
        <v>203</v>
      </c>
      <c r="C116" t="s">
        <v>12</v>
      </c>
      <c r="D116">
        <v>4400</v>
      </c>
      <c r="E116">
        <v>8.9090063338137302</v>
      </c>
      <c r="F116">
        <v>9.4</v>
      </c>
      <c r="G116">
        <v>-0.490993666186261</v>
      </c>
      <c r="H116">
        <v>2.0247741667758401</v>
      </c>
      <c r="I116">
        <v>2.2272515834534299</v>
      </c>
      <c r="J116">
        <v>27.2725158345343</v>
      </c>
      <c r="K116" t="s">
        <v>244</v>
      </c>
      <c r="L116">
        <f>IFERROR(VLOOKUP($A116,Actual!$A:$D,4,FALSE),IFERROR(VLOOKUP($A116,fc!$A:$AC,29,FALSE),"Not Found"))</f>
        <v>14.1</v>
      </c>
      <c r="M116">
        <f>IFERROR(VLOOKUP($A116,Actual!$A:$D,3,FALSE),"0")</f>
        <v>5.0500000000000003E-2</v>
      </c>
      <c r="N116">
        <f>IFERROR(VLOOKUP($A116,NHT!$B:$F,5,FALSE),IFERROR(VLOOKUP(A116,fc!A:AD,28,FALSE),"Not Found"))</f>
        <v>22.383333333332999</v>
      </c>
    </row>
    <row r="117" spans="1:14" x14ac:dyDescent="0.2">
      <c r="A117" t="s">
        <v>45</v>
      </c>
      <c r="B117" t="s">
        <v>214</v>
      </c>
      <c r="C117" t="s">
        <v>12</v>
      </c>
      <c r="D117">
        <v>3900</v>
      </c>
      <c r="E117">
        <v>8.2272940216412493</v>
      </c>
      <c r="F117">
        <v>8.43</v>
      </c>
      <c r="G117">
        <v>-0.20270597835874599</v>
      </c>
      <c r="H117">
        <v>2.1095625696516001</v>
      </c>
      <c r="I117">
        <v>2.0568235054103101</v>
      </c>
      <c r="J117">
        <v>25.568235054103098</v>
      </c>
      <c r="K117" t="s">
        <v>244</v>
      </c>
      <c r="L117">
        <f>IFERROR(VLOOKUP($A117,Actual!$A:$D,4,FALSE),IFERROR(VLOOKUP($A117,fc!$A:$AC,29,FALSE),"Not Found"))</f>
        <v>12.9</v>
      </c>
      <c r="M117">
        <f>IFERROR(VLOOKUP($A117,Actual!$A:$D,3,FALSE),"0")</f>
        <v>7.0099999999999996E-2</v>
      </c>
      <c r="N117">
        <f>IFERROR(VLOOKUP($A117,NHT!$B:$F,5,FALSE),IFERROR(VLOOKUP(A117,fc!A:AD,28,FALSE),"Not Found"))</f>
        <v>22.45</v>
      </c>
    </row>
    <row r="118" spans="1:14" x14ac:dyDescent="0.2">
      <c r="A118" t="s">
        <v>19</v>
      </c>
      <c r="B118" t="s">
        <v>200</v>
      </c>
      <c r="C118" t="s">
        <v>9</v>
      </c>
      <c r="D118">
        <v>9000</v>
      </c>
      <c r="E118">
        <v>17.856551561146699</v>
      </c>
      <c r="F118">
        <v>15.57</v>
      </c>
      <c r="G118">
        <v>2.2865515611467502</v>
      </c>
      <c r="H118">
        <v>1.9840612845718599</v>
      </c>
      <c r="I118">
        <v>4.46413789028668</v>
      </c>
      <c r="J118">
        <v>49.641378902866798</v>
      </c>
      <c r="K118" t="s">
        <v>244</v>
      </c>
      <c r="L118">
        <f>IFERROR(VLOOKUP($A118,Actual!$A:$D,4,FALSE),IFERROR(VLOOKUP($A118,fc!$A:$AC,29,FALSE),"Not Found"))</f>
        <v>22.3</v>
      </c>
      <c r="M118">
        <f>IFERROR(VLOOKUP($A118,Actual!$A:$D,3,FALSE),"0")</f>
        <v>0.17949999999999999</v>
      </c>
      <c r="N118">
        <f>IFERROR(VLOOKUP($A118,NHT!$B:$F,5,FALSE),IFERROR(VLOOKUP(A118,fc!A:AD,28,FALSE),"Not Found"))</f>
        <v>22.5</v>
      </c>
    </row>
    <row r="119" spans="1:14" x14ac:dyDescent="0.2">
      <c r="A119" t="s">
        <v>62</v>
      </c>
      <c r="B119" t="s">
        <v>206</v>
      </c>
      <c r="C119" t="s">
        <v>12</v>
      </c>
      <c r="D119">
        <v>4100</v>
      </c>
      <c r="E119">
        <v>9.1679966855485198</v>
      </c>
      <c r="F119">
        <v>6.57</v>
      </c>
      <c r="G119">
        <v>2.5979966855485199</v>
      </c>
      <c r="H119">
        <v>2.2360967525728102</v>
      </c>
      <c r="I119">
        <v>2.2919991713871299</v>
      </c>
      <c r="J119">
        <v>27.919991713871301</v>
      </c>
      <c r="K119" t="s">
        <v>244</v>
      </c>
      <c r="L119">
        <f>IFERROR(VLOOKUP($A119,Actual!$A:$D,4,FALSE),IFERROR(VLOOKUP($A119,fc!$A:$AC,29,FALSE),"Not Found"))</f>
        <v>28.9</v>
      </c>
      <c r="M119">
        <f>IFERROR(VLOOKUP($A119,Actual!$A:$D,3,FALSE),"0")</f>
        <v>5.0500000000000003E-2</v>
      </c>
      <c r="N119">
        <f>IFERROR(VLOOKUP($A119,NHT!$B:$F,5,FALSE),IFERROR(VLOOKUP(A119,fc!A:AD,28,FALSE),"Not Found"))</f>
        <v>22.533333333333001</v>
      </c>
    </row>
    <row r="120" spans="1:14" x14ac:dyDescent="0.2">
      <c r="A120" t="s">
        <v>36</v>
      </c>
      <c r="B120" t="s">
        <v>203</v>
      </c>
      <c r="C120" t="s">
        <v>12</v>
      </c>
      <c r="D120">
        <v>4700</v>
      </c>
      <c r="E120">
        <v>9.9258376700419504</v>
      </c>
      <c r="F120">
        <v>9.43</v>
      </c>
      <c r="G120">
        <v>0.495837670041954</v>
      </c>
      <c r="H120">
        <v>2.1118803553280698</v>
      </c>
      <c r="I120">
        <v>2.48145941751048</v>
      </c>
      <c r="J120">
        <v>29.814594175104801</v>
      </c>
      <c r="K120" t="s">
        <v>244</v>
      </c>
      <c r="L120">
        <f>IFERROR(VLOOKUP($A120,Actual!$A:$D,4,FALSE),IFERROR(VLOOKUP($A120,fc!$A:$AC,29,FALSE),"Not Found"))</f>
        <v>3</v>
      </c>
      <c r="M120">
        <f>IFERROR(VLOOKUP($A120,Actual!$A:$D,3,FALSE),"0")</f>
        <v>9.9599999999999994E-2</v>
      </c>
      <c r="N120">
        <f>IFERROR(VLOOKUP($A120,NHT!$B:$F,5,FALSE),IFERROR(VLOOKUP(A120,fc!A:AD,28,FALSE),"Not Found"))</f>
        <v>22.55</v>
      </c>
    </row>
    <row r="121" spans="1:14" x14ac:dyDescent="0.2">
      <c r="A121" t="s">
        <v>67</v>
      </c>
      <c r="B121" t="s">
        <v>214</v>
      </c>
      <c r="C121" t="s">
        <v>12</v>
      </c>
      <c r="D121">
        <v>3500</v>
      </c>
      <c r="E121">
        <v>7.9841464546355603</v>
      </c>
      <c r="F121">
        <v>7.69</v>
      </c>
      <c r="G121">
        <v>0.29414645463556799</v>
      </c>
      <c r="H121">
        <v>2.28118470132444</v>
      </c>
      <c r="I121">
        <v>1.9960366136588901</v>
      </c>
      <c r="J121">
        <v>24.960366136588899</v>
      </c>
      <c r="K121" t="s">
        <v>244</v>
      </c>
      <c r="L121">
        <f>IFERROR(VLOOKUP($A121,Actual!$A:$D,4,FALSE),IFERROR(VLOOKUP($A121,fc!$A:$AC,29,FALSE),"Not Found"))</f>
        <v>2.6</v>
      </c>
      <c r="M121">
        <f>IFERROR(VLOOKUP($A121,Actual!$A:$D,3,FALSE),"0")</f>
        <v>4.6300000000000001E-2</v>
      </c>
      <c r="N121">
        <f>IFERROR(VLOOKUP($A121,NHT!$B:$F,5,FALSE),IFERROR(VLOOKUP(A121,fc!A:AD,28,FALSE),"Not Found"))</f>
        <v>22.65</v>
      </c>
    </row>
    <row r="122" spans="1:14" x14ac:dyDescent="0.2">
      <c r="A122" t="s">
        <v>11</v>
      </c>
      <c r="B122" t="s">
        <v>203</v>
      </c>
      <c r="C122" t="s">
        <v>12</v>
      </c>
      <c r="D122">
        <v>7400</v>
      </c>
      <c r="E122">
        <v>15.040435968949399</v>
      </c>
      <c r="F122">
        <v>13.26</v>
      </c>
      <c r="G122">
        <v>1.78043596894948</v>
      </c>
      <c r="H122">
        <v>2.0324913471553301</v>
      </c>
      <c r="I122">
        <v>3.7601089922373698</v>
      </c>
      <c r="J122">
        <v>42.601089922373703</v>
      </c>
      <c r="K122" t="s">
        <v>244</v>
      </c>
      <c r="L122">
        <f>IFERROR(VLOOKUP($A122,Actual!$A:$D,4,FALSE),IFERROR(VLOOKUP($A122,fc!$A:$AC,29,FALSE),"Not Found"))</f>
        <v>9.1</v>
      </c>
      <c r="M122">
        <f>IFERROR(VLOOKUP($A122,Actual!$A:$D,3,FALSE),"0")</f>
        <v>0.26929999999999998</v>
      </c>
      <c r="N122">
        <f>IFERROR(VLOOKUP($A122,NHT!$B:$F,5,FALSE),IFERROR(VLOOKUP(A122,fc!A:AD,28,FALSE),"Not Found"))</f>
        <v>22.783333333333001</v>
      </c>
    </row>
    <row r="123" spans="1:14" x14ac:dyDescent="0.2">
      <c r="A123" t="s">
        <v>106</v>
      </c>
      <c r="B123" t="s">
        <v>204</v>
      </c>
      <c r="C123" t="s">
        <v>12</v>
      </c>
      <c r="D123">
        <v>5100</v>
      </c>
      <c r="E123">
        <v>10.0193462509274</v>
      </c>
      <c r="F123">
        <v>8.99</v>
      </c>
      <c r="G123">
        <v>1.02934625092745</v>
      </c>
      <c r="H123">
        <v>1.9645776962602799</v>
      </c>
      <c r="I123">
        <v>2.5048365627318598</v>
      </c>
      <c r="J123">
        <v>30.048365627318599</v>
      </c>
      <c r="K123" t="s">
        <v>244</v>
      </c>
      <c r="L123">
        <f>IFERROR(VLOOKUP($A123,Actual!$A:$D,4,FALSE),IFERROR(VLOOKUP($A123,fc!$A:$AC,29,FALSE),"Not Found"))</f>
        <v>26.9</v>
      </c>
      <c r="M123">
        <f>IFERROR(VLOOKUP($A123,Actual!$A:$D,3,FALSE),"0")</f>
        <v>1.8200000000000001E-2</v>
      </c>
      <c r="N123">
        <f>IFERROR(VLOOKUP($A123,NHT!$B:$F,5,FALSE),IFERROR(VLOOKUP(A123,fc!A:AD,28,FALSE),"Not Found"))</f>
        <v>22.816666666667</v>
      </c>
    </row>
    <row r="124" spans="1:14" x14ac:dyDescent="0.2">
      <c r="A124" t="s">
        <v>4</v>
      </c>
      <c r="B124" t="s">
        <v>203</v>
      </c>
      <c r="C124" t="s">
        <v>5</v>
      </c>
      <c r="D124">
        <v>10500</v>
      </c>
      <c r="E124">
        <v>21.586488532548</v>
      </c>
      <c r="F124">
        <v>18.760000000000002</v>
      </c>
      <c r="G124">
        <v>2.82648853254807</v>
      </c>
      <c r="H124">
        <v>2.0558560507188601</v>
      </c>
      <c r="I124">
        <v>5.3966221331370097</v>
      </c>
      <c r="J124">
        <v>58.9662213313701</v>
      </c>
      <c r="K124" t="s">
        <v>244</v>
      </c>
      <c r="L124">
        <f>IFERROR(VLOOKUP($A124,Actual!$A:$D,4,FALSE),IFERROR(VLOOKUP($A124,fc!$A:$AC,29,FALSE),"Not Found"))</f>
        <v>18</v>
      </c>
      <c r="M124">
        <f>IFERROR(VLOOKUP($A124,Actual!$A:$D,3,FALSE),"0")</f>
        <v>0.45860000000000001</v>
      </c>
      <c r="N124">
        <f>IFERROR(VLOOKUP($A124,NHT!$B:$F,5,FALSE),IFERROR(VLOOKUP(A124,fc!A:AD,28,FALSE),"Not Found"))</f>
        <v>23.6</v>
      </c>
    </row>
    <row r="125" spans="1:14" x14ac:dyDescent="0.2">
      <c r="A125" t="s">
        <v>16</v>
      </c>
      <c r="B125" t="s">
        <v>200</v>
      </c>
      <c r="C125" t="s">
        <v>12</v>
      </c>
      <c r="D125">
        <v>5000</v>
      </c>
      <c r="E125">
        <v>9.7419858972381093</v>
      </c>
      <c r="F125">
        <v>10.31</v>
      </c>
      <c r="G125">
        <v>-0.56801410276188402</v>
      </c>
      <c r="H125">
        <v>1.94839717944762</v>
      </c>
      <c r="I125">
        <v>2.4354964743095202</v>
      </c>
      <c r="J125">
        <v>29.354964743095199</v>
      </c>
      <c r="K125" t="s">
        <v>244</v>
      </c>
      <c r="L125">
        <f>IFERROR(VLOOKUP($A125,Actual!$A:$D,4,FALSE),IFERROR(VLOOKUP($A125,fc!$A:$AC,29,FALSE),"Not Found"))</f>
        <v>8</v>
      </c>
      <c r="M125">
        <f>IFERROR(VLOOKUP($A125,Actual!$A:$D,3,FALSE),"0")</f>
        <v>0.20200000000000001</v>
      </c>
      <c r="N125">
        <f>IFERROR(VLOOKUP($A125,NHT!$B:$F,5,FALSE),IFERROR(VLOOKUP(A125,fc!A:AD,28,FALSE),"Not Found"))</f>
        <v>24.116666666667001</v>
      </c>
    </row>
    <row r="126" spans="1:14" x14ac:dyDescent="0.2">
      <c r="A126" t="s">
        <v>99</v>
      </c>
      <c r="B126" t="s">
        <v>206</v>
      </c>
      <c r="C126" t="s">
        <v>12</v>
      </c>
      <c r="D126">
        <v>3200</v>
      </c>
      <c r="E126">
        <v>6.7199417214625301</v>
      </c>
      <c r="F126">
        <v>6.46</v>
      </c>
      <c r="G126">
        <v>0.25994172146253602</v>
      </c>
      <c r="H126">
        <v>2.0999817879570402</v>
      </c>
      <c r="I126">
        <v>1.6799854303656301</v>
      </c>
      <c r="J126">
        <v>21.7998543036563</v>
      </c>
      <c r="K126" t="s">
        <v>244</v>
      </c>
      <c r="L126">
        <f>IFERROR(VLOOKUP($A126,Actual!$A:$D,4,FALSE),IFERROR(VLOOKUP($A126,fc!$A:$AC,29,FALSE),"Not Found"))</f>
        <v>8.3000000000000007</v>
      </c>
      <c r="M126">
        <f>IFERROR(VLOOKUP($A126,Actual!$A:$D,3,FALSE),"0")</f>
        <v>1.9599999999999999E-2</v>
      </c>
      <c r="N126">
        <f>IFERROR(VLOOKUP($A126,NHT!$B:$F,5,FALSE),IFERROR(VLOOKUP(A126,fc!A:AD,28,FALSE),"Not Found"))</f>
        <v>24.15</v>
      </c>
    </row>
    <row r="127" spans="1:14" x14ac:dyDescent="0.2">
      <c r="A127" t="s">
        <v>42</v>
      </c>
      <c r="B127" t="s">
        <v>207</v>
      </c>
      <c r="C127" t="s">
        <v>9</v>
      </c>
      <c r="D127">
        <v>8000</v>
      </c>
      <c r="E127">
        <v>16.210916969577301</v>
      </c>
      <c r="F127">
        <v>12.81</v>
      </c>
      <c r="G127">
        <v>3.40091696957737</v>
      </c>
      <c r="H127">
        <v>2.0263646211971702</v>
      </c>
      <c r="I127">
        <v>4.0527292423943404</v>
      </c>
      <c r="J127">
        <v>45.5272924239434</v>
      </c>
      <c r="K127" t="s">
        <v>244</v>
      </c>
      <c r="L127">
        <f>IFERROR(VLOOKUP($A127,Actual!$A:$D,4,FALSE),IFERROR(VLOOKUP($A127,fc!$A:$AC,29,FALSE),"Not Found"))</f>
        <v>8</v>
      </c>
      <c r="M127">
        <f>IFERROR(VLOOKUP($A127,Actual!$A:$D,3,FALSE),"0")</f>
        <v>8.2699999999999996E-2</v>
      </c>
      <c r="N127">
        <f>IFERROR(VLOOKUP($A127,NHT!$B:$F,5,FALSE),IFERROR(VLOOKUP(A127,fc!A:AD,28,FALSE),"Not Found"))</f>
        <v>24.25</v>
      </c>
    </row>
    <row r="128" spans="1:14" x14ac:dyDescent="0.2">
      <c r="A128" t="s">
        <v>27</v>
      </c>
      <c r="B128" t="s">
        <v>204</v>
      </c>
      <c r="C128" t="s">
        <v>5</v>
      </c>
      <c r="D128">
        <v>4500</v>
      </c>
      <c r="E128">
        <v>10.688831977201501</v>
      </c>
      <c r="F128">
        <v>8.64</v>
      </c>
      <c r="G128">
        <v>2.0488319772015302</v>
      </c>
      <c r="H128">
        <v>2.3752959949336701</v>
      </c>
      <c r="I128">
        <v>2.67220799430038</v>
      </c>
      <c r="J128">
        <v>31.722079943003799</v>
      </c>
      <c r="K128" t="s">
        <v>244</v>
      </c>
      <c r="L128">
        <f>IFERROR(VLOOKUP($A128,Actual!$A:$D,4,FALSE),IFERROR(VLOOKUP($A128,fc!$A:$AC,29,FALSE),"Not Found"))</f>
        <v>43.3</v>
      </c>
      <c r="M128">
        <f>IFERROR(VLOOKUP($A128,Actual!$A:$D,3,FALSE),"0")</f>
        <v>0.1431</v>
      </c>
      <c r="N128">
        <f>IFERROR(VLOOKUP($A128,NHT!$B:$F,5,FALSE),IFERROR(VLOOKUP(A128,fc!A:AD,28,FALSE),"Not Found"))</f>
        <v>24.283333333333001</v>
      </c>
    </row>
    <row r="129" spans="1:14" x14ac:dyDescent="0.2">
      <c r="A129" t="s">
        <v>25</v>
      </c>
      <c r="B129" t="s">
        <v>200</v>
      </c>
      <c r="C129" t="s">
        <v>12</v>
      </c>
      <c r="D129">
        <v>3000</v>
      </c>
      <c r="E129">
        <v>7.93846456335522</v>
      </c>
      <c r="F129">
        <v>7.96</v>
      </c>
      <c r="G129">
        <v>-2.1535436644773701E-2</v>
      </c>
      <c r="H129">
        <v>2.6461548544517401</v>
      </c>
      <c r="I129">
        <v>1.9846161408387999</v>
      </c>
      <c r="J129">
        <v>24.846161408387999</v>
      </c>
      <c r="K129" t="s">
        <v>244</v>
      </c>
      <c r="L129">
        <f>IFERROR(VLOOKUP($A129,Actual!$A:$D,4,FALSE),IFERROR(VLOOKUP($A129,fc!$A:$AC,29,FALSE),"Not Found"))</f>
        <v>9.9</v>
      </c>
      <c r="M129">
        <f>IFERROR(VLOOKUP($A129,Actual!$A:$D,3,FALSE),"0")</f>
        <v>0.15010000000000001</v>
      </c>
      <c r="N129">
        <f>IFERROR(VLOOKUP($A129,NHT!$B:$F,5,FALSE),IFERROR(VLOOKUP(A129,fc!A:AD,28,FALSE),"Not Found"))</f>
        <v>24.816666666667</v>
      </c>
    </row>
    <row r="130" spans="1:14" x14ac:dyDescent="0.2">
      <c r="A130" t="s">
        <v>68</v>
      </c>
      <c r="B130" t="s">
        <v>211</v>
      </c>
      <c r="C130" t="s">
        <v>12</v>
      </c>
      <c r="D130">
        <v>5700</v>
      </c>
      <c r="E130">
        <v>9.5025317710226194</v>
      </c>
      <c r="F130">
        <v>10.64</v>
      </c>
      <c r="G130">
        <v>-1.1374682289773801</v>
      </c>
      <c r="H130">
        <v>1.66711083702151</v>
      </c>
      <c r="I130">
        <v>2.37563294275565</v>
      </c>
      <c r="J130">
        <v>28.756329427556501</v>
      </c>
      <c r="K130" t="s">
        <v>244</v>
      </c>
      <c r="L130">
        <f>IFERROR(VLOOKUP($A130,Actual!$A:$D,4,FALSE),IFERROR(VLOOKUP($A130,fc!$A:$AC,29,FALSE),"Not Found"))</f>
        <v>4.3</v>
      </c>
      <c r="M130">
        <f>IFERROR(VLOOKUP($A130,Actual!$A:$D,3,FALSE),"0")</f>
        <v>4.6300000000000001E-2</v>
      </c>
      <c r="N130">
        <f>IFERROR(VLOOKUP($A130,NHT!$B:$F,5,FALSE),IFERROR(VLOOKUP(A130,fc!A:AD,28,FALSE),"Not Found"))</f>
        <v>25.066666666667</v>
      </c>
    </row>
    <row r="131" spans="1:14" x14ac:dyDescent="0.2">
      <c r="A131" t="s">
        <v>41</v>
      </c>
      <c r="B131" t="s">
        <v>207</v>
      </c>
      <c r="C131" t="s">
        <v>5</v>
      </c>
      <c r="D131">
        <v>5800</v>
      </c>
      <c r="E131">
        <v>11.305252965103699</v>
      </c>
      <c r="F131">
        <v>9.4</v>
      </c>
      <c r="G131">
        <v>1.9052529651037799</v>
      </c>
      <c r="H131">
        <v>1.9491815457075401</v>
      </c>
      <c r="I131">
        <v>2.82631324127594</v>
      </c>
      <c r="J131">
        <v>33.263132412759397</v>
      </c>
      <c r="K131" t="s">
        <v>244</v>
      </c>
      <c r="L131">
        <f>IFERROR(VLOOKUP($A131,Actual!$A:$D,4,FALSE),IFERROR(VLOOKUP($A131,fc!$A:$AC,29,FALSE),"Not Found"))</f>
        <v>15.5</v>
      </c>
      <c r="M131">
        <f>IFERROR(VLOOKUP($A131,Actual!$A:$D,3,FALSE),"0")</f>
        <v>9.2600000000000002E-2</v>
      </c>
      <c r="N131">
        <f>IFERROR(VLOOKUP($A131,NHT!$B:$F,5,FALSE),IFERROR(VLOOKUP(A131,fc!A:AD,28,FALSE),"Not Found"))</f>
        <v>25.1</v>
      </c>
    </row>
    <row r="132" spans="1:14" x14ac:dyDescent="0.2">
      <c r="A132" t="s">
        <v>32</v>
      </c>
      <c r="B132" t="s">
        <v>245</v>
      </c>
      <c r="C132" t="s">
        <v>12</v>
      </c>
      <c r="D132">
        <v>6300</v>
      </c>
      <c r="E132">
        <v>15.2355522604269</v>
      </c>
      <c r="F132">
        <v>12.1</v>
      </c>
      <c r="G132">
        <v>3.1355522604269699</v>
      </c>
      <c r="H132">
        <v>2.4183416286392001</v>
      </c>
      <c r="I132">
        <v>3.8088880651067401</v>
      </c>
      <c r="J132">
        <v>43.088880651067399</v>
      </c>
      <c r="K132" t="s">
        <v>244</v>
      </c>
      <c r="L132">
        <f>IFERROR(VLOOKUP($A132,Actual!$A:$D,4,FALSE),IFERROR(VLOOKUP($A132,fc!$A:$AC,29,FALSE),"Not Found"))</f>
        <v>14.3</v>
      </c>
      <c r="M132">
        <f>IFERROR(VLOOKUP($A132,Actual!$A:$D,3,FALSE),"0")</f>
        <v>0.1206</v>
      </c>
      <c r="N132">
        <f>IFERROR(VLOOKUP($A132,NHT!$B:$F,5,FALSE),IFERROR(VLOOKUP(A132,fc!A:AD,28,FALSE),"Not Found"))</f>
        <v>25.283333333333001</v>
      </c>
    </row>
    <row r="133" spans="1:14" x14ac:dyDescent="0.2">
      <c r="A133" t="s">
        <v>29</v>
      </c>
      <c r="B133" t="s">
        <v>245</v>
      </c>
      <c r="C133" t="s">
        <v>12</v>
      </c>
      <c r="D133">
        <v>3000</v>
      </c>
      <c r="E133">
        <v>7.9858674660999602</v>
      </c>
      <c r="F133">
        <v>6.26</v>
      </c>
      <c r="G133">
        <v>1.72586746609996</v>
      </c>
      <c r="H133">
        <v>2.6619558220333199</v>
      </c>
      <c r="I133">
        <v>1.9964668665249901</v>
      </c>
      <c r="J133">
        <v>24.964668665249899</v>
      </c>
      <c r="K133" t="s">
        <v>244</v>
      </c>
      <c r="L133">
        <f>IFERROR(VLOOKUP($A133,Actual!$A:$D,4,FALSE),IFERROR(VLOOKUP($A133,fc!$A:$AC,29,FALSE),"Not Found"))</f>
        <v>19</v>
      </c>
      <c r="M133">
        <f>IFERROR(VLOOKUP($A133,Actual!$A:$D,3,FALSE),"0")</f>
        <v>0.1318</v>
      </c>
      <c r="N133">
        <f>IFERROR(VLOOKUP($A133,NHT!$B:$F,5,FALSE),IFERROR(VLOOKUP(A133,fc!A:AD,28,FALSE),"Not Found"))</f>
        <v>25.483333333333</v>
      </c>
    </row>
    <row r="134" spans="1:14" x14ac:dyDescent="0.2">
      <c r="A134" t="s">
        <v>30</v>
      </c>
      <c r="B134" t="s">
        <v>204</v>
      </c>
      <c r="C134" t="s">
        <v>9</v>
      </c>
      <c r="D134">
        <v>5000</v>
      </c>
      <c r="E134">
        <v>12.604102263695401</v>
      </c>
      <c r="F134">
        <v>9.4600000000000009</v>
      </c>
      <c r="G134">
        <v>3.1441022636953999</v>
      </c>
      <c r="H134">
        <v>2.5208204527390801</v>
      </c>
      <c r="I134">
        <v>3.1510255659238502</v>
      </c>
      <c r="J134">
        <v>36.510255659238503</v>
      </c>
      <c r="K134" t="s">
        <v>244</v>
      </c>
      <c r="L134">
        <f>IFERROR(VLOOKUP($A134,Actual!$A:$D,4,FALSE),IFERROR(VLOOKUP($A134,fc!$A:$AC,29,FALSE),"Not Found"))</f>
        <v>23.5</v>
      </c>
      <c r="M134">
        <f>IFERROR(VLOOKUP($A134,Actual!$A:$D,3,FALSE),"0")</f>
        <v>0.13039999999999999</v>
      </c>
      <c r="N134">
        <f>IFERROR(VLOOKUP($A134,NHT!$B:$F,5,FALSE),IFERROR(VLOOKUP(A134,fc!A:AD,28,FALSE),"Not Found"))</f>
        <v>25.516666666667</v>
      </c>
    </row>
    <row r="135" spans="1:14" x14ac:dyDescent="0.2">
      <c r="A135" t="s">
        <v>73</v>
      </c>
      <c r="B135" t="s">
        <v>204</v>
      </c>
      <c r="C135" t="s">
        <v>12</v>
      </c>
      <c r="D135">
        <v>4900</v>
      </c>
      <c r="E135">
        <v>11.6351749583289</v>
      </c>
      <c r="F135">
        <v>9.9600000000000009</v>
      </c>
      <c r="G135">
        <v>1.6751749583289299</v>
      </c>
      <c r="H135">
        <v>2.3745255016997802</v>
      </c>
      <c r="I135">
        <v>2.9087937395822299</v>
      </c>
      <c r="J135">
        <v>34.087937395822301</v>
      </c>
      <c r="K135" t="s">
        <v>244</v>
      </c>
      <c r="L135">
        <f>IFERROR(VLOOKUP($A135,Actual!$A:$D,4,FALSE),IFERROR(VLOOKUP($A135,fc!$A:$AC,29,FALSE),"Not Found"))</f>
        <v>11.9</v>
      </c>
      <c r="M135">
        <f>IFERROR(VLOOKUP($A135,Actual!$A:$D,3,FALSE),"0")</f>
        <v>4.07E-2</v>
      </c>
      <c r="N135">
        <f>IFERROR(VLOOKUP($A135,NHT!$B:$F,5,FALSE),IFERROR(VLOOKUP(A135,fc!A:AD,28,FALSE),"Not Found"))</f>
        <v>26.266666666667</v>
      </c>
    </row>
    <row r="136" spans="1:14" x14ac:dyDescent="0.2">
      <c r="A136" t="s">
        <v>46</v>
      </c>
      <c r="B136" t="s">
        <v>207</v>
      </c>
      <c r="C136" t="s">
        <v>12</v>
      </c>
      <c r="D136">
        <v>4300</v>
      </c>
      <c r="E136">
        <v>8.4864626566763004</v>
      </c>
      <c r="F136">
        <v>7.14</v>
      </c>
      <c r="G136">
        <v>1.3464626566763001</v>
      </c>
      <c r="H136">
        <v>1.9735959666689</v>
      </c>
      <c r="I136">
        <v>2.1216156641690702</v>
      </c>
      <c r="J136">
        <v>26.216156641690699</v>
      </c>
      <c r="K136" t="s">
        <v>244</v>
      </c>
      <c r="L136">
        <f>IFERROR(VLOOKUP($A136,Actual!$A:$D,4,FALSE),IFERROR(VLOOKUP($A136,fc!$A:$AC,29,FALSE),"Not Found"))</f>
        <v>2.6</v>
      </c>
      <c r="M136">
        <f>IFERROR(VLOOKUP($A136,Actual!$A:$D,3,FALSE),"0")</f>
        <v>7.0099999999999996E-2</v>
      </c>
      <c r="N136">
        <f>IFERROR(VLOOKUP($A136,NHT!$B:$F,5,FALSE),IFERROR(VLOOKUP(A136,fc!A:AD,28,FALSE),"Not Found"))</f>
        <v>26.383333333332999</v>
      </c>
    </row>
    <row r="137" spans="1:14" x14ac:dyDescent="0.2">
      <c r="A137" t="s">
        <v>118</v>
      </c>
      <c r="B137" t="s">
        <v>204</v>
      </c>
      <c r="C137" t="s">
        <v>7</v>
      </c>
      <c r="D137">
        <v>7000</v>
      </c>
      <c r="E137">
        <v>12.0809536775445</v>
      </c>
      <c r="F137">
        <v>9.4600000000000009</v>
      </c>
      <c r="G137">
        <v>2.6209536775445099</v>
      </c>
      <c r="H137">
        <v>1.7258505253634999</v>
      </c>
      <c r="I137">
        <v>2.4161907355088998</v>
      </c>
      <c r="J137">
        <v>34.161907355088999</v>
      </c>
      <c r="K137" t="s">
        <v>270</v>
      </c>
      <c r="L137">
        <f>IFERROR(VLOOKUP($A137,Actual!$A:$D,4,FALSE),IFERROR(VLOOKUP($A137,fc!$A:$AC,29,FALSE),"Not Found"))</f>
        <v>0</v>
      </c>
      <c r="M137">
        <f>IFERROR(VLOOKUP($A137,Actual!$A:$D,3,FALSE),"0")</f>
        <v>1.12E-2</v>
      </c>
      <c r="N137">
        <f>IFERROR(VLOOKUP($A137,NHT!$B:$F,5,FALSE),IFERROR(VLOOKUP(A137,fc!A:AD,28,FALSE),"Not Found"))</f>
        <v>57.616666666667001</v>
      </c>
    </row>
    <row r="138" spans="1:14" x14ac:dyDescent="0.2">
      <c r="A138" t="s">
        <v>6</v>
      </c>
      <c r="B138" t="s">
        <v>206</v>
      </c>
      <c r="C138" t="s">
        <v>7</v>
      </c>
      <c r="D138">
        <v>7400</v>
      </c>
      <c r="E138">
        <v>15.559236039287301</v>
      </c>
      <c r="F138">
        <v>14.1</v>
      </c>
      <c r="G138">
        <v>1.45923603928734</v>
      </c>
      <c r="H138">
        <v>2.10259946476855</v>
      </c>
      <c r="I138">
        <v>3.1118472078574602</v>
      </c>
      <c r="J138">
        <v>41.118472078574598</v>
      </c>
      <c r="K138" t="s">
        <v>270</v>
      </c>
      <c r="L138">
        <f>IFERROR(VLOOKUP($A138,Actual!$A:$D,4,FALSE),IFERROR(VLOOKUP($A138,fc!$A:$AC,29,FALSE),"Not Found"))</f>
        <v>24.7</v>
      </c>
      <c r="M138">
        <f>IFERROR(VLOOKUP($A138,Actual!$A:$D,3,FALSE),"0")</f>
        <v>0.37590000000000001</v>
      </c>
      <c r="N138">
        <f>IFERROR(VLOOKUP($A138,NHT!$B:$F,5,FALSE),IFERROR(VLOOKUP(A138,fc!A:AD,28,FALSE),"Not Found"))</f>
        <v>59.6</v>
      </c>
    </row>
    <row r="139" spans="1:14" x14ac:dyDescent="0.2">
      <c r="A139" t="s">
        <v>21</v>
      </c>
      <c r="B139" t="s">
        <v>245</v>
      </c>
      <c r="C139" t="s">
        <v>7</v>
      </c>
      <c r="D139">
        <v>8200</v>
      </c>
      <c r="E139">
        <v>15.9602896240227</v>
      </c>
      <c r="F139">
        <v>13.43</v>
      </c>
      <c r="G139">
        <v>2.5302896240227102</v>
      </c>
      <c r="H139">
        <v>1.9463767834173999</v>
      </c>
      <c r="I139">
        <v>3.1920579248045402</v>
      </c>
      <c r="J139">
        <v>41.920579248045399</v>
      </c>
      <c r="K139" t="s">
        <v>270</v>
      </c>
      <c r="L139">
        <f>IFERROR(VLOOKUP($A139,Actual!$A:$D,4,FALSE),IFERROR(VLOOKUP($A139,fc!$A:$AC,29,FALSE),"Not Found"))</f>
        <v>29.6</v>
      </c>
      <c r="M139">
        <f>IFERROR(VLOOKUP($A139,Actual!$A:$D,3,FALSE),"0")</f>
        <v>0.16270000000000001</v>
      </c>
      <c r="N139">
        <f>IFERROR(VLOOKUP($A139,NHT!$B:$F,5,FALSE),IFERROR(VLOOKUP(A139,fc!A:AD,28,FALSE),"Not Found"))</f>
        <v>60</v>
      </c>
    </row>
    <row r="140" spans="1:14" x14ac:dyDescent="0.2">
      <c r="A140" t="s">
        <v>81</v>
      </c>
      <c r="B140" t="s">
        <v>211</v>
      </c>
      <c r="C140" t="s">
        <v>7</v>
      </c>
      <c r="D140">
        <v>7200</v>
      </c>
      <c r="E140">
        <v>13.146084935271199</v>
      </c>
      <c r="F140">
        <v>11.4</v>
      </c>
      <c r="G140">
        <v>1.7460849352712</v>
      </c>
      <c r="H140">
        <v>1.8258451298987699</v>
      </c>
      <c r="I140">
        <v>2.6292169870542401</v>
      </c>
      <c r="J140">
        <v>36.292169870542402</v>
      </c>
      <c r="K140" t="s">
        <v>270</v>
      </c>
      <c r="L140">
        <f>IFERROR(VLOOKUP($A140,Actual!$A:$D,4,FALSE),IFERROR(VLOOKUP($A140,fc!$A:$AC,29,FALSE),"Not Found"))</f>
        <v>11.9</v>
      </c>
      <c r="M140">
        <f>IFERROR(VLOOKUP($A140,Actual!$A:$D,3,FALSE),"0")</f>
        <v>3.2300000000000002E-2</v>
      </c>
      <c r="N140">
        <f>IFERROR(VLOOKUP($A140,NHT!$B:$F,5,FALSE),IFERROR(VLOOKUP(A140,fc!A:AD,28,FALSE),"Not Found"))</f>
        <v>60</v>
      </c>
    </row>
    <row r="141" spans="1:14" x14ac:dyDescent="0.2">
      <c r="A141" t="s">
        <v>59</v>
      </c>
      <c r="B141" t="s">
        <v>214</v>
      </c>
      <c r="C141" t="s">
        <v>7</v>
      </c>
      <c r="D141">
        <v>8000</v>
      </c>
      <c r="E141">
        <v>7.8413389352235399</v>
      </c>
      <c r="F141">
        <v>5.54</v>
      </c>
      <c r="G141">
        <v>2.3013389352235398</v>
      </c>
      <c r="H141">
        <v>0.98016736690294204</v>
      </c>
      <c r="I141">
        <v>1.5682677870446999</v>
      </c>
      <c r="J141">
        <v>25.682677870447002</v>
      </c>
      <c r="K141" t="s">
        <v>270</v>
      </c>
      <c r="L141">
        <f>IFERROR(VLOOKUP($A141,Actual!$A:$D,4,FALSE),IFERROR(VLOOKUP($A141,fc!$A:$AC,29,FALSE),"Not Found"))</f>
        <v>-0.7</v>
      </c>
      <c r="M141">
        <f>IFERROR(VLOOKUP($A141,Actual!$A:$D,3,FALSE),"0")</f>
        <v>5.33E-2</v>
      </c>
      <c r="N141">
        <f>IFERROR(VLOOKUP($A141,NHT!$B:$F,5,FALSE),IFERROR(VLOOKUP(A141,fc!A:AD,28,FALSE),"Not Found"))</f>
        <v>60</v>
      </c>
    </row>
    <row r="142" spans="1:14" x14ac:dyDescent="0.2">
      <c r="A142" t="s">
        <v>20</v>
      </c>
      <c r="B142" t="s">
        <v>200</v>
      </c>
      <c r="C142" t="s">
        <v>7</v>
      </c>
      <c r="D142">
        <v>7800</v>
      </c>
      <c r="E142">
        <v>13.832586182162</v>
      </c>
      <c r="F142">
        <v>10.6</v>
      </c>
      <c r="G142">
        <v>3.2325861821620898</v>
      </c>
      <c r="H142">
        <v>1.77340848489257</v>
      </c>
      <c r="I142">
        <v>2.76651723643241</v>
      </c>
      <c r="J142">
        <v>37.6651723643241</v>
      </c>
      <c r="K142" t="s">
        <v>270</v>
      </c>
      <c r="L142">
        <f>IFERROR(VLOOKUP($A142,Actual!$A:$D,4,FALSE),IFERROR(VLOOKUP($A142,fc!$A:$AC,29,FALSE),"Not Found"))</f>
        <v>4.8</v>
      </c>
      <c r="M142">
        <f>IFERROR(VLOOKUP($A142,Actual!$A:$D,3,FALSE),"0")</f>
        <v>0.16689999999999999</v>
      </c>
      <c r="N142">
        <f>IFERROR(VLOOKUP($A142,NHT!$B:$F,5,FALSE),IFERROR(VLOOKUP(A142,fc!A:AD,28,FALSE),"Not Found"))</f>
        <v>63.483333333333</v>
      </c>
    </row>
    <row r="143" spans="1:14" x14ac:dyDescent="0.2">
      <c r="A143" t="s">
        <v>92</v>
      </c>
      <c r="B143" t="s">
        <v>207</v>
      </c>
      <c r="C143" t="s">
        <v>7</v>
      </c>
      <c r="D143">
        <v>7600</v>
      </c>
      <c r="E143">
        <v>9.6388018763197998</v>
      </c>
      <c r="F143">
        <v>7.32</v>
      </c>
      <c r="G143">
        <v>2.3188018763197999</v>
      </c>
      <c r="H143">
        <v>1.2682634047789201</v>
      </c>
      <c r="I143">
        <v>1.92776037526396</v>
      </c>
      <c r="J143">
        <v>29.2776037526396</v>
      </c>
      <c r="K143" t="s">
        <v>270</v>
      </c>
      <c r="L143">
        <f>IFERROR(VLOOKUP($A143,Actual!$A:$D,4,FALSE),IFERROR(VLOOKUP($A143,fc!$A:$AC,29,FALSE),"Not Found"))</f>
        <v>15.2</v>
      </c>
      <c r="M143">
        <f>IFERROR(VLOOKUP($A143,Actual!$A:$D,3,FALSE),"0")</f>
        <v>2.3800000000000002E-2</v>
      </c>
      <c r="N143">
        <f>IFERROR(VLOOKUP($A143,NHT!$B:$F,5,FALSE),IFERROR(VLOOKUP(A143,fc!A:AD,28,FALSE),"Not Found"))</f>
        <v>63.816666666666997</v>
      </c>
    </row>
  </sheetData>
  <autoFilter ref="A1:N143" xr:uid="{7573EB5B-89FB-C94C-8382-3C9D17811EE3}">
    <sortState xmlns:xlrd2="http://schemas.microsoft.com/office/spreadsheetml/2017/richdata2" ref="A2:N143">
      <sortCondition ref="N1:N1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1BA2-FC91-8042-899C-F343E354608F}">
  <dimension ref="A1:AI153"/>
  <sheetViews>
    <sheetView topLeftCell="A115" workbookViewId="0">
      <selection activeCell="J133" sqref="J133"/>
    </sheetView>
  </sheetViews>
  <sheetFormatPr baseColWidth="10" defaultRowHeight="16" x14ac:dyDescent="0.2"/>
  <cols>
    <col min="1" max="1" width="4.1640625" bestFit="1" customWidth="1"/>
    <col min="2" max="2" width="18.6640625" bestFit="1" customWidth="1"/>
    <col min="3" max="3" width="5.5" bestFit="1" customWidth="1"/>
    <col min="4" max="4" width="7.6640625" bestFit="1" customWidth="1"/>
    <col min="5" max="5" width="3.5" bestFit="1" customWidth="1"/>
    <col min="6" max="6" width="12.1640625" bestFit="1" customWidth="1"/>
    <col min="7" max="7" width="5.83203125" bestFit="1" customWidth="1"/>
    <col min="8" max="8" width="11" bestFit="1" customWidth="1"/>
    <col min="9" max="9" width="10.6640625" bestFit="1" customWidth="1"/>
    <col min="10" max="10" width="13" bestFit="1" customWidth="1"/>
    <col min="11" max="11" width="10.5" bestFit="1" customWidth="1"/>
    <col min="12" max="12" width="6.1640625" bestFit="1" customWidth="1"/>
    <col min="13" max="13" width="5.6640625" bestFit="1" customWidth="1"/>
    <col min="14" max="14" width="6.1640625" bestFit="1" customWidth="1"/>
    <col min="15" max="15" width="5.1640625" bestFit="1" customWidth="1"/>
    <col min="16" max="16" width="4" bestFit="1" customWidth="1"/>
    <col min="17" max="17" width="3.6640625" bestFit="1" customWidth="1"/>
    <col min="18" max="18" width="5" bestFit="1" customWidth="1"/>
    <col min="19" max="19" width="6.6640625" bestFit="1" customWidth="1"/>
    <col min="20" max="20" width="12.83203125" bestFit="1" customWidth="1"/>
    <col min="21" max="21" width="16.33203125" bestFit="1" customWidth="1"/>
    <col min="22" max="22" width="4.1640625" bestFit="1" customWidth="1"/>
    <col min="23" max="23" width="13" bestFit="1" customWidth="1"/>
    <col min="24" max="25" width="5.83203125" bestFit="1" customWidth="1"/>
    <col min="26" max="26" width="10.6640625" bestFit="1" customWidth="1"/>
    <col min="27" max="27" width="14.33203125" bestFit="1" customWidth="1"/>
    <col min="28" max="29" width="9.83203125" bestFit="1" customWidth="1"/>
    <col min="30" max="30" width="4.5" bestFit="1" customWidth="1"/>
    <col min="31" max="31" width="9.5" bestFit="1" customWidth="1"/>
    <col min="32" max="32" width="12.5" bestFit="1" customWidth="1"/>
    <col min="33" max="33" width="12" bestFit="1" customWidth="1"/>
    <col min="34" max="34" width="11.6640625" bestFit="1" customWidth="1"/>
    <col min="35" max="35" width="9.83203125" bestFit="1" customWidth="1"/>
  </cols>
  <sheetData>
    <row r="1" spans="1:35" x14ac:dyDescent="0.2">
      <c r="B1" t="s">
        <v>0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</row>
    <row r="2" spans="1:35" x14ac:dyDescent="0.2">
      <c r="A2">
        <v>92</v>
      </c>
      <c r="B2" t="s">
        <v>224</v>
      </c>
      <c r="C2" t="s">
        <v>206</v>
      </c>
      <c r="D2" t="s">
        <v>12</v>
      </c>
      <c r="E2">
        <v>1</v>
      </c>
      <c r="F2">
        <v>14.283333333332999</v>
      </c>
      <c r="G2">
        <v>0</v>
      </c>
      <c r="H2">
        <v>0</v>
      </c>
      <c r="I2">
        <v>0</v>
      </c>
      <c r="J2">
        <v>0</v>
      </c>
      <c r="K2">
        <v>0</v>
      </c>
      <c r="L2" t="s">
        <v>202</v>
      </c>
      <c r="M2">
        <v>0</v>
      </c>
      <c r="N2" t="s">
        <v>202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2</v>
      </c>
      <c r="AF2">
        <v>1</v>
      </c>
      <c r="AG2">
        <v>0</v>
      </c>
      <c r="AH2">
        <v>0</v>
      </c>
      <c r="AI2" t="s">
        <v>202</v>
      </c>
    </row>
    <row r="3" spans="1:35" x14ac:dyDescent="0.2">
      <c r="A3">
        <v>26</v>
      </c>
      <c r="B3" t="s">
        <v>99</v>
      </c>
      <c r="C3" t="s">
        <v>206</v>
      </c>
      <c r="D3" t="s">
        <v>12</v>
      </c>
      <c r="E3">
        <v>1</v>
      </c>
      <c r="F3">
        <v>24.15</v>
      </c>
      <c r="G3">
        <v>0</v>
      </c>
      <c r="H3">
        <v>1</v>
      </c>
      <c r="I3">
        <v>0</v>
      </c>
      <c r="J3">
        <v>1</v>
      </c>
      <c r="K3">
        <v>1</v>
      </c>
      <c r="L3">
        <v>50</v>
      </c>
      <c r="M3">
        <v>0</v>
      </c>
      <c r="N3" t="s">
        <v>202</v>
      </c>
      <c r="O3">
        <v>0.01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 t="s">
        <v>202</v>
      </c>
    </row>
    <row r="4" spans="1:35" x14ac:dyDescent="0.2">
      <c r="A4">
        <v>1</v>
      </c>
      <c r="B4" t="s">
        <v>66</v>
      </c>
      <c r="C4" t="s">
        <v>204</v>
      </c>
      <c r="D4" t="s">
        <v>205</v>
      </c>
      <c r="E4">
        <v>1</v>
      </c>
      <c r="F4">
        <v>19.3</v>
      </c>
      <c r="G4">
        <v>1</v>
      </c>
      <c r="H4">
        <v>0</v>
      </c>
      <c r="I4">
        <v>0</v>
      </c>
      <c r="J4">
        <v>0</v>
      </c>
      <c r="K4">
        <v>1</v>
      </c>
      <c r="L4">
        <v>50</v>
      </c>
      <c r="M4">
        <v>1</v>
      </c>
      <c r="N4">
        <v>100</v>
      </c>
      <c r="O4">
        <v>0.14000000000000001</v>
      </c>
      <c r="P4">
        <v>2</v>
      </c>
      <c r="Q4">
        <v>1</v>
      </c>
      <c r="R4">
        <v>2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50</v>
      </c>
    </row>
    <row r="5" spans="1:35" x14ac:dyDescent="0.2">
      <c r="A5">
        <v>119</v>
      </c>
      <c r="B5" t="s">
        <v>100</v>
      </c>
      <c r="C5" t="s">
        <v>200</v>
      </c>
      <c r="D5" t="s">
        <v>5</v>
      </c>
      <c r="E5">
        <v>1</v>
      </c>
      <c r="F5">
        <v>11.416666666667</v>
      </c>
      <c r="G5">
        <v>0</v>
      </c>
      <c r="H5">
        <v>0</v>
      </c>
      <c r="I5">
        <v>0</v>
      </c>
      <c r="J5">
        <v>0</v>
      </c>
      <c r="K5">
        <v>0</v>
      </c>
      <c r="L5" t="s">
        <v>202</v>
      </c>
      <c r="M5">
        <v>1</v>
      </c>
      <c r="N5">
        <v>0</v>
      </c>
      <c r="O5">
        <v>0.11</v>
      </c>
      <c r="P5">
        <v>2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2</v>
      </c>
      <c r="AF5">
        <v>1</v>
      </c>
      <c r="AG5">
        <v>0</v>
      </c>
      <c r="AH5">
        <v>0</v>
      </c>
      <c r="AI5" t="s">
        <v>202</v>
      </c>
    </row>
    <row r="6" spans="1:35" x14ac:dyDescent="0.2">
      <c r="A6">
        <v>107</v>
      </c>
      <c r="B6" t="s">
        <v>209</v>
      </c>
      <c r="C6" t="s">
        <v>207</v>
      </c>
      <c r="D6" t="s">
        <v>205</v>
      </c>
      <c r="E6">
        <v>1</v>
      </c>
      <c r="F6">
        <v>19.083333333333002</v>
      </c>
      <c r="G6">
        <v>0</v>
      </c>
      <c r="H6">
        <v>1</v>
      </c>
      <c r="I6">
        <v>0</v>
      </c>
      <c r="J6">
        <v>1</v>
      </c>
      <c r="K6">
        <v>1</v>
      </c>
      <c r="L6">
        <v>100</v>
      </c>
      <c r="M6">
        <v>0</v>
      </c>
      <c r="N6" t="s">
        <v>202</v>
      </c>
      <c r="O6">
        <v>0.12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6</v>
      </c>
      <c r="AE6">
        <v>0</v>
      </c>
      <c r="AF6">
        <v>1</v>
      </c>
      <c r="AG6">
        <v>0</v>
      </c>
      <c r="AH6">
        <v>0</v>
      </c>
      <c r="AI6" t="s">
        <v>202</v>
      </c>
    </row>
    <row r="7" spans="1:35" x14ac:dyDescent="0.2">
      <c r="A7">
        <v>6</v>
      </c>
      <c r="B7" t="s">
        <v>96</v>
      </c>
      <c r="C7" t="s">
        <v>206</v>
      </c>
      <c r="D7" t="s">
        <v>205</v>
      </c>
      <c r="E7">
        <v>1</v>
      </c>
      <c r="F7">
        <v>13.9</v>
      </c>
      <c r="G7">
        <v>0</v>
      </c>
      <c r="H7">
        <v>1</v>
      </c>
      <c r="I7">
        <v>0</v>
      </c>
      <c r="J7">
        <v>1</v>
      </c>
      <c r="K7">
        <v>1</v>
      </c>
      <c r="L7">
        <v>50</v>
      </c>
      <c r="M7">
        <v>3</v>
      </c>
      <c r="N7">
        <v>0</v>
      </c>
      <c r="O7">
        <v>0.59</v>
      </c>
      <c r="P7">
        <v>4</v>
      </c>
      <c r="Q7">
        <v>3</v>
      </c>
      <c r="R7">
        <v>3</v>
      </c>
      <c r="S7">
        <v>3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</row>
    <row r="8" spans="1:35" x14ac:dyDescent="0.2">
      <c r="A8">
        <v>70</v>
      </c>
      <c r="B8" t="s">
        <v>50</v>
      </c>
      <c r="C8" t="s">
        <v>200</v>
      </c>
      <c r="D8" t="s">
        <v>12</v>
      </c>
      <c r="E8">
        <v>1</v>
      </c>
      <c r="F8">
        <v>17.733333333333</v>
      </c>
      <c r="G8">
        <v>0</v>
      </c>
      <c r="H8">
        <v>0</v>
      </c>
      <c r="I8">
        <v>0</v>
      </c>
      <c r="J8">
        <v>0</v>
      </c>
      <c r="K8">
        <v>0</v>
      </c>
      <c r="L8" t="s">
        <v>202</v>
      </c>
      <c r="M8">
        <v>2</v>
      </c>
      <c r="N8">
        <v>0</v>
      </c>
      <c r="O8">
        <v>0.05</v>
      </c>
      <c r="P8">
        <v>4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9</v>
      </c>
      <c r="AF8">
        <v>0</v>
      </c>
      <c r="AG8">
        <v>0</v>
      </c>
      <c r="AH8">
        <v>0</v>
      </c>
      <c r="AI8" t="s">
        <v>202</v>
      </c>
    </row>
    <row r="9" spans="1:35" x14ac:dyDescent="0.2">
      <c r="A9">
        <v>59</v>
      </c>
      <c r="B9" t="s">
        <v>24</v>
      </c>
      <c r="C9" t="s">
        <v>215</v>
      </c>
      <c r="D9" t="s">
        <v>5</v>
      </c>
      <c r="E9">
        <v>1</v>
      </c>
      <c r="F9">
        <v>17.283333333333001</v>
      </c>
      <c r="G9">
        <v>1</v>
      </c>
      <c r="H9">
        <v>0</v>
      </c>
      <c r="I9">
        <v>0</v>
      </c>
      <c r="J9">
        <v>0</v>
      </c>
      <c r="K9">
        <v>1</v>
      </c>
      <c r="L9">
        <v>50</v>
      </c>
      <c r="M9">
        <v>1</v>
      </c>
      <c r="N9">
        <v>100</v>
      </c>
      <c r="O9">
        <v>0.05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</v>
      </c>
      <c r="AG9">
        <v>8</v>
      </c>
      <c r="AH9">
        <v>7</v>
      </c>
      <c r="AI9">
        <v>53.33</v>
      </c>
    </row>
    <row r="10" spans="1:35" x14ac:dyDescent="0.2">
      <c r="A10">
        <v>30</v>
      </c>
      <c r="B10" t="s">
        <v>48</v>
      </c>
      <c r="C10" t="s">
        <v>206</v>
      </c>
      <c r="D10" t="s">
        <v>205</v>
      </c>
      <c r="E10">
        <v>1</v>
      </c>
      <c r="F10">
        <v>16.033333333333001</v>
      </c>
      <c r="G10">
        <v>0</v>
      </c>
      <c r="H10">
        <v>2</v>
      </c>
      <c r="I10">
        <v>0</v>
      </c>
      <c r="J10">
        <v>2</v>
      </c>
      <c r="K10">
        <v>2</v>
      </c>
      <c r="L10">
        <v>100</v>
      </c>
      <c r="M10">
        <v>1</v>
      </c>
      <c r="N10">
        <v>0</v>
      </c>
      <c r="O10">
        <v>0.03</v>
      </c>
      <c r="P10">
        <v>3</v>
      </c>
      <c r="Q10">
        <v>1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 t="s">
        <v>202</v>
      </c>
    </row>
    <row r="11" spans="1:35" x14ac:dyDescent="0.2">
      <c r="A11">
        <v>60</v>
      </c>
      <c r="B11" t="s">
        <v>42</v>
      </c>
      <c r="C11" t="s">
        <v>207</v>
      </c>
      <c r="D11" t="s">
        <v>205</v>
      </c>
      <c r="E11">
        <v>1</v>
      </c>
      <c r="F11">
        <v>24.25</v>
      </c>
      <c r="G11">
        <v>0</v>
      </c>
      <c r="H11">
        <v>1</v>
      </c>
      <c r="I11">
        <v>1</v>
      </c>
      <c r="J11">
        <v>0</v>
      </c>
      <c r="K11">
        <v>1</v>
      </c>
      <c r="L11">
        <v>100</v>
      </c>
      <c r="M11">
        <v>2</v>
      </c>
      <c r="N11">
        <v>0</v>
      </c>
      <c r="O11">
        <v>0.59</v>
      </c>
      <c r="P11">
        <v>7</v>
      </c>
      <c r="Q11">
        <v>6</v>
      </c>
      <c r="R11">
        <v>4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2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202</v>
      </c>
    </row>
    <row r="12" spans="1:35" x14ac:dyDescent="0.2">
      <c r="A12">
        <v>90</v>
      </c>
      <c r="B12" t="s">
        <v>47</v>
      </c>
      <c r="C12" t="s">
        <v>211</v>
      </c>
      <c r="D12" t="s">
        <v>5</v>
      </c>
      <c r="E12">
        <v>1</v>
      </c>
      <c r="F12">
        <v>15.466666666667001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202</v>
      </c>
      <c r="M12">
        <v>5</v>
      </c>
      <c r="N12">
        <v>0</v>
      </c>
      <c r="O12">
        <v>1.1100000000000001</v>
      </c>
      <c r="P12">
        <v>8</v>
      </c>
      <c r="Q12">
        <v>7</v>
      </c>
      <c r="R12">
        <v>5</v>
      </c>
      <c r="S12">
        <v>4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4</v>
      </c>
      <c r="AF12">
        <v>0</v>
      </c>
      <c r="AG12">
        <v>7</v>
      </c>
      <c r="AH12">
        <v>3</v>
      </c>
      <c r="AI12">
        <v>70</v>
      </c>
    </row>
    <row r="13" spans="1:35" x14ac:dyDescent="0.2">
      <c r="A13">
        <v>140</v>
      </c>
      <c r="B13" t="s">
        <v>30</v>
      </c>
      <c r="C13" t="s">
        <v>204</v>
      </c>
      <c r="D13" t="s">
        <v>201</v>
      </c>
      <c r="E13">
        <v>1</v>
      </c>
      <c r="F13">
        <v>25.516666666667</v>
      </c>
      <c r="G13">
        <v>0</v>
      </c>
      <c r="H13">
        <v>2</v>
      </c>
      <c r="I13">
        <v>2</v>
      </c>
      <c r="J13">
        <v>0</v>
      </c>
      <c r="K13">
        <v>2</v>
      </c>
      <c r="L13">
        <v>66.67</v>
      </c>
      <c r="M13">
        <v>7</v>
      </c>
      <c r="N13">
        <v>0</v>
      </c>
      <c r="O13">
        <v>0.76</v>
      </c>
      <c r="P13">
        <v>11</v>
      </c>
      <c r="Q13">
        <v>10</v>
      </c>
      <c r="R13">
        <v>7</v>
      </c>
      <c r="S13">
        <v>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2</v>
      </c>
      <c r="AF13">
        <v>0</v>
      </c>
      <c r="AG13">
        <v>0</v>
      </c>
      <c r="AH13">
        <v>0</v>
      </c>
      <c r="AI13" t="s">
        <v>202</v>
      </c>
    </row>
    <row r="14" spans="1:35" x14ac:dyDescent="0.2">
      <c r="A14">
        <v>37</v>
      </c>
      <c r="B14" t="s">
        <v>74</v>
      </c>
      <c r="C14" t="s">
        <v>206</v>
      </c>
      <c r="D14" t="s">
        <v>5</v>
      </c>
      <c r="E14">
        <v>1</v>
      </c>
      <c r="F14">
        <v>19.283333333333001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202</v>
      </c>
      <c r="M14">
        <v>1</v>
      </c>
      <c r="N14">
        <v>0</v>
      </c>
      <c r="O14">
        <v>0.02</v>
      </c>
      <c r="P14">
        <v>3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1</v>
      </c>
      <c r="AD14">
        <v>2</v>
      </c>
      <c r="AE14">
        <v>1</v>
      </c>
      <c r="AF14">
        <v>0</v>
      </c>
      <c r="AG14">
        <v>6</v>
      </c>
      <c r="AH14">
        <v>11</v>
      </c>
      <c r="AI14">
        <v>35.29</v>
      </c>
    </row>
    <row r="15" spans="1:35" x14ac:dyDescent="0.2">
      <c r="A15">
        <v>100</v>
      </c>
      <c r="B15" t="s">
        <v>56</v>
      </c>
      <c r="C15" t="s">
        <v>214</v>
      </c>
      <c r="D15" t="s">
        <v>201</v>
      </c>
      <c r="E15">
        <v>1</v>
      </c>
      <c r="F15">
        <v>15.016666666667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202</v>
      </c>
      <c r="M15">
        <v>0</v>
      </c>
      <c r="N15" t="s">
        <v>202</v>
      </c>
      <c r="O15">
        <v>0.04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 t="s">
        <v>202</v>
      </c>
    </row>
    <row r="16" spans="1:35" x14ac:dyDescent="0.2">
      <c r="A16">
        <v>105</v>
      </c>
      <c r="B16" t="s">
        <v>80</v>
      </c>
      <c r="C16" t="s">
        <v>207</v>
      </c>
      <c r="D16" t="s">
        <v>12</v>
      </c>
      <c r="E16">
        <v>1</v>
      </c>
      <c r="F16">
        <v>21.133333333332999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202</v>
      </c>
      <c r="M16">
        <v>1</v>
      </c>
      <c r="N16">
        <v>0</v>
      </c>
      <c r="O16">
        <v>0.03</v>
      </c>
      <c r="P16">
        <v>3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5</v>
      </c>
      <c r="AG16">
        <v>0</v>
      </c>
      <c r="AH16">
        <v>0</v>
      </c>
      <c r="AI16" t="s">
        <v>202</v>
      </c>
    </row>
    <row r="17" spans="1:35" x14ac:dyDescent="0.2">
      <c r="A17">
        <v>73</v>
      </c>
      <c r="B17" t="s">
        <v>35</v>
      </c>
      <c r="C17" t="s">
        <v>215</v>
      </c>
      <c r="D17" t="s">
        <v>205</v>
      </c>
      <c r="E17">
        <v>1</v>
      </c>
      <c r="F17">
        <v>21.766666666667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</v>
      </c>
      <c r="N17">
        <v>0</v>
      </c>
      <c r="O17">
        <v>0.79</v>
      </c>
      <c r="P17">
        <v>12</v>
      </c>
      <c r="Q17">
        <v>7</v>
      </c>
      <c r="R17">
        <v>8</v>
      </c>
      <c r="S17">
        <v>5</v>
      </c>
      <c r="T17">
        <v>0</v>
      </c>
      <c r="U17">
        <v>4</v>
      </c>
      <c r="V17">
        <v>2</v>
      </c>
      <c r="W17">
        <v>1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3</v>
      </c>
      <c r="AF17">
        <v>1</v>
      </c>
      <c r="AG17">
        <v>3</v>
      </c>
      <c r="AH17">
        <v>2</v>
      </c>
      <c r="AI17">
        <v>60</v>
      </c>
    </row>
    <row r="18" spans="1:35" x14ac:dyDescent="0.2">
      <c r="A18">
        <v>65</v>
      </c>
      <c r="B18" t="s">
        <v>220</v>
      </c>
      <c r="C18" t="s">
        <v>211</v>
      </c>
      <c r="D18" t="s">
        <v>205</v>
      </c>
      <c r="E18">
        <v>1</v>
      </c>
      <c r="F18">
        <v>7.65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202</v>
      </c>
      <c r="M18">
        <v>0</v>
      </c>
      <c r="N18" t="s">
        <v>202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3</v>
      </c>
      <c r="AE18">
        <v>1</v>
      </c>
      <c r="AF18">
        <v>0</v>
      </c>
      <c r="AG18">
        <v>0</v>
      </c>
      <c r="AH18">
        <v>0</v>
      </c>
      <c r="AI18" t="s">
        <v>202</v>
      </c>
    </row>
    <row r="19" spans="1:35" x14ac:dyDescent="0.2">
      <c r="A19">
        <v>123</v>
      </c>
      <c r="B19" t="s">
        <v>157</v>
      </c>
      <c r="C19" t="s">
        <v>207</v>
      </c>
      <c r="D19" t="s">
        <v>205</v>
      </c>
      <c r="E19">
        <v>1</v>
      </c>
      <c r="F19">
        <v>9.9499999999999993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202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1</v>
      </c>
      <c r="AF19">
        <v>1</v>
      </c>
      <c r="AG19">
        <v>0</v>
      </c>
      <c r="AH19">
        <v>0</v>
      </c>
      <c r="AI19" t="s">
        <v>202</v>
      </c>
    </row>
    <row r="20" spans="1:35" x14ac:dyDescent="0.2">
      <c r="A20">
        <v>99</v>
      </c>
      <c r="B20" t="s">
        <v>45</v>
      </c>
      <c r="C20" t="s">
        <v>214</v>
      </c>
      <c r="D20" t="s">
        <v>12</v>
      </c>
      <c r="E20">
        <v>1</v>
      </c>
      <c r="F20">
        <v>22.45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202</v>
      </c>
      <c r="M20">
        <v>4</v>
      </c>
      <c r="N20">
        <v>0</v>
      </c>
      <c r="O20">
        <v>0.3</v>
      </c>
      <c r="P20">
        <v>6</v>
      </c>
      <c r="Q20">
        <v>6</v>
      </c>
      <c r="R20">
        <v>3</v>
      </c>
      <c r="S20">
        <v>1</v>
      </c>
      <c r="T20">
        <v>0</v>
      </c>
      <c r="U20">
        <v>1</v>
      </c>
      <c r="V20">
        <v>2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3</v>
      </c>
      <c r="AG20">
        <v>0</v>
      </c>
      <c r="AH20">
        <v>0</v>
      </c>
      <c r="AI20" t="s">
        <v>202</v>
      </c>
    </row>
    <row r="21" spans="1:35" x14ac:dyDescent="0.2">
      <c r="A21">
        <v>67</v>
      </c>
      <c r="B21" t="s">
        <v>165</v>
      </c>
      <c r="C21" t="s">
        <v>214</v>
      </c>
      <c r="D21" t="s">
        <v>201</v>
      </c>
      <c r="E21">
        <v>1</v>
      </c>
      <c r="F21">
        <v>10.533333333332999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202</v>
      </c>
      <c r="M21">
        <v>1</v>
      </c>
      <c r="N21">
        <v>0</v>
      </c>
      <c r="O21">
        <v>0.02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3</v>
      </c>
      <c r="AE21">
        <v>1</v>
      </c>
      <c r="AF21">
        <v>0</v>
      </c>
      <c r="AG21">
        <v>0</v>
      </c>
      <c r="AH21">
        <v>0</v>
      </c>
      <c r="AI21" t="s">
        <v>202</v>
      </c>
    </row>
    <row r="22" spans="1:35" x14ac:dyDescent="0.2">
      <c r="A22">
        <v>5</v>
      </c>
      <c r="B22" t="s">
        <v>212</v>
      </c>
      <c r="C22" t="s">
        <v>206</v>
      </c>
      <c r="D22" t="s">
        <v>5</v>
      </c>
      <c r="E22">
        <v>1</v>
      </c>
      <c r="F22">
        <v>15.6</v>
      </c>
      <c r="G22">
        <v>0</v>
      </c>
      <c r="H22">
        <v>1</v>
      </c>
      <c r="I22">
        <v>1</v>
      </c>
      <c r="J22">
        <v>0</v>
      </c>
      <c r="K22">
        <v>1</v>
      </c>
      <c r="L22">
        <v>100</v>
      </c>
      <c r="M22">
        <v>2</v>
      </c>
      <c r="N22">
        <v>0</v>
      </c>
      <c r="O22">
        <v>0.04</v>
      </c>
      <c r="P22">
        <v>2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10</v>
      </c>
      <c r="AH22">
        <v>5</v>
      </c>
      <c r="AI22">
        <v>66.67</v>
      </c>
    </row>
    <row r="23" spans="1:35" x14ac:dyDescent="0.2">
      <c r="A23">
        <v>79</v>
      </c>
      <c r="B23" t="s">
        <v>22</v>
      </c>
      <c r="C23" t="s">
        <v>200</v>
      </c>
      <c r="D23" t="s">
        <v>5</v>
      </c>
      <c r="E23">
        <v>1</v>
      </c>
      <c r="F23">
        <v>13.75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202</v>
      </c>
      <c r="M23">
        <v>1</v>
      </c>
      <c r="N23">
        <v>0</v>
      </c>
      <c r="O23">
        <v>0.01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202</v>
      </c>
    </row>
    <row r="24" spans="1:35" x14ac:dyDescent="0.2">
      <c r="A24">
        <v>66</v>
      </c>
      <c r="B24" t="s">
        <v>16</v>
      </c>
      <c r="C24" t="s">
        <v>200</v>
      </c>
      <c r="D24" t="s">
        <v>12</v>
      </c>
      <c r="E24">
        <v>1</v>
      </c>
      <c r="F24">
        <v>24.116666666667001</v>
      </c>
      <c r="G24">
        <v>0</v>
      </c>
      <c r="H24">
        <v>1</v>
      </c>
      <c r="I24">
        <v>0</v>
      </c>
      <c r="J24">
        <v>1</v>
      </c>
      <c r="K24">
        <v>1</v>
      </c>
      <c r="L24">
        <v>100</v>
      </c>
      <c r="M24">
        <v>2</v>
      </c>
      <c r="N24">
        <v>0</v>
      </c>
      <c r="O24">
        <v>0.08</v>
      </c>
      <c r="P24">
        <v>2</v>
      </c>
      <c r="Q24">
        <v>2</v>
      </c>
      <c r="R24">
        <v>0</v>
      </c>
      <c r="S24">
        <v>0</v>
      </c>
      <c r="T24">
        <v>0</v>
      </c>
      <c r="U24">
        <v>0</v>
      </c>
      <c r="V24">
        <v>4</v>
      </c>
      <c r="W24">
        <v>2</v>
      </c>
      <c r="X24">
        <v>2</v>
      </c>
      <c r="Y24">
        <v>0</v>
      </c>
      <c r="Z24">
        <v>0</v>
      </c>
      <c r="AA24">
        <v>0</v>
      </c>
      <c r="AB24">
        <v>3</v>
      </c>
      <c r="AC24">
        <v>0</v>
      </c>
      <c r="AD24">
        <v>0</v>
      </c>
      <c r="AE24">
        <v>3</v>
      </c>
      <c r="AF24">
        <v>0</v>
      </c>
      <c r="AG24">
        <v>0</v>
      </c>
      <c r="AH24">
        <v>0</v>
      </c>
      <c r="AI24" t="s">
        <v>202</v>
      </c>
    </row>
    <row r="25" spans="1:35" x14ac:dyDescent="0.2">
      <c r="A25">
        <v>3</v>
      </c>
      <c r="B25" t="s">
        <v>43</v>
      </c>
      <c r="C25" t="s">
        <v>204</v>
      </c>
      <c r="D25" t="s">
        <v>205</v>
      </c>
      <c r="E25">
        <v>1</v>
      </c>
      <c r="F25">
        <v>17.3</v>
      </c>
      <c r="G25">
        <v>0</v>
      </c>
      <c r="H25">
        <v>1</v>
      </c>
      <c r="I25">
        <v>1</v>
      </c>
      <c r="J25">
        <v>0</v>
      </c>
      <c r="K25">
        <v>1</v>
      </c>
      <c r="L25">
        <v>33.33</v>
      </c>
      <c r="M25">
        <v>4</v>
      </c>
      <c r="N25">
        <v>0</v>
      </c>
      <c r="O25">
        <v>0.53</v>
      </c>
      <c r="P25">
        <v>6</v>
      </c>
      <c r="Q25">
        <v>6</v>
      </c>
      <c r="R25">
        <v>5</v>
      </c>
      <c r="S25">
        <v>4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202</v>
      </c>
    </row>
    <row r="26" spans="1:35" x14ac:dyDescent="0.2">
      <c r="A26">
        <v>46</v>
      </c>
      <c r="B26" t="s">
        <v>55</v>
      </c>
      <c r="C26" t="s">
        <v>214</v>
      </c>
      <c r="D26" t="s">
        <v>5</v>
      </c>
      <c r="E26">
        <v>1</v>
      </c>
      <c r="F26">
        <v>19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202</v>
      </c>
      <c r="M26">
        <v>1</v>
      </c>
      <c r="N26">
        <v>0</v>
      </c>
      <c r="O26">
        <v>0.3</v>
      </c>
      <c r="P26">
        <v>3</v>
      </c>
      <c r="Q26">
        <v>3</v>
      </c>
      <c r="R26">
        <v>3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3</v>
      </c>
      <c r="AH26">
        <v>7</v>
      </c>
      <c r="AI26">
        <v>30</v>
      </c>
    </row>
    <row r="27" spans="1:35" x14ac:dyDescent="0.2">
      <c r="A27">
        <v>68</v>
      </c>
      <c r="B27" t="s">
        <v>86</v>
      </c>
      <c r="C27" t="s">
        <v>211</v>
      </c>
      <c r="D27" t="s">
        <v>201</v>
      </c>
      <c r="E27">
        <v>1</v>
      </c>
      <c r="F27">
        <v>19.933333333333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202</v>
      </c>
      <c r="M27">
        <v>1</v>
      </c>
      <c r="N27">
        <v>0</v>
      </c>
      <c r="O27">
        <v>0.1</v>
      </c>
      <c r="P27">
        <v>3</v>
      </c>
      <c r="Q27">
        <v>1</v>
      </c>
      <c r="R27">
        <v>1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202</v>
      </c>
    </row>
    <row r="28" spans="1:35" x14ac:dyDescent="0.2">
      <c r="A28">
        <v>51</v>
      </c>
      <c r="B28" t="s">
        <v>4</v>
      </c>
      <c r="C28" t="s">
        <v>203</v>
      </c>
      <c r="D28" t="s">
        <v>5</v>
      </c>
      <c r="E28">
        <v>1</v>
      </c>
      <c r="F28">
        <v>23.6</v>
      </c>
      <c r="G28">
        <v>1</v>
      </c>
      <c r="H28">
        <v>1</v>
      </c>
      <c r="I28">
        <v>0</v>
      </c>
      <c r="J28">
        <v>1</v>
      </c>
      <c r="K28">
        <v>2</v>
      </c>
      <c r="L28">
        <v>50</v>
      </c>
      <c r="M28">
        <v>3</v>
      </c>
      <c r="N28">
        <v>33.33</v>
      </c>
      <c r="O28">
        <v>1.23</v>
      </c>
      <c r="P28">
        <v>5</v>
      </c>
      <c r="Q28">
        <v>4</v>
      </c>
      <c r="R28">
        <v>3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4</v>
      </c>
      <c r="AC28">
        <v>1</v>
      </c>
      <c r="AD28">
        <v>0</v>
      </c>
      <c r="AE28">
        <v>0</v>
      </c>
      <c r="AF28">
        <v>0</v>
      </c>
      <c r="AG28">
        <v>8</v>
      </c>
      <c r="AH28">
        <v>9</v>
      </c>
      <c r="AI28">
        <v>47.06</v>
      </c>
    </row>
    <row r="29" spans="1:35" x14ac:dyDescent="0.2">
      <c r="A29">
        <v>38</v>
      </c>
      <c r="B29" t="s">
        <v>217</v>
      </c>
      <c r="C29" t="s">
        <v>203</v>
      </c>
      <c r="D29" t="s">
        <v>5</v>
      </c>
      <c r="E29">
        <v>1</v>
      </c>
      <c r="F29">
        <v>11.4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202</v>
      </c>
      <c r="M29">
        <v>1</v>
      </c>
      <c r="N29">
        <v>0</v>
      </c>
      <c r="O29">
        <v>0.16</v>
      </c>
      <c r="P29">
        <v>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0</v>
      </c>
      <c r="AF29">
        <v>0</v>
      </c>
      <c r="AG29">
        <v>7</v>
      </c>
      <c r="AH29">
        <v>6</v>
      </c>
      <c r="AI29">
        <v>53.85</v>
      </c>
    </row>
    <row r="30" spans="1:35" x14ac:dyDescent="0.2">
      <c r="A30">
        <v>126</v>
      </c>
      <c r="B30" t="s">
        <v>51</v>
      </c>
      <c r="C30" t="s">
        <v>204</v>
      </c>
      <c r="D30" t="s">
        <v>205</v>
      </c>
      <c r="E30">
        <v>1</v>
      </c>
      <c r="F30">
        <v>17.916666666666998</v>
      </c>
      <c r="G30">
        <v>0</v>
      </c>
      <c r="H30">
        <v>1</v>
      </c>
      <c r="I30">
        <v>0</v>
      </c>
      <c r="J30">
        <v>1</v>
      </c>
      <c r="K30">
        <v>1</v>
      </c>
      <c r="L30">
        <v>50</v>
      </c>
      <c r="M30">
        <v>5</v>
      </c>
      <c r="N30">
        <v>0</v>
      </c>
      <c r="O30">
        <v>0.52</v>
      </c>
      <c r="P30">
        <v>8</v>
      </c>
      <c r="Q30">
        <v>8</v>
      </c>
      <c r="R30">
        <v>5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2</v>
      </c>
      <c r="AI30">
        <v>0</v>
      </c>
    </row>
    <row r="31" spans="1:35" x14ac:dyDescent="0.2">
      <c r="A31">
        <v>138</v>
      </c>
      <c r="B31" t="s">
        <v>131</v>
      </c>
      <c r="C31" t="s">
        <v>211</v>
      </c>
      <c r="D31" t="s">
        <v>205</v>
      </c>
      <c r="E31">
        <v>1</v>
      </c>
      <c r="F31">
        <v>12.833333333333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202</v>
      </c>
      <c r="M31">
        <v>2</v>
      </c>
      <c r="N31">
        <v>0</v>
      </c>
      <c r="O31">
        <v>0.14000000000000001</v>
      </c>
      <c r="P31">
        <v>3</v>
      </c>
      <c r="Q31">
        <v>3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0</v>
      </c>
    </row>
    <row r="32" spans="1:35" x14ac:dyDescent="0.2">
      <c r="A32">
        <v>35</v>
      </c>
      <c r="B32" t="s">
        <v>64</v>
      </c>
      <c r="C32" t="s">
        <v>203</v>
      </c>
      <c r="D32" t="s">
        <v>12</v>
      </c>
      <c r="E32">
        <v>1</v>
      </c>
      <c r="F32">
        <v>22.383333333332999</v>
      </c>
      <c r="G32">
        <v>1</v>
      </c>
      <c r="H32">
        <v>0</v>
      </c>
      <c r="I32">
        <v>0</v>
      </c>
      <c r="J32">
        <v>0</v>
      </c>
      <c r="K32">
        <v>1</v>
      </c>
      <c r="L32">
        <v>100</v>
      </c>
      <c r="M32">
        <v>2</v>
      </c>
      <c r="N32">
        <v>50</v>
      </c>
      <c r="O32">
        <v>0.11</v>
      </c>
      <c r="P32">
        <v>6</v>
      </c>
      <c r="Q32">
        <v>3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3</v>
      </c>
      <c r="AF32">
        <v>2</v>
      </c>
      <c r="AG32">
        <v>0</v>
      </c>
      <c r="AH32">
        <v>0</v>
      </c>
      <c r="AI32" t="s">
        <v>202</v>
      </c>
    </row>
    <row r="33" spans="1:35" x14ac:dyDescent="0.2">
      <c r="A33">
        <v>49</v>
      </c>
      <c r="B33" t="s">
        <v>32</v>
      </c>
      <c r="C33" t="s">
        <v>215</v>
      </c>
      <c r="D33" t="s">
        <v>12</v>
      </c>
      <c r="E33">
        <v>1</v>
      </c>
      <c r="F33">
        <v>25.283333333333001</v>
      </c>
      <c r="G33">
        <v>1</v>
      </c>
      <c r="H33">
        <v>0</v>
      </c>
      <c r="I33">
        <v>0</v>
      </c>
      <c r="J33">
        <v>0</v>
      </c>
      <c r="K33">
        <v>1</v>
      </c>
      <c r="L33">
        <v>50</v>
      </c>
      <c r="M33">
        <v>3</v>
      </c>
      <c r="N33">
        <v>33.33</v>
      </c>
      <c r="O33">
        <v>0.17</v>
      </c>
      <c r="P33">
        <v>4</v>
      </c>
      <c r="Q33">
        <v>4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2</v>
      </c>
      <c r="AE33">
        <v>1</v>
      </c>
      <c r="AF33">
        <v>1</v>
      </c>
      <c r="AG33">
        <v>0</v>
      </c>
      <c r="AH33">
        <v>0</v>
      </c>
      <c r="AI33" t="s">
        <v>202</v>
      </c>
    </row>
    <row r="34" spans="1:35" x14ac:dyDescent="0.2">
      <c r="A34">
        <v>45</v>
      </c>
      <c r="B34" t="s">
        <v>19</v>
      </c>
      <c r="C34" t="s">
        <v>200</v>
      </c>
      <c r="D34" t="s">
        <v>201</v>
      </c>
      <c r="E34">
        <v>1</v>
      </c>
      <c r="F34">
        <v>22.5</v>
      </c>
      <c r="G34">
        <v>0</v>
      </c>
      <c r="H34">
        <v>3</v>
      </c>
      <c r="I34">
        <v>3</v>
      </c>
      <c r="J34">
        <v>0</v>
      </c>
      <c r="K34">
        <v>3</v>
      </c>
      <c r="L34">
        <v>100</v>
      </c>
      <c r="M34">
        <v>2</v>
      </c>
      <c r="N34">
        <v>0</v>
      </c>
      <c r="O34">
        <v>0.12</v>
      </c>
      <c r="P34">
        <v>6</v>
      </c>
      <c r="Q34">
        <v>3</v>
      </c>
      <c r="R34">
        <v>2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 t="s">
        <v>202</v>
      </c>
    </row>
    <row r="35" spans="1:35" x14ac:dyDescent="0.2">
      <c r="A35">
        <v>125</v>
      </c>
      <c r="B35" t="s">
        <v>136</v>
      </c>
      <c r="C35" t="s">
        <v>215</v>
      </c>
      <c r="D35" t="s">
        <v>12</v>
      </c>
      <c r="E35">
        <v>1</v>
      </c>
      <c r="F35">
        <v>17.399999999999999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202</v>
      </c>
      <c r="M35">
        <v>0</v>
      </c>
      <c r="N35" t="s">
        <v>202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4</v>
      </c>
      <c r="W35">
        <v>2</v>
      </c>
      <c r="X35">
        <v>2</v>
      </c>
      <c r="Y35">
        <v>0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 t="s">
        <v>202</v>
      </c>
    </row>
    <row r="36" spans="1:35" x14ac:dyDescent="0.2">
      <c r="A36">
        <v>135</v>
      </c>
      <c r="B36" t="s">
        <v>70</v>
      </c>
      <c r="C36" t="s">
        <v>214</v>
      </c>
      <c r="D36" t="s">
        <v>5</v>
      </c>
      <c r="E36">
        <v>1</v>
      </c>
      <c r="F36">
        <v>14.683333333333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202</v>
      </c>
      <c r="M36">
        <v>1</v>
      </c>
      <c r="N36">
        <v>0</v>
      </c>
      <c r="O36">
        <v>0.12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100</v>
      </c>
    </row>
    <row r="37" spans="1:35" x14ac:dyDescent="0.2">
      <c r="A37">
        <v>134</v>
      </c>
      <c r="B37" t="s">
        <v>83</v>
      </c>
      <c r="C37" t="s">
        <v>215</v>
      </c>
      <c r="D37" t="s">
        <v>5</v>
      </c>
      <c r="E37">
        <v>1</v>
      </c>
      <c r="F37">
        <v>13.233333333333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202</v>
      </c>
      <c r="M37">
        <v>4</v>
      </c>
      <c r="N37">
        <v>0</v>
      </c>
      <c r="O37">
        <v>0.28000000000000003</v>
      </c>
      <c r="P37">
        <v>5</v>
      </c>
      <c r="Q37">
        <v>5</v>
      </c>
      <c r="R37">
        <v>3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3</v>
      </c>
      <c r="AI37">
        <v>40</v>
      </c>
    </row>
    <row r="38" spans="1:35" x14ac:dyDescent="0.2">
      <c r="A38">
        <v>101</v>
      </c>
      <c r="B38" t="s">
        <v>128</v>
      </c>
      <c r="C38" t="s">
        <v>204</v>
      </c>
      <c r="D38" t="s">
        <v>12</v>
      </c>
      <c r="E38">
        <v>1</v>
      </c>
      <c r="F38">
        <v>14.933333333333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202</v>
      </c>
      <c r="M38">
        <v>0</v>
      </c>
      <c r="N38" t="s">
        <v>202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0</v>
      </c>
      <c r="AD38">
        <v>3</v>
      </c>
      <c r="AE38">
        <v>0</v>
      </c>
      <c r="AF38">
        <v>0</v>
      </c>
      <c r="AG38">
        <v>0</v>
      </c>
      <c r="AH38">
        <v>0</v>
      </c>
      <c r="AI38" t="s">
        <v>202</v>
      </c>
    </row>
    <row r="39" spans="1:35" x14ac:dyDescent="0.2">
      <c r="A39">
        <v>122</v>
      </c>
      <c r="B39" t="s">
        <v>98</v>
      </c>
      <c r="C39" t="s">
        <v>211</v>
      </c>
      <c r="D39" t="s">
        <v>201</v>
      </c>
      <c r="E39">
        <v>1</v>
      </c>
      <c r="F39">
        <v>18.466666666666999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202</v>
      </c>
      <c r="M39">
        <v>5</v>
      </c>
      <c r="N39">
        <v>0</v>
      </c>
      <c r="O39">
        <v>0.57999999999999996</v>
      </c>
      <c r="P39">
        <v>11</v>
      </c>
      <c r="Q39">
        <v>9</v>
      </c>
      <c r="R39">
        <v>4</v>
      </c>
      <c r="S39">
        <v>2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1</v>
      </c>
      <c r="AG39">
        <v>0</v>
      </c>
      <c r="AH39">
        <v>0</v>
      </c>
      <c r="AI39" t="s">
        <v>202</v>
      </c>
    </row>
    <row r="40" spans="1:35" x14ac:dyDescent="0.2">
      <c r="A40">
        <v>34</v>
      </c>
      <c r="B40" t="s">
        <v>17</v>
      </c>
      <c r="C40" t="s">
        <v>200</v>
      </c>
      <c r="D40" t="s">
        <v>5</v>
      </c>
      <c r="E40">
        <v>1</v>
      </c>
      <c r="F40">
        <v>20.716666666666999</v>
      </c>
      <c r="G40">
        <v>2</v>
      </c>
      <c r="H40">
        <v>0</v>
      </c>
      <c r="I40">
        <v>0</v>
      </c>
      <c r="J40">
        <v>0</v>
      </c>
      <c r="K40">
        <v>2</v>
      </c>
      <c r="L40">
        <v>66.67</v>
      </c>
      <c r="M40">
        <v>4</v>
      </c>
      <c r="N40">
        <v>50</v>
      </c>
      <c r="O40">
        <v>0.82</v>
      </c>
      <c r="P40">
        <v>8</v>
      </c>
      <c r="Q40">
        <v>7</v>
      </c>
      <c r="R40">
        <v>6</v>
      </c>
      <c r="S40">
        <v>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2</v>
      </c>
      <c r="AG40">
        <v>7</v>
      </c>
      <c r="AH40">
        <v>9</v>
      </c>
      <c r="AI40">
        <v>43.75</v>
      </c>
    </row>
    <row r="41" spans="1:35" x14ac:dyDescent="0.2">
      <c r="A41">
        <v>108</v>
      </c>
      <c r="B41" t="s">
        <v>140</v>
      </c>
      <c r="C41" t="s">
        <v>214</v>
      </c>
      <c r="D41" t="s">
        <v>12</v>
      </c>
      <c r="E41">
        <v>1</v>
      </c>
      <c r="F41">
        <v>12.716666666667001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202</v>
      </c>
      <c r="M41">
        <v>0</v>
      </c>
      <c r="N41" t="s">
        <v>202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2</v>
      </c>
      <c r="AE41">
        <v>1</v>
      </c>
      <c r="AF41">
        <v>0</v>
      </c>
      <c r="AG41">
        <v>0</v>
      </c>
      <c r="AH41">
        <v>0</v>
      </c>
      <c r="AI41" t="s">
        <v>202</v>
      </c>
    </row>
    <row r="42" spans="1:35" x14ac:dyDescent="0.2">
      <c r="A42">
        <v>117</v>
      </c>
      <c r="B42" t="s">
        <v>77</v>
      </c>
      <c r="C42" t="s">
        <v>206</v>
      </c>
      <c r="D42" t="s">
        <v>205</v>
      </c>
      <c r="E42">
        <v>1</v>
      </c>
      <c r="F42">
        <v>17.25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202</v>
      </c>
      <c r="M42">
        <v>0</v>
      </c>
      <c r="N42" t="s">
        <v>202</v>
      </c>
      <c r="O42">
        <v>0.09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0</v>
      </c>
      <c r="AH42">
        <v>0</v>
      </c>
      <c r="AI42" t="s">
        <v>202</v>
      </c>
    </row>
    <row r="43" spans="1:35" x14ac:dyDescent="0.2">
      <c r="A43">
        <v>52</v>
      </c>
      <c r="B43" t="s">
        <v>137</v>
      </c>
      <c r="C43" t="s">
        <v>215</v>
      </c>
      <c r="D43" t="s">
        <v>12</v>
      </c>
      <c r="E43">
        <v>1</v>
      </c>
      <c r="F43">
        <v>15.25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202</v>
      </c>
      <c r="M43">
        <v>2</v>
      </c>
      <c r="N43">
        <v>0</v>
      </c>
      <c r="O43">
        <v>0.08</v>
      </c>
      <c r="P43">
        <v>2</v>
      </c>
      <c r="Q43">
        <v>2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5</v>
      </c>
      <c r="AE43">
        <v>3</v>
      </c>
      <c r="AF43">
        <v>1</v>
      </c>
      <c r="AG43">
        <v>0</v>
      </c>
      <c r="AH43">
        <v>0</v>
      </c>
      <c r="AI43" t="s">
        <v>202</v>
      </c>
    </row>
    <row r="44" spans="1:35" x14ac:dyDescent="0.2">
      <c r="A44">
        <v>88</v>
      </c>
      <c r="B44" t="s">
        <v>11</v>
      </c>
      <c r="C44" t="s">
        <v>203</v>
      </c>
      <c r="D44" t="s">
        <v>12</v>
      </c>
      <c r="E44">
        <v>1</v>
      </c>
      <c r="F44">
        <v>22.783333333333001</v>
      </c>
      <c r="G44">
        <v>0</v>
      </c>
      <c r="H44">
        <v>1</v>
      </c>
      <c r="I44">
        <v>0</v>
      </c>
      <c r="J44">
        <v>1</v>
      </c>
      <c r="K44">
        <v>1</v>
      </c>
      <c r="L44">
        <v>25</v>
      </c>
      <c r="M44">
        <v>1</v>
      </c>
      <c r="N44">
        <v>0</v>
      </c>
      <c r="O44">
        <v>7.0000000000000007E-2</v>
      </c>
      <c r="P44">
        <v>2</v>
      </c>
      <c r="Q44">
        <v>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2</v>
      </c>
      <c r="AE44">
        <v>1</v>
      </c>
      <c r="AF44">
        <v>2</v>
      </c>
      <c r="AG44">
        <v>0</v>
      </c>
      <c r="AH44">
        <v>0</v>
      </c>
      <c r="AI44" t="s">
        <v>202</v>
      </c>
    </row>
    <row r="45" spans="1:35" x14ac:dyDescent="0.2">
      <c r="A45">
        <v>128</v>
      </c>
      <c r="B45" t="s">
        <v>40</v>
      </c>
      <c r="C45" t="s">
        <v>200</v>
      </c>
      <c r="D45" t="s">
        <v>5</v>
      </c>
      <c r="E45">
        <v>1</v>
      </c>
      <c r="F45">
        <v>14.816666666667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202</v>
      </c>
      <c r="M45">
        <v>0</v>
      </c>
      <c r="N45" t="s">
        <v>202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4</v>
      </c>
      <c r="AH45">
        <v>6</v>
      </c>
      <c r="AI45">
        <v>40</v>
      </c>
    </row>
    <row r="46" spans="1:35" x14ac:dyDescent="0.2">
      <c r="A46">
        <v>136</v>
      </c>
      <c r="B46" t="s">
        <v>53</v>
      </c>
      <c r="C46" t="s">
        <v>207</v>
      </c>
      <c r="D46" t="s">
        <v>201</v>
      </c>
      <c r="E46">
        <v>1</v>
      </c>
      <c r="F46">
        <v>16.583333333333002</v>
      </c>
      <c r="G46">
        <v>0</v>
      </c>
      <c r="H46">
        <v>1</v>
      </c>
      <c r="I46">
        <v>1</v>
      </c>
      <c r="J46">
        <v>0</v>
      </c>
      <c r="K46">
        <v>1</v>
      </c>
      <c r="L46">
        <v>100</v>
      </c>
      <c r="M46">
        <v>3</v>
      </c>
      <c r="N46">
        <v>0</v>
      </c>
      <c r="O46">
        <v>0.27</v>
      </c>
      <c r="P46">
        <v>5</v>
      </c>
      <c r="Q46">
        <v>3</v>
      </c>
      <c r="R46">
        <v>5</v>
      </c>
      <c r="S46">
        <v>2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202</v>
      </c>
    </row>
    <row r="47" spans="1:35" x14ac:dyDescent="0.2">
      <c r="A47">
        <v>115</v>
      </c>
      <c r="B47" t="s">
        <v>126</v>
      </c>
      <c r="C47" t="s">
        <v>215</v>
      </c>
      <c r="D47" t="s">
        <v>5</v>
      </c>
      <c r="E47">
        <v>1</v>
      </c>
      <c r="F47">
        <v>12.566666666667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202</v>
      </c>
      <c r="M47">
        <v>1</v>
      </c>
      <c r="N47">
        <v>0</v>
      </c>
      <c r="O47">
        <v>0.06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5</v>
      </c>
      <c r="AE47">
        <v>1</v>
      </c>
      <c r="AF47">
        <v>1</v>
      </c>
      <c r="AG47">
        <v>0</v>
      </c>
      <c r="AH47">
        <v>0</v>
      </c>
      <c r="AI47" t="s">
        <v>202</v>
      </c>
    </row>
    <row r="48" spans="1:35" x14ac:dyDescent="0.2">
      <c r="A48">
        <v>23</v>
      </c>
      <c r="B48" t="s">
        <v>25</v>
      </c>
      <c r="C48" t="s">
        <v>200</v>
      </c>
      <c r="D48" t="s">
        <v>12</v>
      </c>
      <c r="E48">
        <v>1</v>
      </c>
      <c r="F48">
        <v>24.816666666667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0</v>
      </c>
      <c r="O48">
        <v>0.14000000000000001</v>
      </c>
      <c r="P48">
        <v>3</v>
      </c>
      <c r="Q48">
        <v>3</v>
      </c>
      <c r="R48">
        <v>3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3</v>
      </c>
      <c r="AF48">
        <v>3</v>
      </c>
      <c r="AG48">
        <v>0</v>
      </c>
      <c r="AH48">
        <v>0</v>
      </c>
      <c r="AI48" t="s">
        <v>202</v>
      </c>
    </row>
    <row r="49" spans="1:35" x14ac:dyDescent="0.2">
      <c r="A49">
        <v>82</v>
      </c>
      <c r="B49" t="s">
        <v>222</v>
      </c>
      <c r="C49" t="s">
        <v>200</v>
      </c>
      <c r="D49" t="s">
        <v>12</v>
      </c>
      <c r="E49">
        <v>1</v>
      </c>
      <c r="F49">
        <v>20.433333333333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202</v>
      </c>
      <c r="O49">
        <v>0.03</v>
      </c>
      <c r="P49">
        <v>2</v>
      </c>
      <c r="Q49">
        <v>1</v>
      </c>
      <c r="R49">
        <v>0</v>
      </c>
      <c r="S49">
        <v>0</v>
      </c>
      <c r="T49">
        <v>0</v>
      </c>
      <c r="U49">
        <v>0</v>
      </c>
      <c r="V49">
        <v>2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1</v>
      </c>
      <c r="AG49">
        <v>0</v>
      </c>
      <c r="AH49">
        <v>0</v>
      </c>
      <c r="AI49" t="s">
        <v>202</v>
      </c>
    </row>
    <row r="50" spans="1:35" x14ac:dyDescent="0.2">
      <c r="A50">
        <v>2</v>
      </c>
      <c r="B50" t="s">
        <v>91</v>
      </c>
      <c r="C50" t="s">
        <v>211</v>
      </c>
      <c r="D50" t="s">
        <v>12</v>
      </c>
      <c r="E50">
        <v>1</v>
      </c>
      <c r="F50">
        <v>13.666666666667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202</v>
      </c>
      <c r="M50">
        <v>1</v>
      </c>
      <c r="N50">
        <v>0</v>
      </c>
      <c r="O50">
        <v>0.03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7</v>
      </c>
      <c r="W50">
        <v>2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 t="s">
        <v>202</v>
      </c>
    </row>
    <row r="51" spans="1:35" x14ac:dyDescent="0.2">
      <c r="A51">
        <v>114</v>
      </c>
      <c r="B51" t="s">
        <v>228</v>
      </c>
      <c r="C51" t="s">
        <v>204</v>
      </c>
      <c r="D51" t="s">
        <v>12</v>
      </c>
      <c r="E51">
        <v>1</v>
      </c>
      <c r="F51">
        <v>12.883333333333001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202</v>
      </c>
      <c r="M51">
        <v>2</v>
      </c>
      <c r="N51">
        <v>0</v>
      </c>
      <c r="O51">
        <v>0.35</v>
      </c>
      <c r="P51">
        <v>3</v>
      </c>
      <c r="Q51">
        <v>3</v>
      </c>
      <c r="R51">
        <v>2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 t="s">
        <v>202</v>
      </c>
    </row>
    <row r="52" spans="1:35" x14ac:dyDescent="0.2">
      <c r="A52">
        <v>127</v>
      </c>
      <c r="B52" t="s">
        <v>210</v>
      </c>
      <c r="C52" t="s">
        <v>206</v>
      </c>
      <c r="D52" t="s">
        <v>12</v>
      </c>
      <c r="E52">
        <v>1</v>
      </c>
      <c r="F52">
        <v>12.65</v>
      </c>
      <c r="G52">
        <v>0</v>
      </c>
      <c r="H52">
        <v>1</v>
      </c>
      <c r="I52">
        <v>1</v>
      </c>
      <c r="J52">
        <v>0</v>
      </c>
      <c r="K52">
        <v>1</v>
      </c>
      <c r="L52">
        <v>100</v>
      </c>
      <c r="M52">
        <v>0</v>
      </c>
      <c r="N52" t="s">
        <v>202</v>
      </c>
      <c r="O52">
        <v>0.01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2</v>
      </c>
      <c r="AF52">
        <v>0</v>
      </c>
      <c r="AG52">
        <v>0</v>
      </c>
      <c r="AH52">
        <v>0</v>
      </c>
      <c r="AI52" t="s">
        <v>202</v>
      </c>
    </row>
    <row r="53" spans="1:35" x14ac:dyDescent="0.2">
      <c r="A53">
        <v>120</v>
      </c>
      <c r="B53" t="s">
        <v>29</v>
      </c>
      <c r="C53" t="s">
        <v>215</v>
      </c>
      <c r="D53" t="s">
        <v>12</v>
      </c>
      <c r="E53">
        <v>1</v>
      </c>
      <c r="F53">
        <v>25.483333333333</v>
      </c>
      <c r="G53">
        <v>0</v>
      </c>
      <c r="H53">
        <v>1</v>
      </c>
      <c r="I53">
        <v>1</v>
      </c>
      <c r="J53">
        <v>0</v>
      </c>
      <c r="K53">
        <v>1</v>
      </c>
      <c r="L53">
        <v>100</v>
      </c>
      <c r="M53">
        <v>3</v>
      </c>
      <c r="N53">
        <v>0</v>
      </c>
      <c r="O53">
        <v>0.04</v>
      </c>
      <c r="P53">
        <v>4</v>
      </c>
      <c r="Q53">
        <v>3</v>
      </c>
      <c r="R53">
        <v>2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5</v>
      </c>
      <c r="AG53">
        <v>0</v>
      </c>
      <c r="AH53">
        <v>0</v>
      </c>
      <c r="AI53" t="s">
        <v>202</v>
      </c>
    </row>
    <row r="54" spans="1:35" x14ac:dyDescent="0.2">
      <c r="A54">
        <v>21</v>
      </c>
      <c r="B54" t="s">
        <v>34</v>
      </c>
      <c r="C54" t="s">
        <v>207</v>
      </c>
      <c r="D54" t="s">
        <v>5</v>
      </c>
      <c r="E54">
        <v>1</v>
      </c>
      <c r="F54">
        <v>21.2</v>
      </c>
      <c r="G54">
        <v>1</v>
      </c>
      <c r="H54">
        <v>0</v>
      </c>
      <c r="I54">
        <v>0</v>
      </c>
      <c r="J54">
        <v>0</v>
      </c>
      <c r="K54">
        <v>1</v>
      </c>
      <c r="L54">
        <v>50</v>
      </c>
      <c r="M54">
        <v>1</v>
      </c>
      <c r="N54">
        <v>100</v>
      </c>
      <c r="O54">
        <v>0.05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</v>
      </c>
      <c r="AD54">
        <v>0</v>
      </c>
      <c r="AE54">
        <v>1</v>
      </c>
      <c r="AF54">
        <v>1</v>
      </c>
      <c r="AG54">
        <v>4</v>
      </c>
      <c r="AH54">
        <v>4</v>
      </c>
      <c r="AI54">
        <v>50</v>
      </c>
    </row>
    <row r="55" spans="1:35" x14ac:dyDescent="0.2">
      <c r="A55">
        <v>106</v>
      </c>
      <c r="B55" t="s">
        <v>226</v>
      </c>
      <c r="C55" t="s">
        <v>215</v>
      </c>
      <c r="D55" t="s">
        <v>5</v>
      </c>
      <c r="E55">
        <v>1</v>
      </c>
      <c r="F55">
        <v>7.1833333333332998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202</v>
      </c>
      <c r="M55">
        <v>0</v>
      </c>
      <c r="N55" t="s">
        <v>202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</v>
      </c>
      <c r="AG55">
        <v>4</v>
      </c>
      <c r="AH55">
        <v>4</v>
      </c>
      <c r="AI55">
        <v>50</v>
      </c>
    </row>
    <row r="56" spans="1:35" x14ac:dyDescent="0.2">
      <c r="A56">
        <v>91</v>
      </c>
      <c r="B56" t="s">
        <v>97</v>
      </c>
      <c r="C56" t="s">
        <v>211</v>
      </c>
      <c r="D56" t="s">
        <v>5</v>
      </c>
      <c r="E56">
        <v>1</v>
      </c>
      <c r="F56">
        <v>13.216666666667001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202</v>
      </c>
      <c r="M56">
        <v>3</v>
      </c>
      <c r="N56">
        <v>0</v>
      </c>
      <c r="O56">
        <v>0.4</v>
      </c>
      <c r="P56">
        <v>3</v>
      </c>
      <c r="Q56">
        <v>3</v>
      </c>
      <c r="R56">
        <v>2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0</v>
      </c>
      <c r="AF56">
        <v>0</v>
      </c>
      <c r="AG56">
        <v>4</v>
      </c>
      <c r="AH56">
        <v>6</v>
      </c>
      <c r="AI56">
        <v>40</v>
      </c>
    </row>
    <row r="57" spans="1:35" x14ac:dyDescent="0.2">
      <c r="A57">
        <v>56</v>
      </c>
      <c r="B57" t="s">
        <v>76</v>
      </c>
      <c r="C57" t="s">
        <v>203</v>
      </c>
      <c r="D57" t="s">
        <v>5</v>
      </c>
      <c r="E57">
        <v>1</v>
      </c>
      <c r="F57">
        <v>11.216666666667001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0</v>
      </c>
      <c r="O57">
        <v>0.28000000000000003</v>
      </c>
      <c r="P57">
        <v>4</v>
      </c>
      <c r="Q57">
        <v>4</v>
      </c>
      <c r="R57">
        <v>2</v>
      </c>
      <c r="S57">
        <v>1</v>
      </c>
      <c r="T57">
        <v>0</v>
      </c>
      <c r="U57">
        <v>1</v>
      </c>
      <c r="V57">
        <v>2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3</v>
      </c>
      <c r="AH57">
        <v>4</v>
      </c>
      <c r="AI57">
        <v>42.86</v>
      </c>
    </row>
    <row r="58" spans="1:35" x14ac:dyDescent="0.2">
      <c r="A58">
        <v>102</v>
      </c>
      <c r="B58" t="s">
        <v>73</v>
      </c>
      <c r="C58" t="s">
        <v>204</v>
      </c>
      <c r="D58" t="s">
        <v>12</v>
      </c>
      <c r="E58">
        <v>1</v>
      </c>
      <c r="F58">
        <v>26.266666666667</v>
      </c>
      <c r="G58">
        <v>0</v>
      </c>
      <c r="H58">
        <v>1</v>
      </c>
      <c r="I58">
        <v>0</v>
      </c>
      <c r="J58">
        <v>1</v>
      </c>
      <c r="K58">
        <v>1</v>
      </c>
      <c r="L58">
        <v>33.33</v>
      </c>
      <c r="M58">
        <v>0</v>
      </c>
      <c r="N58" t="s">
        <v>202</v>
      </c>
      <c r="O58">
        <v>0.04</v>
      </c>
      <c r="P58">
        <v>4</v>
      </c>
      <c r="Q58">
        <v>2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</v>
      </c>
      <c r="AE58">
        <v>1</v>
      </c>
      <c r="AF58">
        <v>3</v>
      </c>
      <c r="AG58">
        <v>0</v>
      </c>
      <c r="AH58">
        <v>0</v>
      </c>
      <c r="AI58" t="s">
        <v>202</v>
      </c>
    </row>
    <row r="59" spans="1:35" x14ac:dyDescent="0.2">
      <c r="A59">
        <v>25</v>
      </c>
      <c r="B59" t="s">
        <v>106</v>
      </c>
      <c r="C59" t="s">
        <v>204</v>
      </c>
      <c r="D59" t="s">
        <v>12</v>
      </c>
      <c r="E59">
        <v>1</v>
      </c>
      <c r="F59">
        <v>22.816666666667</v>
      </c>
      <c r="G59">
        <v>0</v>
      </c>
      <c r="H59">
        <v>1</v>
      </c>
      <c r="I59">
        <v>0</v>
      </c>
      <c r="J59">
        <v>1</v>
      </c>
      <c r="K59">
        <v>1</v>
      </c>
      <c r="L59">
        <v>100</v>
      </c>
      <c r="M59">
        <v>8</v>
      </c>
      <c r="N59">
        <v>0</v>
      </c>
      <c r="O59">
        <v>0.18</v>
      </c>
      <c r="P59">
        <v>9</v>
      </c>
      <c r="Q59">
        <v>8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1</v>
      </c>
      <c r="AD59">
        <v>1</v>
      </c>
      <c r="AE59">
        <v>1</v>
      </c>
      <c r="AF59">
        <v>3</v>
      </c>
      <c r="AG59">
        <v>0</v>
      </c>
      <c r="AH59">
        <v>0</v>
      </c>
      <c r="AI59" t="s">
        <v>202</v>
      </c>
    </row>
    <row r="60" spans="1:35" x14ac:dyDescent="0.2">
      <c r="A60">
        <v>28</v>
      </c>
      <c r="B60" t="s">
        <v>38</v>
      </c>
      <c r="C60" t="s">
        <v>215</v>
      </c>
      <c r="D60" t="s">
        <v>5</v>
      </c>
      <c r="E60">
        <v>1</v>
      </c>
      <c r="F60">
        <v>18.55</v>
      </c>
      <c r="G60">
        <v>0</v>
      </c>
      <c r="H60">
        <v>1</v>
      </c>
      <c r="I60">
        <v>0</v>
      </c>
      <c r="J60">
        <v>1</v>
      </c>
      <c r="K60">
        <v>1</v>
      </c>
      <c r="L60">
        <v>100</v>
      </c>
      <c r="M60">
        <v>1</v>
      </c>
      <c r="N60">
        <v>0</v>
      </c>
      <c r="O60">
        <v>0.33</v>
      </c>
      <c r="P60">
        <v>4</v>
      </c>
      <c r="Q60">
        <v>3</v>
      </c>
      <c r="R60">
        <v>2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</row>
    <row r="61" spans="1:35" x14ac:dyDescent="0.2">
      <c r="A61">
        <v>47</v>
      </c>
      <c r="B61" t="s">
        <v>36</v>
      </c>
      <c r="C61" t="s">
        <v>203</v>
      </c>
      <c r="D61" t="s">
        <v>12</v>
      </c>
      <c r="E61">
        <v>1</v>
      </c>
      <c r="F61">
        <v>22.55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  <c r="O61">
        <v>0.11</v>
      </c>
      <c r="P61">
        <v>5</v>
      </c>
      <c r="Q61">
        <v>3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 t="s">
        <v>202</v>
      </c>
    </row>
    <row r="62" spans="1:35" x14ac:dyDescent="0.2">
      <c r="A62">
        <v>109</v>
      </c>
      <c r="B62" t="s">
        <v>54</v>
      </c>
      <c r="C62" t="s">
        <v>214</v>
      </c>
      <c r="D62" t="s">
        <v>12</v>
      </c>
      <c r="E62">
        <v>1</v>
      </c>
      <c r="F62">
        <v>19.399999999999999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202</v>
      </c>
      <c r="M62">
        <v>1</v>
      </c>
      <c r="N62">
        <v>0</v>
      </c>
      <c r="O62">
        <v>0.04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 t="s">
        <v>202</v>
      </c>
    </row>
    <row r="63" spans="1:35" x14ac:dyDescent="0.2">
      <c r="A63">
        <v>53</v>
      </c>
      <c r="B63" t="s">
        <v>130</v>
      </c>
      <c r="C63" t="s">
        <v>204</v>
      </c>
      <c r="D63" t="s">
        <v>5</v>
      </c>
      <c r="E63">
        <v>1</v>
      </c>
      <c r="F63">
        <v>11.433333333333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202</v>
      </c>
      <c r="M63">
        <v>2</v>
      </c>
      <c r="N63">
        <v>0</v>
      </c>
      <c r="O63">
        <v>0.08</v>
      </c>
      <c r="P63">
        <v>3</v>
      </c>
      <c r="Q63">
        <v>2</v>
      </c>
      <c r="R63">
        <v>1</v>
      </c>
      <c r="S63">
        <v>1</v>
      </c>
      <c r="T63">
        <v>0</v>
      </c>
      <c r="U63">
        <v>0</v>
      </c>
      <c r="V63">
        <v>2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6</v>
      </c>
      <c r="AH63">
        <v>5</v>
      </c>
      <c r="AI63">
        <v>54.55</v>
      </c>
    </row>
    <row r="64" spans="1:35" x14ac:dyDescent="0.2">
      <c r="A64">
        <v>14</v>
      </c>
      <c r="B64" t="s">
        <v>115</v>
      </c>
      <c r="C64" t="s">
        <v>206</v>
      </c>
      <c r="D64" t="s">
        <v>5</v>
      </c>
      <c r="E64">
        <v>1</v>
      </c>
      <c r="F64">
        <v>13.5</v>
      </c>
      <c r="G64">
        <v>2</v>
      </c>
      <c r="H64">
        <v>0</v>
      </c>
      <c r="I64">
        <v>0</v>
      </c>
      <c r="J64">
        <v>0</v>
      </c>
      <c r="K64">
        <v>2</v>
      </c>
      <c r="L64">
        <v>100</v>
      </c>
      <c r="M64">
        <v>2</v>
      </c>
      <c r="N64">
        <v>100</v>
      </c>
      <c r="O64">
        <v>0.19</v>
      </c>
      <c r="P64">
        <v>3</v>
      </c>
      <c r="Q64">
        <v>2</v>
      </c>
      <c r="R64">
        <v>2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</v>
      </c>
      <c r="AF64">
        <v>1</v>
      </c>
      <c r="AG64">
        <v>10</v>
      </c>
      <c r="AH64">
        <v>3</v>
      </c>
      <c r="AI64">
        <v>76.92</v>
      </c>
    </row>
    <row r="65" spans="1:35" x14ac:dyDescent="0.2">
      <c r="A65">
        <v>76</v>
      </c>
      <c r="B65" t="s">
        <v>93</v>
      </c>
      <c r="C65" t="s">
        <v>204</v>
      </c>
      <c r="D65" t="s">
        <v>205</v>
      </c>
      <c r="E65">
        <v>1</v>
      </c>
      <c r="F65">
        <v>12.783333333332999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202</v>
      </c>
      <c r="O65">
        <v>0.06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2</v>
      </c>
      <c r="AE65">
        <v>1</v>
      </c>
      <c r="AF65">
        <v>0</v>
      </c>
      <c r="AG65">
        <v>0</v>
      </c>
      <c r="AH65">
        <v>0</v>
      </c>
      <c r="AI65" t="s">
        <v>202</v>
      </c>
    </row>
    <row r="66" spans="1:35" x14ac:dyDescent="0.2">
      <c r="A66">
        <v>112</v>
      </c>
      <c r="B66" t="s">
        <v>89</v>
      </c>
      <c r="C66" t="s">
        <v>211</v>
      </c>
      <c r="D66" t="s">
        <v>201</v>
      </c>
      <c r="E66">
        <v>1</v>
      </c>
      <c r="F66">
        <v>14.45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202</v>
      </c>
      <c r="M66">
        <v>2</v>
      </c>
      <c r="N66">
        <v>0</v>
      </c>
      <c r="O66">
        <v>0.56000000000000005</v>
      </c>
      <c r="P66">
        <v>4</v>
      </c>
      <c r="Q66">
        <v>3</v>
      </c>
      <c r="R66">
        <v>2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0</v>
      </c>
      <c r="AH66">
        <v>0</v>
      </c>
      <c r="AI66" t="s">
        <v>202</v>
      </c>
    </row>
    <row r="67" spans="1:35" x14ac:dyDescent="0.2">
      <c r="A67">
        <v>58</v>
      </c>
      <c r="B67" t="s">
        <v>124</v>
      </c>
      <c r="C67" t="s">
        <v>211</v>
      </c>
      <c r="D67" t="s">
        <v>12</v>
      </c>
      <c r="E67">
        <v>1</v>
      </c>
      <c r="F67">
        <v>20.25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202</v>
      </c>
      <c r="M67">
        <v>0</v>
      </c>
      <c r="N67" t="s">
        <v>202</v>
      </c>
      <c r="O67">
        <v>0.02</v>
      </c>
      <c r="P67">
        <v>2</v>
      </c>
      <c r="Q67">
        <v>2</v>
      </c>
      <c r="R67">
        <v>0</v>
      </c>
      <c r="S67">
        <v>0</v>
      </c>
      <c r="T67">
        <v>0</v>
      </c>
      <c r="U67">
        <v>1</v>
      </c>
      <c r="V67">
        <v>2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0</v>
      </c>
      <c r="AI67" t="s">
        <v>202</v>
      </c>
    </row>
    <row r="68" spans="1:35" x14ac:dyDescent="0.2">
      <c r="A68">
        <v>95</v>
      </c>
      <c r="B68" t="s">
        <v>117</v>
      </c>
      <c r="C68" t="s">
        <v>200</v>
      </c>
      <c r="D68" t="s">
        <v>12</v>
      </c>
      <c r="E68">
        <v>1</v>
      </c>
      <c r="F68">
        <v>20.6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202</v>
      </c>
      <c r="M68">
        <v>0</v>
      </c>
      <c r="N68" t="s">
        <v>202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</v>
      </c>
      <c r="AE68">
        <v>6</v>
      </c>
      <c r="AF68">
        <v>0</v>
      </c>
      <c r="AG68">
        <v>0</v>
      </c>
      <c r="AH68">
        <v>0</v>
      </c>
      <c r="AI68" t="s">
        <v>202</v>
      </c>
    </row>
    <row r="69" spans="1:35" x14ac:dyDescent="0.2">
      <c r="A69">
        <v>33</v>
      </c>
      <c r="B69" t="s">
        <v>78</v>
      </c>
      <c r="C69" t="s">
        <v>206</v>
      </c>
      <c r="D69" t="s">
        <v>205</v>
      </c>
      <c r="E69">
        <v>1</v>
      </c>
      <c r="F69">
        <v>14.8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</v>
      </c>
      <c r="N69">
        <v>0</v>
      </c>
      <c r="O69">
        <v>0.21</v>
      </c>
      <c r="P69">
        <v>3</v>
      </c>
      <c r="Q69">
        <v>3</v>
      </c>
      <c r="R69">
        <v>2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4</v>
      </c>
      <c r="AH69">
        <v>3</v>
      </c>
      <c r="AI69">
        <v>57.14</v>
      </c>
    </row>
    <row r="70" spans="1:35" x14ac:dyDescent="0.2">
      <c r="A70">
        <v>139</v>
      </c>
      <c r="B70" t="s">
        <v>232</v>
      </c>
      <c r="C70" t="s">
        <v>203</v>
      </c>
      <c r="D70" t="s">
        <v>5</v>
      </c>
      <c r="E70">
        <v>1</v>
      </c>
      <c r="F70">
        <v>7.7166666666666996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202</v>
      </c>
      <c r="O70">
        <v>0</v>
      </c>
      <c r="P70">
        <v>1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3</v>
      </c>
      <c r="AH70">
        <v>1</v>
      </c>
      <c r="AI70">
        <v>75</v>
      </c>
    </row>
    <row r="71" spans="1:35" x14ac:dyDescent="0.2">
      <c r="A71">
        <v>77</v>
      </c>
      <c r="B71" t="s">
        <v>122</v>
      </c>
      <c r="C71" t="s">
        <v>211</v>
      </c>
      <c r="D71" t="s">
        <v>201</v>
      </c>
      <c r="E71">
        <v>1</v>
      </c>
      <c r="F71">
        <v>10.1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202</v>
      </c>
      <c r="M71">
        <v>1</v>
      </c>
      <c r="N71">
        <v>0</v>
      </c>
      <c r="O71">
        <v>0.09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 t="s">
        <v>202</v>
      </c>
    </row>
    <row r="72" spans="1:35" x14ac:dyDescent="0.2">
      <c r="A72">
        <v>44</v>
      </c>
      <c r="B72" t="s">
        <v>31</v>
      </c>
      <c r="C72" t="s">
        <v>203</v>
      </c>
      <c r="D72" t="s">
        <v>201</v>
      </c>
      <c r="E72">
        <v>1</v>
      </c>
      <c r="F72">
        <v>15.566666666667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0.22</v>
      </c>
      <c r="P72">
        <v>3</v>
      </c>
      <c r="Q72">
        <v>3</v>
      </c>
      <c r="R72">
        <v>2</v>
      </c>
      <c r="S72">
        <v>2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 t="s">
        <v>202</v>
      </c>
    </row>
    <row r="73" spans="1:35" x14ac:dyDescent="0.2">
      <c r="A73">
        <v>61</v>
      </c>
      <c r="B73" t="s">
        <v>166</v>
      </c>
      <c r="C73" t="s">
        <v>211</v>
      </c>
      <c r="D73" t="s">
        <v>5</v>
      </c>
      <c r="E73">
        <v>1</v>
      </c>
      <c r="F73">
        <v>13.783333333332999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202</v>
      </c>
      <c r="M73">
        <v>0</v>
      </c>
      <c r="N73" t="s">
        <v>202</v>
      </c>
      <c r="O73">
        <v>0.21</v>
      </c>
      <c r="P73">
        <v>2</v>
      </c>
      <c r="Q73">
        <v>1</v>
      </c>
      <c r="R73">
        <v>1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8</v>
      </c>
      <c r="AH73">
        <v>7</v>
      </c>
      <c r="AI73">
        <v>53.33</v>
      </c>
    </row>
    <row r="74" spans="1:35" x14ac:dyDescent="0.2">
      <c r="A74">
        <v>96</v>
      </c>
      <c r="B74" t="s">
        <v>225</v>
      </c>
      <c r="C74" t="s">
        <v>206</v>
      </c>
      <c r="D74" t="s">
        <v>5</v>
      </c>
      <c r="E74">
        <v>1</v>
      </c>
      <c r="F74">
        <v>12.2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202</v>
      </c>
      <c r="M74">
        <v>0</v>
      </c>
      <c r="N74" t="s">
        <v>202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3</v>
      </c>
      <c r="AE74">
        <v>2</v>
      </c>
      <c r="AF74">
        <v>0</v>
      </c>
      <c r="AG74">
        <v>2</v>
      </c>
      <c r="AH74">
        <v>0</v>
      </c>
      <c r="AI74">
        <v>100</v>
      </c>
    </row>
    <row r="75" spans="1:35" x14ac:dyDescent="0.2">
      <c r="A75">
        <v>64</v>
      </c>
      <c r="B75" t="s">
        <v>219</v>
      </c>
      <c r="C75" t="s">
        <v>214</v>
      </c>
      <c r="D75" t="s">
        <v>5</v>
      </c>
      <c r="E75">
        <v>1</v>
      </c>
      <c r="F75">
        <v>10.683333333333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202</v>
      </c>
      <c r="M75">
        <v>0</v>
      </c>
      <c r="N75" t="s">
        <v>202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1</v>
      </c>
      <c r="AD75">
        <v>4</v>
      </c>
      <c r="AE75">
        <v>1</v>
      </c>
      <c r="AF75">
        <v>0</v>
      </c>
      <c r="AG75">
        <v>4</v>
      </c>
      <c r="AH75">
        <v>5</v>
      </c>
      <c r="AI75">
        <v>44.44</v>
      </c>
    </row>
    <row r="76" spans="1:35" x14ac:dyDescent="0.2">
      <c r="A76">
        <v>57</v>
      </c>
      <c r="B76" t="s">
        <v>85</v>
      </c>
      <c r="C76" t="s">
        <v>211</v>
      </c>
      <c r="D76" t="s">
        <v>205</v>
      </c>
      <c r="E76">
        <v>1</v>
      </c>
      <c r="F76">
        <v>17.850000000000001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202</v>
      </c>
      <c r="M76">
        <v>0</v>
      </c>
      <c r="N76" t="s">
        <v>202</v>
      </c>
      <c r="O76">
        <v>0.21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50</v>
      </c>
    </row>
    <row r="77" spans="1:35" x14ac:dyDescent="0.2">
      <c r="A77">
        <v>40</v>
      </c>
      <c r="B77" t="s">
        <v>10</v>
      </c>
      <c r="C77" t="s">
        <v>203</v>
      </c>
      <c r="D77" t="s">
        <v>5</v>
      </c>
      <c r="E77">
        <v>1</v>
      </c>
      <c r="F77">
        <v>20.149999999999999</v>
      </c>
      <c r="G77">
        <v>0</v>
      </c>
      <c r="H77">
        <v>4</v>
      </c>
      <c r="I77">
        <v>2</v>
      </c>
      <c r="J77">
        <v>2</v>
      </c>
      <c r="K77">
        <v>4</v>
      </c>
      <c r="L77">
        <v>100</v>
      </c>
      <c r="M77">
        <v>1</v>
      </c>
      <c r="N77">
        <v>0</v>
      </c>
      <c r="O77">
        <v>0.13</v>
      </c>
      <c r="P77">
        <v>4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3</v>
      </c>
      <c r="AF77">
        <v>0</v>
      </c>
      <c r="AG77">
        <v>10</v>
      </c>
      <c r="AH77">
        <v>11</v>
      </c>
      <c r="AI77">
        <v>47.62</v>
      </c>
    </row>
    <row r="78" spans="1:35" x14ac:dyDescent="0.2">
      <c r="A78">
        <v>113</v>
      </c>
      <c r="B78" t="s">
        <v>57</v>
      </c>
      <c r="C78" t="s">
        <v>200</v>
      </c>
      <c r="D78" t="s">
        <v>5</v>
      </c>
      <c r="E78">
        <v>1</v>
      </c>
      <c r="F78">
        <v>16.316666666667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202</v>
      </c>
      <c r="M78">
        <v>2</v>
      </c>
      <c r="N78">
        <v>0</v>
      </c>
      <c r="O78">
        <v>0.15</v>
      </c>
      <c r="P78">
        <v>2</v>
      </c>
      <c r="Q78">
        <v>2</v>
      </c>
      <c r="R78">
        <v>2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 t="s">
        <v>202</v>
      </c>
    </row>
    <row r="79" spans="1:35" x14ac:dyDescent="0.2">
      <c r="A79">
        <v>131</v>
      </c>
      <c r="B79" t="s">
        <v>230</v>
      </c>
      <c r="C79" t="s">
        <v>206</v>
      </c>
      <c r="D79" t="s">
        <v>5</v>
      </c>
      <c r="E79">
        <v>1</v>
      </c>
      <c r="F79">
        <v>12.65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202</v>
      </c>
      <c r="M79">
        <v>1</v>
      </c>
      <c r="N79">
        <v>0</v>
      </c>
      <c r="O79">
        <v>0.11</v>
      </c>
      <c r="P79">
        <v>2</v>
      </c>
      <c r="Q79">
        <v>2</v>
      </c>
      <c r="R79">
        <v>2</v>
      </c>
      <c r="S79">
        <v>0</v>
      </c>
      <c r="T79">
        <v>1</v>
      </c>
      <c r="U79">
        <v>0</v>
      </c>
      <c r="V79">
        <v>2</v>
      </c>
      <c r="W79">
        <v>1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3</v>
      </c>
      <c r="AE79">
        <v>1</v>
      </c>
      <c r="AF79">
        <v>0</v>
      </c>
      <c r="AG79">
        <v>0</v>
      </c>
      <c r="AH79">
        <v>0</v>
      </c>
      <c r="AI79" t="s">
        <v>202</v>
      </c>
    </row>
    <row r="80" spans="1:35" x14ac:dyDescent="0.2">
      <c r="A80">
        <v>86</v>
      </c>
      <c r="B80" t="s">
        <v>112</v>
      </c>
      <c r="C80" t="s">
        <v>200</v>
      </c>
      <c r="D80" t="s">
        <v>5</v>
      </c>
      <c r="E80">
        <v>1</v>
      </c>
      <c r="F80">
        <v>11.516666666667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202</v>
      </c>
      <c r="M80">
        <v>0</v>
      </c>
      <c r="N80" t="s">
        <v>202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</v>
      </c>
      <c r="AE80">
        <v>1</v>
      </c>
      <c r="AF80">
        <v>0</v>
      </c>
      <c r="AG80">
        <v>4</v>
      </c>
      <c r="AH80">
        <v>2</v>
      </c>
      <c r="AI80">
        <v>66.67</v>
      </c>
    </row>
    <row r="81" spans="1:35" x14ac:dyDescent="0.2">
      <c r="A81">
        <v>118</v>
      </c>
      <c r="B81" t="s">
        <v>44</v>
      </c>
      <c r="C81" t="s">
        <v>200</v>
      </c>
      <c r="D81" t="s">
        <v>12</v>
      </c>
      <c r="E81">
        <v>1</v>
      </c>
      <c r="F81">
        <v>14.816666666667</v>
      </c>
      <c r="G81">
        <v>0</v>
      </c>
      <c r="H81">
        <v>1</v>
      </c>
      <c r="I81">
        <v>0</v>
      </c>
      <c r="J81">
        <v>1</v>
      </c>
      <c r="K81">
        <v>1</v>
      </c>
      <c r="L81">
        <v>100</v>
      </c>
      <c r="M81">
        <v>1</v>
      </c>
      <c r="N81">
        <v>0</v>
      </c>
      <c r="O81">
        <v>7.0000000000000007E-2</v>
      </c>
      <c r="P81">
        <v>2</v>
      </c>
      <c r="Q81">
        <v>2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2</v>
      </c>
      <c r="AG81">
        <v>0</v>
      </c>
      <c r="AH81">
        <v>0</v>
      </c>
      <c r="AI81" t="s">
        <v>202</v>
      </c>
    </row>
    <row r="82" spans="1:35" x14ac:dyDescent="0.2">
      <c r="A82">
        <v>55</v>
      </c>
      <c r="B82" t="s">
        <v>90</v>
      </c>
      <c r="C82" t="s">
        <v>206</v>
      </c>
      <c r="D82" t="s">
        <v>5</v>
      </c>
      <c r="E82">
        <v>1</v>
      </c>
      <c r="F82">
        <v>17.483333333333</v>
      </c>
      <c r="G82">
        <v>1</v>
      </c>
      <c r="H82">
        <v>1</v>
      </c>
      <c r="I82">
        <v>1</v>
      </c>
      <c r="J82">
        <v>0</v>
      </c>
      <c r="K82">
        <v>2</v>
      </c>
      <c r="L82">
        <v>100</v>
      </c>
      <c r="M82">
        <v>1</v>
      </c>
      <c r="N82">
        <v>100</v>
      </c>
      <c r="O82">
        <v>0.09</v>
      </c>
      <c r="P82">
        <v>3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50</v>
      </c>
    </row>
    <row r="83" spans="1:35" x14ac:dyDescent="0.2">
      <c r="A83">
        <v>116</v>
      </c>
      <c r="B83" t="s">
        <v>229</v>
      </c>
      <c r="C83" t="s">
        <v>207</v>
      </c>
      <c r="D83" t="s">
        <v>5</v>
      </c>
      <c r="E83">
        <v>1</v>
      </c>
      <c r="F83">
        <v>8.7166666666667005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202</v>
      </c>
      <c r="M83">
        <v>2</v>
      </c>
      <c r="N83">
        <v>0</v>
      </c>
      <c r="O83">
        <v>0.2</v>
      </c>
      <c r="P83">
        <v>2</v>
      </c>
      <c r="Q83">
        <v>2</v>
      </c>
      <c r="R83">
        <v>2</v>
      </c>
      <c r="S83">
        <v>1</v>
      </c>
      <c r="T83">
        <v>0</v>
      </c>
      <c r="U83">
        <v>0</v>
      </c>
      <c r="V83">
        <v>2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1</v>
      </c>
      <c r="AF83">
        <v>0</v>
      </c>
      <c r="AG83">
        <v>0</v>
      </c>
      <c r="AH83">
        <v>0</v>
      </c>
      <c r="AI83" t="s">
        <v>202</v>
      </c>
    </row>
    <row r="84" spans="1:35" x14ac:dyDescent="0.2">
      <c r="A84">
        <v>130</v>
      </c>
      <c r="B84" t="s">
        <v>71</v>
      </c>
      <c r="C84" t="s">
        <v>203</v>
      </c>
      <c r="D84" t="s">
        <v>5</v>
      </c>
      <c r="E84">
        <v>1</v>
      </c>
      <c r="F84">
        <v>10.683333333333</v>
      </c>
      <c r="G84">
        <v>0</v>
      </c>
      <c r="H84">
        <v>1</v>
      </c>
      <c r="I84">
        <v>1</v>
      </c>
      <c r="J84">
        <v>0</v>
      </c>
      <c r="K84">
        <v>1</v>
      </c>
      <c r="L84">
        <v>100</v>
      </c>
      <c r="M84">
        <v>2</v>
      </c>
      <c r="N84">
        <v>0</v>
      </c>
      <c r="O84">
        <v>0.26</v>
      </c>
      <c r="P84">
        <v>3</v>
      </c>
      <c r="Q84">
        <v>3</v>
      </c>
      <c r="R84">
        <v>3</v>
      </c>
      <c r="S84">
        <v>2</v>
      </c>
      <c r="T84">
        <v>0</v>
      </c>
      <c r="U84">
        <v>0</v>
      </c>
      <c r="V84">
        <v>4</v>
      </c>
      <c r="W84">
        <v>2</v>
      </c>
      <c r="X84">
        <v>2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2</v>
      </c>
      <c r="AF84">
        <v>0</v>
      </c>
      <c r="AG84">
        <v>0</v>
      </c>
      <c r="AH84">
        <v>0</v>
      </c>
      <c r="AI84" t="s">
        <v>202</v>
      </c>
    </row>
    <row r="85" spans="1:35" x14ac:dyDescent="0.2">
      <c r="A85">
        <v>97</v>
      </c>
      <c r="B85" t="s">
        <v>119</v>
      </c>
      <c r="C85" t="s">
        <v>207</v>
      </c>
      <c r="D85" t="s">
        <v>12</v>
      </c>
      <c r="E85">
        <v>1</v>
      </c>
      <c r="F85">
        <v>22.016666666667</v>
      </c>
      <c r="G85">
        <v>1</v>
      </c>
      <c r="H85">
        <v>0</v>
      </c>
      <c r="I85">
        <v>0</v>
      </c>
      <c r="J85">
        <v>0</v>
      </c>
      <c r="K85">
        <v>1</v>
      </c>
      <c r="L85">
        <v>50</v>
      </c>
      <c r="M85">
        <v>2</v>
      </c>
      <c r="N85">
        <v>50</v>
      </c>
      <c r="O85">
        <v>0.14000000000000001</v>
      </c>
      <c r="P85">
        <v>6</v>
      </c>
      <c r="Q85">
        <v>4</v>
      </c>
      <c r="R85">
        <v>2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3</v>
      </c>
      <c r="AF85">
        <v>1</v>
      </c>
      <c r="AG85">
        <v>0</v>
      </c>
      <c r="AH85">
        <v>0</v>
      </c>
      <c r="AI85" t="s">
        <v>202</v>
      </c>
    </row>
    <row r="86" spans="1:35" x14ac:dyDescent="0.2">
      <c r="A86">
        <v>142</v>
      </c>
      <c r="B86" t="s">
        <v>84</v>
      </c>
      <c r="C86" t="s">
        <v>206</v>
      </c>
      <c r="D86" t="s">
        <v>12</v>
      </c>
      <c r="E86">
        <v>1</v>
      </c>
      <c r="F86">
        <v>22.316666666667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202</v>
      </c>
      <c r="M86">
        <v>1</v>
      </c>
      <c r="N86">
        <v>0</v>
      </c>
      <c r="O86">
        <v>0.01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2</v>
      </c>
      <c r="AC86">
        <v>1</v>
      </c>
      <c r="AD86">
        <v>1</v>
      </c>
      <c r="AE86">
        <v>3</v>
      </c>
      <c r="AF86">
        <v>1</v>
      </c>
      <c r="AG86">
        <v>0</v>
      </c>
      <c r="AH86">
        <v>0</v>
      </c>
      <c r="AI86" t="s">
        <v>202</v>
      </c>
    </row>
    <row r="87" spans="1:35" x14ac:dyDescent="0.2">
      <c r="A87">
        <v>4</v>
      </c>
      <c r="B87" t="s">
        <v>18</v>
      </c>
      <c r="C87" t="s">
        <v>203</v>
      </c>
      <c r="D87" t="s">
        <v>12</v>
      </c>
      <c r="E87">
        <v>1</v>
      </c>
      <c r="F87">
        <v>19.966666666666999</v>
      </c>
      <c r="G87">
        <v>3</v>
      </c>
      <c r="H87">
        <v>0</v>
      </c>
      <c r="I87">
        <v>0</v>
      </c>
      <c r="J87">
        <v>0</v>
      </c>
      <c r="K87">
        <v>3</v>
      </c>
      <c r="L87">
        <v>75</v>
      </c>
      <c r="M87">
        <v>4</v>
      </c>
      <c r="N87">
        <v>75</v>
      </c>
      <c r="O87">
        <v>1.08</v>
      </c>
      <c r="P87">
        <v>6</v>
      </c>
      <c r="Q87">
        <v>5</v>
      </c>
      <c r="R87">
        <v>5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2</v>
      </c>
      <c r="AG87">
        <v>0</v>
      </c>
      <c r="AH87">
        <v>0</v>
      </c>
      <c r="AI87" t="s">
        <v>202</v>
      </c>
    </row>
    <row r="88" spans="1:35" x14ac:dyDescent="0.2">
      <c r="A88">
        <v>29</v>
      </c>
      <c r="B88" t="s">
        <v>216</v>
      </c>
      <c r="C88" t="s">
        <v>203</v>
      </c>
      <c r="D88" t="s">
        <v>5</v>
      </c>
      <c r="E88">
        <v>1</v>
      </c>
      <c r="F88">
        <v>13.766666666667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202</v>
      </c>
      <c r="M88">
        <v>0</v>
      </c>
      <c r="N88" t="s">
        <v>202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202</v>
      </c>
    </row>
    <row r="89" spans="1:35" x14ac:dyDescent="0.2">
      <c r="A89">
        <v>137</v>
      </c>
      <c r="B89" t="s">
        <v>37</v>
      </c>
      <c r="C89" t="s">
        <v>214</v>
      </c>
      <c r="D89" t="s">
        <v>201</v>
      </c>
      <c r="E89">
        <v>1</v>
      </c>
      <c r="F89">
        <v>16.166666666666998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202</v>
      </c>
      <c r="M89">
        <v>4</v>
      </c>
      <c r="N89">
        <v>0</v>
      </c>
      <c r="O89">
        <v>0.13</v>
      </c>
      <c r="P89">
        <v>5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202</v>
      </c>
    </row>
    <row r="90" spans="1:35" x14ac:dyDescent="0.2">
      <c r="A90">
        <v>104</v>
      </c>
      <c r="B90" t="s">
        <v>162</v>
      </c>
      <c r="C90" t="s">
        <v>215</v>
      </c>
      <c r="D90" t="s">
        <v>12</v>
      </c>
      <c r="E90">
        <v>1</v>
      </c>
      <c r="F90">
        <v>19.899999999999999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202</v>
      </c>
      <c r="M90">
        <v>1</v>
      </c>
      <c r="N90">
        <v>0</v>
      </c>
      <c r="O90">
        <v>0.04</v>
      </c>
      <c r="P90">
        <v>2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2</v>
      </c>
      <c r="AF90">
        <v>1</v>
      </c>
      <c r="AG90">
        <v>0</v>
      </c>
      <c r="AH90">
        <v>0</v>
      </c>
      <c r="AI90" t="s">
        <v>202</v>
      </c>
    </row>
    <row r="91" spans="1:35" x14ac:dyDescent="0.2">
      <c r="A91">
        <v>144</v>
      </c>
      <c r="B91" t="s">
        <v>58</v>
      </c>
      <c r="C91" t="s">
        <v>206</v>
      </c>
      <c r="D91" t="s">
        <v>201</v>
      </c>
      <c r="E91">
        <v>1</v>
      </c>
      <c r="F91">
        <v>14.85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202</v>
      </c>
      <c r="M91">
        <v>0</v>
      </c>
      <c r="N91" t="s">
        <v>202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 t="s">
        <v>202</v>
      </c>
    </row>
    <row r="92" spans="1:35" x14ac:dyDescent="0.2">
      <c r="A92">
        <v>111</v>
      </c>
      <c r="B92" t="s">
        <v>227</v>
      </c>
      <c r="C92" t="s">
        <v>215</v>
      </c>
      <c r="D92" t="s">
        <v>12</v>
      </c>
      <c r="E92">
        <v>1</v>
      </c>
      <c r="F92">
        <v>9.9499999999999993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202</v>
      </c>
      <c r="M92">
        <v>0</v>
      </c>
      <c r="N92" t="s">
        <v>202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 t="s">
        <v>202</v>
      </c>
    </row>
    <row r="93" spans="1:35" x14ac:dyDescent="0.2">
      <c r="A93">
        <v>141</v>
      </c>
      <c r="B93" t="s">
        <v>149</v>
      </c>
      <c r="C93" t="s">
        <v>206</v>
      </c>
      <c r="D93" t="s">
        <v>201</v>
      </c>
      <c r="E93">
        <v>1</v>
      </c>
      <c r="F93">
        <v>10.066666666667</v>
      </c>
      <c r="G93">
        <v>0</v>
      </c>
      <c r="H93">
        <v>1</v>
      </c>
      <c r="I93">
        <v>1</v>
      </c>
      <c r="J93">
        <v>0</v>
      </c>
      <c r="K93">
        <v>1</v>
      </c>
      <c r="L93">
        <v>100</v>
      </c>
      <c r="M93">
        <v>1</v>
      </c>
      <c r="N93">
        <v>0</v>
      </c>
      <c r="O93">
        <v>0.13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2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1</v>
      </c>
      <c r="AF93">
        <v>0</v>
      </c>
      <c r="AG93">
        <v>0</v>
      </c>
      <c r="AH93">
        <v>0</v>
      </c>
      <c r="AI93" t="s">
        <v>202</v>
      </c>
    </row>
    <row r="94" spans="1:35" x14ac:dyDescent="0.2">
      <c r="A94">
        <v>74</v>
      </c>
      <c r="B94" t="s">
        <v>60</v>
      </c>
      <c r="C94" t="s">
        <v>211</v>
      </c>
      <c r="D94" t="s">
        <v>205</v>
      </c>
      <c r="E94">
        <v>1</v>
      </c>
      <c r="F94">
        <v>12.916666666667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202</v>
      </c>
      <c r="M94">
        <v>4</v>
      </c>
      <c r="N94">
        <v>0</v>
      </c>
      <c r="O94">
        <v>0.51</v>
      </c>
      <c r="P94">
        <v>6</v>
      </c>
      <c r="Q94">
        <v>6</v>
      </c>
      <c r="R94">
        <v>4</v>
      </c>
      <c r="S94">
        <v>4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</v>
      </c>
      <c r="AE94">
        <v>2</v>
      </c>
      <c r="AF94">
        <v>0</v>
      </c>
      <c r="AG94">
        <v>0</v>
      </c>
      <c r="AH94">
        <v>1</v>
      </c>
      <c r="AI94">
        <v>0</v>
      </c>
    </row>
    <row r="95" spans="1:35" x14ac:dyDescent="0.2">
      <c r="A95">
        <v>19</v>
      </c>
      <c r="B95" t="s">
        <v>33</v>
      </c>
      <c r="C95" t="s">
        <v>207</v>
      </c>
      <c r="D95" t="s">
        <v>5</v>
      </c>
      <c r="E95">
        <v>1</v>
      </c>
      <c r="F95">
        <v>21.45</v>
      </c>
      <c r="G95">
        <v>0</v>
      </c>
      <c r="H95">
        <v>1</v>
      </c>
      <c r="I95">
        <v>0</v>
      </c>
      <c r="J95">
        <v>1</v>
      </c>
      <c r="K95">
        <v>1</v>
      </c>
      <c r="L95">
        <v>50</v>
      </c>
      <c r="M95">
        <v>3</v>
      </c>
      <c r="N95">
        <v>0</v>
      </c>
      <c r="O95">
        <v>0.27</v>
      </c>
      <c r="P95">
        <v>5</v>
      </c>
      <c r="Q95">
        <v>5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3</v>
      </c>
      <c r="AE95">
        <v>1</v>
      </c>
      <c r="AF95">
        <v>0</v>
      </c>
      <c r="AG95">
        <v>6</v>
      </c>
      <c r="AH95">
        <v>6</v>
      </c>
      <c r="AI95">
        <v>50</v>
      </c>
    </row>
    <row r="96" spans="1:35" x14ac:dyDescent="0.2">
      <c r="A96">
        <v>9</v>
      </c>
      <c r="B96" t="s">
        <v>27</v>
      </c>
      <c r="C96" t="s">
        <v>204</v>
      </c>
      <c r="D96" t="s">
        <v>5</v>
      </c>
      <c r="E96">
        <v>1</v>
      </c>
      <c r="F96">
        <v>24.283333333333001</v>
      </c>
      <c r="G96">
        <v>3</v>
      </c>
      <c r="H96">
        <v>0</v>
      </c>
      <c r="I96">
        <v>0</v>
      </c>
      <c r="J96">
        <v>0</v>
      </c>
      <c r="K96">
        <v>3</v>
      </c>
      <c r="L96">
        <v>100</v>
      </c>
      <c r="M96">
        <v>5</v>
      </c>
      <c r="N96">
        <v>60</v>
      </c>
      <c r="O96">
        <v>1.22</v>
      </c>
      <c r="P96">
        <v>10</v>
      </c>
      <c r="Q96">
        <v>10</v>
      </c>
      <c r="R96">
        <v>7</v>
      </c>
      <c r="S96">
        <v>4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3</v>
      </c>
      <c r="AF96">
        <v>1</v>
      </c>
      <c r="AG96">
        <v>8</v>
      </c>
      <c r="AH96">
        <v>11</v>
      </c>
      <c r="AI96">
        <v>42.11</v>
      </c>
    </row>
    <row r="97" spans="1:35" x14ac:dyDescent="0.2">
      <c r="A97">
        <v>72</v>
      </c>
      <c r="B97" t="s">
        <v>68</v>
      </c>
      <c r="C97" t="s">
        <v>211</v>
      </c>
      <c r="D97" t="s">
        <v>12</v>
      </c>
      <c r="E97">
        <v>1</v>
      </c>
      <c r="F97">
        <v>25.066666666667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202</v>
      </c>
      <c r="M97">
        <v>2</v>
      </c>
      <c r="N97">
        <v>0</v>
      </c>
      <c r="O97">
        <v>0.23</v>
      </c>
      <c r="P97">
        <v>7</v>
      </c>
      <c r="Q97">
        <v>3</v>
      </c>
      <c r="R97">
        <v>2</v>
      </c>
      <c r="S97">
        <v>0</v>
      </c>
      <c r="T97">
        <v>0</v>
      </c>
      <c r="U97">
        <v>2</v>
      </c>
      <c r="V97">
        <v>6</v>
      </c>
      <c r="W97">
        <v>3</v>
      </c>
      <c r="X97">
        <v>3</v>
      </c>
      <c r="Y97">
        <v>0</v>
      </c>
      <c r="Z97">
        <v>0</v>
      </c>
      <c r="AA97">
        <v>2</v>
      </c>
      <c r="AB97">
        <v>2</v>
      </c>
      <c r="AC97">
        <v>0</v>
      </c>
      <c r="AD97">
        <v>2</v>
      </c>
      <c r="AE97">
        <v>1</v>
      </c>
      <c r="AF97">
        <v>1</v>
      </c>
      <c r="AG97">
        <v>0</v>
      </c>
      <c r="AH97">
        <v>0</v>
      </c>
      <c r="AI97" t="s">
        <v>202</v>
      </c>
    </row>
    <row r="98" spans="1:35" x14ac:dyDescent="0.2">
      <c r="A98">
        <v>78</v>
      </c>
      <c r="B98" t="s">
        <v>15</v>
      </c>
      <c r="C98" t="s">
        <v>200</v>
      </c>
      <c r="D98" t="s">
        <v>5</v>
      </c>
      <c r="E98">
        <v>1</v>
      </c>
      <c r="F98">
        <v>19.216666666666999</v>
      </c>
      <c r="G98">
        <v>1</v>
      </c>
      <c r="H98">
        <v>0</v>
      </c>
      <c r="I98">
        <v>0</v>
      </c>
      <c r="J98">
        <v>0</v>
      </c>
      <c r="K98">
        <v>1</v>
      </c>
      <c r="L98">
        <v>33.33</v>
      </c>
      <c r="M98">
        <v>4</v>
      </c>
      <c r="N98">
        <v>25</v>
      </c>
      <c r="O98">
        <v>0.53</v>
      </c>
      <c r="P98">
        <v>8</v>
      </c>
      <c r="Q98">
        <v>7</v>
      </c>
      <c r="R98">
        <v>3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0</v>
      </c>
      <c r="AD98">
        <v>2</v>
      </c>
      <c r="AE98">
        <v>3</v>
      </c>
      <c r="AF98">
        <v>1</v>
      </c>
      <c r="AG98">
        <v>0</v>
      </c>
      <c r="AH98">
        <v>0</v>
      </c>
      <c r="AI98" t="s">
        <v>202</v>
      </c>
    </row>
    <row r="99" spans="1:35" x14ac:dyDescent="0.2">
      <c r="A99">
        <v>27</v>
      </c>
      <c r="B99" t="s">
        <v>110</v>
      </c>
      <c r="C99" t="s">
        <v>211</v>
      </c>
      <c r="D99" t="s">
        <v>12</v>
      </c>
      <c r="E99">
        <v>1</v>
      </c>
      <c r="F99">
        <v>21.05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202</v>
      </c>
      <c r="M99">
        <v>0</v>
      </c>
      <c r="N99" t="s">
        <v>202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2</v>
      </c>
      <c r="AG99">
        <v>0</v>
      </c>
      <c r="AH99">
        <v>0</v>
      </c>
      <c r="AI99" t="s">
        <v>202</v>
      </c>
    </row>
    <row r="100" spans="1:35" x14ac:dyDescent="0.2">
      <c r="A100">
        <v>84</v>
      </c>
      <c r="B100" t="s">
        <v>223</v>
      </c>
      <c r="C100" t="s">
        <v>211</v>
      </c>
      <c r="D100" t="s">
        <v>12</v>
      </c>
      <c r="E100">
        <v>1</v>
      </c>
      <c r="F100">
        <v>13.383333333333001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202</v>
      </c>
      <c r="M100">
        <v>0</v>
      </c>
      <c r="N100" t="s">
        <v>202</v>
      </c>
      <c r="O100">
        <v>0</v>
      </c>
      <c r="P100">
        <v>3</v>
      </c>
      <c r="Q100">
        <v>0</v>
      </c>
      <c r="R100">
        <v>2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 t="s">
        <v>202</v>
      </c>
    </row>
    <row r="101" spans="1:35" x14ac:dyDescent="0.2">
      <c r="A101">
        <v>32</v>
      </c>
      <c r="B101" t="s">
        <v>105</v>
      </c>
      <c r="C101" t="s">
        <v>215</v>
      </c>
      <c r="D101" t="s">
        <v>205</v>
      </c>
      <c r="E101">
        <v>1</v>
      </c>
      <c r="F101">
        <v>8.6833333333332998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202</v>
      </c>
      <c r="M101">
        <v>1</v>
      </c>
      <c r="N101">
        <v>0</v>
      </c>
      <c r="O101">
        <v>0.3</v>
      </c>
      <c r="P101">
        <v>2</v>
      </c>
      <c r="Q101">
        <v>2</v>
      </c>
      <c r="R101">
        <v>2</v>
      </c>
      <c r="S101">
        <v>1</v>
      </c>
      <c r="T101">
        <v>0</v>
      </c>
      <c r="U101">
        <v>0</v>
      </c>
      <c r="V101">
        <v>5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2</v>
      </c>
      <c r="AH101">
        <v>3</v>
      </c>
      <c r="AI101">
        <v>40</v>
      </c>
    </row>
    <row r="102" spans="1:35" x14ac:dyDescent="0.2">
      <c r="A102">
        <v>43</v>
      </c>
      <c r="B102" t="s">
        <v>88</v>
      </c>
      <c r="C102" t="s">
        <v>211</v>
      </c>
      <c r="D102" t="s">
        <v>5</v>
      </c>
      <c r="E102">
        <v>1</v>
      </c>
      <c r="F102">
        <v>22.233333333333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202</v>
      </c>
      <c r="M102">
        <v>0</v>
      </c>
      <c r="N102" t="s">
        <v>202</v>
      </c>
      <c r="O102">
        <v>0.18</v>
      </c>
      <c r="P102">
        <v>2</v>
      </c>
      <c r="Q102">
        <v>1</v>
      </c>
      <c r="R102">
        <v>2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  <c r="AG102">
        <v>7</v>
      </c>
      <c r="AH102">
        <v>6</v>
      </c>
      <c r="AI102">
        <v>53.85</v>
      </c>
    </row>
    <row r="103" spans="1:35" x14ac:dyDescent="0.2">
      <c r="A103">
        <v>11</v>
      </c>
      <c r="B103" t="s">
        <v>102</v>
      </c>
      <c r="C103" t="s">
        <v>214</v>
      </c>
      <c r="D103" t="s">
        <v>12</v>
      </c>
      <c r="E103">
        <v>1</v>
      </c>
      <c r="F103">
        <v>20.666666666666998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202</v>
      </c>
      <c r="M103">
        <v>0</v>
      </c>
      <c r="N103" t="s">
        <v>202</v>
      </c>
      <c r="O103">
        <v>0.02</v>
      </c>
      <c r="P103">
        <v>4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3</v>
      </c>
      <c r="AE103">
        <v>1</v>
      </c>
      <c r="AF103">
        <v>2</v>
      </c>
      <c r="AG103">
        <v>0</v>
      </c>
      <c r="AH103">
        <v>0</v>
      </c>
      <c r="AI103" t="s">
        <v>202</v>
      </c>
    </row>
    <row r="104" spans="1:35" x14ac:dyDescent="0.2">
      <c r="A104">
        <v>133</v>
      </c>
      <c r="B104" t="s">
        <v>231</v>
      </c>
      <c r="C104" t="s">
        <v>214</v>
      </c>
      <c r="D104" t="s">
        <v>201</v>
      </c>
      <c r="E104">
        <v>1</v>
      </c>
      <c r="F104">
        <v>11.75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202</v>
      </c>
      <c r="M104">
        <v>0</v>
      </c>
      <c r="N104" t="s">
        <v>202</v>
      </c>
      <c r="O104">
        <v>0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3</v>
      </c>
      <c r="AF104">
        <v>0</v>
      </c>
      <c r="AG104">
        <v>0</v>
      </c>
      <c r="AH104">
        <v>0</v>
      </c>
      <c r="AI104" t="s">
        <v>202</v>
      </c>
    </row>
    <row r="105" spans="1:35" x14ac:dyDescent="0.2">
      <c r="A105">
        <v>16</v>
      </c>
      <c r="B105" t="s">
        <v>28</v>
      </c>
      <c r="C105" t="s">
        <v>215</v>
      </c>
      <c r="D105" t="s">
        <v>201</v>
      </c>
      <c r="E105">
        <v>1</v>
      </c>
      <c r="F105">
        <v>18.333333333333002</v>
      </c>
      <c r="G105">
        <v>0</v>
      </c>
      <c r="H105">
        <v>2</v>
      </c>
      <c r="I105">
        <v>1</v>
      </c>
      <c r="J105">
        <v>1</v>
      </c>
      <c r="K105">
        <v>2</v>
      </c>
      <c r="L105">
        <v>100</v>
      </c>
      <c r="M105">
        <v>5</v>
      </c>
      <c r="N105">
        <v>0</v>
      </c>
      <c r="O105">
        <v>0.53</v>
      </c>
      <c r="P105">
        <v>6</v>
      </c>
      <c r="Q105">
        <v>6</v>
      </c>
      <c r="R105">
        <v>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2</v>
      </c>
      <c r="AC105">
        <v>0</v>
      </c>
      <c r="AD105">
        <v>0</v>
      </c>
      <c r="AE105">
        <v>0</v>
      </c>
      <c r="AF105">
        <v>3</v>
      </c>
      <c r="AG105">
        <v>0</v>
      </c>
      <c r="AH105">
        <v>0</v>
      </c>
      <c r="AI105" t="s">
        <v>202</v>
      </c>
    </row>
    <row r="106" spans="1:35" x14ac:dyDescent="0.2">
      <c r="A106">
        <v>85</v>
      </c>
      <c r="B106" t="s">
        <v>94</v>
      </c>
      <c r="C106" t="s">
        <v>214</v>
      </c>
      <c r="D106" t="s">
        <v>205</v>
      </c>
      <c r="E106">
        <v>1</v>
      </c>
      <c r="F106">
        <v>16.716666666666999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202</v>
      </c>
      <c r="M106">
        <v>3</v>
      </c>
      <c r="N106">
        <v>0</v>
      </c>
      <c r="O106">
        <v>0.63</v>
      </c>
      <c r="P106">
        <v>7</v>
      </c>
      <c r="Q106">
        <v>4</v>
      </c>
      <c r="R106">
        <v>5</v>
      </c>
      <c r="S106">
        <v>3</v>
      </c>
      <c r="T106">
        <v>0</v>
      </c>
      <c r="U106">
        <v>1</v>
      </c>
      <c r="V106">
        <v>2</v>
      </c>
      <c r="W106">
        <v>1</v>
      </c>
      <c r="X106">
        <v>1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2</v>
      </c>
      <c r="AE106">
        <v>2</v>
      </c>
      <c r="AF106">
        <v>0</v>
      </c>
      <c r="AG106">
        <v>8</v>
      </c>
      <c r="AH106">
        <v>8</v>
      </c>
      <c r="AI106">
        <v>50</v>
      </c>
    </row>
    <row r="107" spans="1:35" x14ac:dyDescent="0.2">
      <c r="A107">
        <v>132</v>
      </c>
      <c r="B107" t="s">
        <v>113</v>
      </c>
      <c r="C107" t="s">
        <v>207</v>
      </c>
      <c r="D107" t="s">
        <v>5</v>
      </c>
      <c r="E107">
        <v>1</v>
      </c>
      <c r="F107">
        <v>13.483333333333</v>
      </c>
      <c r="G107">
        <v>0</v>
      </c>
      <c r="H107">
        <v>1</v>
      </c>
      <c r="I107">
        <v>0</v>
      </c>
      <c r="J107">
        <v>1</v>
      </c>
      <c r="K107">
        <v>1</v>
      </c>
      <c r="L107">
        <v>100</v>
      </c>
      <c r="M107">
        <v>1</v>
      </c>
      <c r="N107">
        <v>0</v>
      </c>
      <c r="O107">
        <v>0.25</v>
      </c>
      <c r="P107">
        <v>3</v>
      </c>
      <c r="Q107">
        <v>3</v>
      </c>
      <c r="R107">
        <v>2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1</v>
      </c>
      <c r="AC107">
        <v>0</v>
      </c>
      <c r="AD107">
        <v>6</v>
      </c>
      <c r="AE107">
        <v>1</v>
      </c>
      <c r="AF107">
        <v>1</v>
      </c>
      <c r="AG107">
        <v>5</v>
      </c>
      <c r="AH107">
        <v>3</v>
      </c>
      <c r="AI107">
        <v>62.5</v>
      </c>
    </row>
    <row r="108" spans="1:35" x14ac:dyDescent="0.2">
      <c r="A108">
        <v>124</v>
      </c>
      <c r="B108" t="s">
        <v>101</v>
      </c>
      <c r="C108" t="s">
        <v>204</v>
      </c>
      <c r="D108" t="s">
        <v>12</v>
      </c>
      <c r="E108">
        <v>1</v>
      </c>
      <c r="F108">
        <v>15.15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202</v>
      </c>
      <c r="M108">
        <v>3</v>
      </c>
      <c r="N108">
        <v>0</v>
      </c>
      <c r="O108">
        <v>7.0000000000000007E-2</v>
      </c>
      <c r="P108">
        <v>4</v>
      </c>
      <c r="Q108">
        <v>3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 t="s">
        <v>202</v>
      </c>
    </row>
    <row r="109" spans="1:35" x14ac:dyDescent="0.2">
      <c r="A109">
        <v>31</v>
      </c>
      <c r="B109" t="s">
        <v>63</v>
      </c>
      <c r="C109" t="s">
        <v>215</v>
      </c>
      <c r="D109" t="s">
        <v>201</v>
      </c>
      <c r="E109">
        <v>1</v>
      </c>
      <c r="F109">
        <v>12.733333333333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202</v>
      </c>
      <c r="M109">
        <v>1</v>
      </c>
      <c r="N109">
        <v>0</v>
      </c>
      <c r="O109">
        <v>0.41</v>
      </c>
      <c r="P109">
        <v>2</v>
      </c>
      <c r="Q109">
        <v>2</v>
      </c>
      <c r="R109">
        <v>2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2</v>
      </c>
      <c r="AF109">
        <v>0</v>
      </c>
      <c r="AG109">
        <v>0</v>
      </c>
      <c r="AH109">
        <v>0</v>
      </c>
      <c r="AI109" t="s">
        <v>202</v>
      </c>
    </row>
    <row r="110" spans="1:35" x14ac:dyDescent="0.2">
      <c r="A110">
        <v>81</v>
      </c>
      <c r="B110" t="s">
        <v>72</v>
      </c>
      <c r="C110" t="s">
        <v>214</v>
      </c>
      <c r="D110" t="s">
        <v>201</v>
      </c>
      <c r="E110">
        <v>1</v>
      </c>
      <c r="F110">
        <v>17.600000000000001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202</v>
      </c>
      <c r="M110">
        <v>4</v>
      </c>
      <c r="N110">
        <v>0</v>
      </c>
      <c r="O110">
        <v>0.56999999999999995</v>
      </c>
      <c r="P110">
        <v>7</v>
      </c>
      <c r="Q110">
        <v>6</v>
      </c>
      <c r="R110">
        <v>5</v>
      </c>
      <c r="S110">
        <v>1</v>
      </c>
      <c r="T110">
        <v>0</v>
      </c>
      <c r="U110">
        <v>1</v>
      </c>
      <c r="V110">
        <v>4</v>
      </c>
      <c r="W110">
        <v>2</v>
      </c>
      <c r="X110">
        <v>2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5</v>
      </c>
      <c r="AE110">
        <v>0</v>
      </c>
      <c r="AF110">
        <v>0</v>
      </c>
      <c r="AG110">
        <v>0</v>
      </c>
      <c r="AH110">
        <v>0</v>
      </c>
      <c r="AI110" t="s">
        <v>202</v>
      </c>
    </row>
    <row r="111" spans="1:35" x14ac:dyDescent="0.2">
      <c r="A111">
        <v>129</v>
      </c>
      <c r="B111" t="s">
        <v>79</v>
      </c>
      <c r="C111" t="s">
        <v>204</v>
      </c>
      <c r="D111" t="s">
        <v>12</v>
      </c>
      <c r="E111">
        <v>1</v>
      </c>
      <c r="F111">
        <v>18.75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0.05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1</v>
      </c>
      <c r="AD111">
        <v>0</v>
      </c>
      <c r="AE111">
        <v>1</v>
      </c>
      <c r="AF111">
        <v>2</v>
      </c>
      <c r="AG111">
        <v>0</v>
      </c>
      <c r="AH111">
        <v>0</v>
      </c>
      <c r="AI111" t="s">
        <v>202</v>
      </c>
    </row>
    <row r="112" spans="1:35" x14ac:dyDescent="0.2">
      <c r="A112">
        <v>50</v>
      </c>
      <c r="B112" t="s">
        <v>13</v>
      </c>
      <c r="C112" t="s">
        <v>200</v>
      </c>
      <c r="D112" t="s">
        <v>5</v>
      </c>
      <c r="E112">
        <v>1</v>
      </c>
      <c r="F112">
        <v>17.600000000000001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202</v>
      </c>
      <c r="M112">
        <v>2</v>
      </c>
      <c r="N112">
        <v>0</v>
      </c>
      <c r="O112">
        <v>0.22</v>
      </c>
      <c r="P112">
        <v>3</v>
      </c>
      <c r="Q112">
        <v>3</v>
      </c>
      <c r="R112">
        <v>2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2</v>
      </c>
      <c r="AF112">
        <v>0</v>
      </c>
      <c r="AG112">
        <v>11</v>
      </c>
      <c r="AH112">
        <v>9</v>
      </c>
      <c r="AI112">
        <v>55</v>
      </c>
    </row>
    <row r="113" spans="1:35" x14ac:dyDescent="0.2">
      <c r="A113">
        <v>93</v>
      </c>
      <c r="B113" t="s">
        <v>129</v>
      </c>
      <c r="C113" t="s">
        <v>215</v>
      </c>
      <c r="D113" t="s">
        <v>201</v>
      </c>
      <c r="E113">
        <v>1</v>
      </c>
      <c r="F113">
        <v>14.633333333333001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202</v>
      </c>
      <c r="M113">
        <v>1</v>
      </c>
      <c r="N113">
        <v>0</v>
      </c>
      <c r="O113">
        <v>0.28000000000000003</v>
      </c>
      <c r="P113">
        <v>4</v>
      </c>
      <c r="Q113">
        <v>4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202</v>
      </c>
    </row>
    <row r="114" spans="1:35" x14ac:dyDescent="0.2">
      <c r="A114">
        <v>7</v>
      </c>
      <c r="B114" t="s">
        <v>69</v>
      </c>
      <c r="C114" t="s">
        <v>204</v>
      </c>
      <c r="D114" t="s">
        <v>12</v>
      </c>
      <c r="E114">
        <v>1</v>
      </c>
      <c r="F114">
        <v>14.983333333333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202</v>
      </c>
      <c r="M114">
        <v>0</v>
      </c>
      <c r="N114" t="s">
        <v>202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3</v>
      </c>
      <c r="AE114">
        <v>0</v>
      </c>
      <c r="AF114">
        <v>1</v>
      </c>
      <c r="AG114">
        <v>0</v>
      </c>
      <c r="AH114">
        <v>0</v>
      </c>
      <c r="AI114" t="s">
        <v>202</v>
      </c>
    </row>
    <row r="115" spans="1:35" x14ac:dyDescent="0.2">
      <c r="A115">
        <v>36</v>
      </c>
      <c r="B115" t="s">
        <v>114</v>
      </c>
      <c r="C115" t="s">
        <v>214</v>
      </c>
      <c r="D115" t="s">
        <v>12</v>
      </c>
      <c r="E115">
        <v>1</v>
      </c>
      <c r="F115">
        <v>16.633333333332999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202</v>
      </c>
      <c r="M115">
        <v>0</v>
      </c>
      <c r="N115" t="s">
        <v>202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 t="s">
        <v>202</v>
      </c>
    </row>
    <row r="116" spans="1:35" x14ac:dyDescent="0.2">
      <c r="A116">
        <v>39</v>
      </c>
      <c r="B116" t="s">
        <v>218</v>
      </c>
      <c r="C116" t="s">
        <v>204</v>
      </c>
      <c r="D116" t="s">
        <v>205</v>
      </c>
      <c r="E116">
        <v>1</v>
      </c>
      <c r="F116">
        <v>9.65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202</v>
      </c>
      <c r="M116">
        <v>0</v>
      </c>
      <c r="N116" t="s">
        <v>202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</v>
      </c>
      <c r="AE116">
        <v>0</v>
      </c>
      <c r="AF116">
        <v>1</v>
      </c>
      <c r="AG116">
        <v>1</v>
      </c>
      <c r="AH116">
        <v>0</v>
      </c>
      <c r="AI116">
        <v>100</v>
      </c>
    </row>
    <row r="117" spans="1:35" x14ac:dyDescent="0.2">
      <c r="A117">
        <v>17</v>
      </c>
      <c r="B117" t="s">
        <v>23</v>
      </c>
      <c r="C117" t="s">
        <v>203</v>
      </c>
      <c r="D117" t="s">
        <v>5</v>
      </c>
      <c r="E117">
        <v>1</v>
      </c>
      <c r="F117">
        <v>19.25</v>
      </c>
      <c r="G117">
        <v>0</v>
      </c>
      <c r="H117">
        <v>1</v>
      </c>
      <c r="I117">
        <v>1</v>
      </c>
      <c r="J117">
        <v>0</v>
      </c>
      <c r="K117">
        <v>1</v>
      </c>
      <c r="L117">
        <v>50</v>
      </c>
      <c r="M117">
        <v>1</v>
      </c>
      <c r="N117">
        <v>0</v>
      </c>
      <c r="O117">
        <v>0.04</v>
      </c>
      <c r="P117">
        <v>2</v>
      </c>
      <c r="Q117">
        <v>1</v>
      </c>
      <c r="R117">
        <v>2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0</v>
      </c>
      <c r="AD117">
        <v>1</v>
      </c>
      <c r="AE117">
        <v>2</v>
      </c>
      <c r="AF117">
        <v>0</v>
      </c>
      <c r="AG117">
        <v>0</v>
      </c>
      <c r="AH117">
        <v>2</v>
      </c>
      <c r="AI117">
        <v>0</v>
      </c>
    </row>
    <row r="118" spans="1:35" x14ac:dyDescent="0.2">
      <c r="A118">
        <v>83</v>
      </c>
      <c r="B118" t="s">
        <v>75</v>
      </c>
      <c r="C118" t="s">
        <v>204</v>
      </c>
      <c r="D118" t="s">
        <v>5</v>
      </c>
      <c r="E118">
        <v>1</v>
      </c>
      <c r="F118">
        <v>18.883333333332999</v>
      </c>
      <c r="G118">
        <v>0</v>
      </c>
      <c r="H118">
        <v>1</v>
      </c>
      <c r="I118">
        <v>1</v>
      </c>
      <c r="J118">
        <v>0</v>
      </c>
      <c r="K118">
        <v>1</v>
      </c>
      <c r="L118">
        <v>100</v>
      </c>
      <c r="M118">
        <v>1</v>
      </c>
      <c r="N118">
        <v>0</v>
      </c>
      <c r="O118">
        <v>0.04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2</v>
      </c>
      <c r="AE118">
        <v>2</v>
      </c>
      <c r="AF118">
        <v>2</v>
      </c>
      <c r="AG118">
        <v>12</v>
      </c>
      <c r="AH118">
        <v>9</v>
      </c>
      <c r="AI118">
        <v>57.14</v>
      </c>
    </row>
    <row r="119" spans="1:35" x14ac:dyDescent="0.2">
      <c r="A119">
        <v>18</v>
      </c>
      <c r="B119" t="s">
        <v>108</v>
      </c>
      <c r="C119" t="s">
        <v>204</v>
      </c>
      <c r="D119" t="s">
        <v>5</v>
      </c>
      <c r="E119">
        <v>1</v>
      </c>
      <c r="F119">
        <v>4.7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202</v>
      </c>
      <c r="M119">
        <v>0</v>
      </c>
      <c r="N119" t="s">
        <v>202</v>
      </c>
      <c r="O119">
        <v>0.05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4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 t="s">
        <v>202</v>
      </c>
    </row>
    <row r="120" spans="1:35" x14ac:dyDescent="0.2">
      <c r="A120">
        <v>10</v>
      </c>
      <c r="B120" t="s">
        <v>213</v>
      </c>
      <c r="C120" t="s">
        <v>207</v>
      </c>
      <c r="D120" t="s">
        <v>5</v>
      </c>
      <c r="E120">
        <v>1</v>
      </c>
      <c r="F120">
        <v>8.8666666666666991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202</v>
      </c>
      <c r="M120">
        <v>0</v>
      </c>
      <c r="N120" t="s">
        <v>202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2</v>
      </c>
      <c r="AH120">
        <v>4</v>
      </c>
      <c r="AI120">
        <v>33.33</v>
      </c>
    </row>
    <row r="121" spans="1:35" x14ac:dyDescent="0.2">
      <c r="A121">
        <v>15</v>
      </c>
      <c r="B121" t="s">
        <v>127</v>
      </c>
      <c r="C121" t="s">
        <v>206</v>
      </c>
      <c r="D121" t="s">
        <v>12</v>
      </c>
      <c r="E121">
        <v>1</v>
      </c>
      <c r="F121">
        <v>20.85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202</v>
      </c>
      <c r="O121">
        <v>0.01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2</v>
      </c>
      <c r="W121">
        <v>1</v>
      </c>
      <c r="X121">
        <v>1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0</v>
      </c>
      <c r="AI121" t="s">
        <v>202</v>
      </c>
    </row>
    <row r="122" spans="1:35" x14ac:dyDescent="0.2">
      <c r="A122">
        <v>121</v>
      </c>
      <c r="B122" t="s">
        <v>103</v>
      </c>
      <c r="C122" t="s">
        <v>207</v>
      </c>
      <c r="D122" t="s">
        <v>12</v>
      </c>
      <c r="E122">
        <v>1</v>
      </c>
      <c r="F122">
        <v>15.85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0.01</v>
      </c>
      <c r="P122">
        <v>2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 t="s">
        <v>202</v>
      </c>
    </row>
    <row r="123" spans="1:35" x14ac:dyDescent="0.2">
      <c r="A123">
        <v>20</v>
      </c>
      <c r="B123" t="s">
        <v>87</v>
      </c>
      <c r="C123" t="s">
        <v>214</v>
      </c>
      <c r="D123" t="s">
        <v>5</v>
      </c>
      <c r="E123">
        <v>1</v>
      </c>
      <c r="F123">
        <v>17.233333333333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202</v>
      </c>
      <c r="M123">
        <v>0</v>
      </c>
      <c r="N123" t="s">
        <v>202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7</v>
      </c>
      <c r="AH123">
        <v>11</v>
      </c>
      <c r="AI123">
        <v>38.89</v>
      </c>
    </row>
    <row r="124" spans="1:35" x14ac:dyDescent="0.2">
      <c r="A124">
        <v>87</v>
      </c>
      <c r="B124" t="s">
        <v>125</v>
      </c>
      <c r="C124" t="s">
        <v>211</v>
      </c>
      <c r="D124" t="s">
        <v>12</v>
      </c>
      <c r="E124">
        <v>1</v>
      </c>
      <c r="F124">
        <v>20.65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202</v>
      </c>
      <c r="M124">
        <v>2</v>
      </c>
      <c r="N124">
        <v>0</v>
      </c>
      <c r="O124">
        <v>0.1</v>
      </c>
      <c r="P124">
        <v>6</v>
      </c>
      <c r="Q124">
        <v>2</v>
      </c>
      <c r="R124">
        <v>3</v>
      </c>
      <c r="S124">
        <v>0</v>
      </c>
      <c r="T124">
        <v>1</v>
      </c>
      <c r="U124">
        <v>0</v>
      </c>
      <c r="V124">
        <v>2</v>
      </c>
      <c r="W124">
        <v>1</v>
      </c>
      <c r="X124">
        <v>1</v>
      </c>
      <c r="Y124">
        <v>0</v>
      </c>
      <c r="Z124">
        <v>0</v>
      </c>
      <c r="AA124">
        <v>2</v>
      </c>
      <c r="AB124">
        <v>1</v>
      </c>
      <c r="AC124">
        <v>0</v>
      </c>
      <c r="AD124">
        <v>1</v>
      </c>
      <c r="AE124">
        <v>3</v>
      </c>
      <c r="AF124">
        <v>0</v>
      </c>
      <c r="AG124">
        <v>0</v>
      </c>
      <c r="AH124">
        <v>0</v>
      </c>
      <c r="AI124" t="s">
        <v>202</v>
      </c>
    </row>
    <row r="125" spans="1:35" x14ac:dyDescent="0.2">
      <c r="A125">
        <v>12</v>
      </c>
      <c r="B125" t="s">
        <v>109</v>
      </c>
      <c r="C125" t="s">
        <v>200</v>
      </c>
      <c r="D125" t="s">
        <v>5</v>
      </c>
      <c r="E125">
        <v>1</v>
      </c>
      <c r="F125">
        <v>11.116666666666999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202</v>
      </c>
      <c r="M125">
        <v>0</v>
      </c>
      <c r="N125" t="s">
        <v>202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</v>
      </c>
      <c r="AE125">
        <v>1</v>
      </c>
      <c r="AF125">
        <v>1</v>
      </c>
      <c r="AG125">
        <v>3</v>
      </c>
      <c r="AH125">
        <v>2</v>
      </c>
      <c r="AI125">
        <v>60</v>
      </c>
    </row>
    <row r="126" spans="1:35" x14ac:dyDescent="0.2">
      <c r="A126">
        <v>94</v>
      </c>
      <c r="B126" t="s">
        <v>161</v>
      </c>
      <c r="C126" t="s">
        <v>203</v>
      </c>
      <c r="D126" t="s">
        <v>12</v>
      </c>
      <c r="E126">
        <v>1</v>
      </c>
      <c r="F126">
        <v>14.383333333333001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50</v>
      </c>
      <c r="M126">
        <v>1</v>
      </c>
      <c r="N126">
        <v>100</v>
      </c>
      <c r="O126">
        <v>0.04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 t="s">
        <v>202</v>
      </c>
    </row>
    <row r="127" spans="1:35" x14ac:dyDescent="0.2">
      <c r="A127">
        <v>75</v>
      </c>
      <c r="B127" t="s">
        <v>104</v>
      </c>
      <c r="C127" t="s">
        <v>200</v>
      </c>
      <c r="D127" t="s">
        <v>205</v>
      </c>
      <c r="E127">
        <v>1</v>
      </c>
      <c r="F127">
        <v>9.8166666666667002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202</v>
      </c>
      <c r="M127">
        <v>1</v>
      </c>
      <c r="N127">
        <v>0</v>
      </c>
      <c r="O127">
        <v>0.12</v>
      </c>
      <c r="P127">
        <v>2</v>
      </c>
      <c r="Q127">
        <v>2</v>
      </c>
      <c r="R127">
        <v>1</v>
      </c>
      <c r="S127">
        <v>1</v>
      </c>
      <c r="T127">
        <v>0</v>
      </c>
      <c r="U127">
        <v>0</v>
      </c>
      <c r="V127">
        <v>2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0</v>
      </c>
      <c r="AF127">
        <v>0</v>
      </c>
      <c r="AG127">
        <v>0</v>
      </c>
      <c r="AH127">
        <v>0</v>
      </c>
      <c r="AI127" t="s">
        <v>202</v>
      </c>
    </row>
    <row r="128" spans="1:35" x14ac:dyDescent="0.2">
      <c r="A128">
        <v>71</v>
      </c>
      <c r="B128" t="s">
        <v>221</v>
      </c>
      <c r="C128" t="s">
        <v>207</v>
      </c>
      <c r="D128" t="s">
        <v>201</v>
      </c>
      <c r="E128">
        <v>1</v>
      </c>
      <c r="F128">
        <v>9.5166666666666995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202</v>
      </c>
      <c r="M128">
        <v>0</v>
      </c>
      <c r="N128" t="s">
        <v>202</v>
      </c>
      <c r="O128">
        <v>0.12</v>
      </c>
      <c r="P128">
        <v>3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202</v>
      </c>
    </row>
    <row r="129" spans="1:35" x14ac:dyDescent="0.2">
      <c r="A129">
        <v>143</v>
      </c>
      <c r="B129" t="s">
        <v>134</v>
      </c>
      <c r="C129" t="s">
        <v>204</v>
      </c>
      <c r="D129" t="s">
        <v>5</v>
      </c>
      <c r="E129">
        <v>1</v>
      </c>
      <c r="F129">
        <v>10.566666666667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202</v>
      </c>
      <c r="M129">
        <v>1</v>
      </c>
      <c r="N129">
        <v>0</v>
      </c>
      <c r="O129">
        <v>0.26</v>
      </c>
      <c r="P129">
        <v>4</v>
      </c>
      <c r="Q129">
        <v>3</v>
      </c>
      <c r="R129">
        <v>2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0</v>
      </c>
      <c r="AF129">
        <v>0</v>
      </c>
      <c r="AG129">
        <v>7</v>
      </c>
      <c r="AH129">
        <v>4</v>
      </c>
      <c r="AI129">
        <v>63.64</v>
      </c>
    </row>
    <row r="130" spans="1:35" x14ac:dyDescent="0.2">
      <c r="A130">
        <v>42</v>
      </c>
      <c r="B130" t="s">
        <v>62</v>
      </c>
      <c r="C130" t="s">
        <v>206</v>
      </c>
      <c r="D130" t="s">
        <v>12</v>
      </c>
      <c r="E130">
        <v>1</v>
      </c>
      <c r="F130">
        <v>22.533333333333001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33.33</v>
      </c>
      <c r="M130">
        <v>7</v>
      </c>
      <c r="N130">
        <v>14.29</v>
      </c>
      <c r="O130">
        <v>0.21</v>
      </c>
      <c r="P130">
        <v>9</v>
      </c>
      <c r="Q130">
        <v>8</v>
      </c>
      <c r="R130">
        <v>2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3</v>
      </c>
      <c r="AG130">
        <v>0</v>
      </c>
      <c r="AH130">
        <v>0</v>
      </c>
      <c r="AI130" t="s">
        <v>202</v>
      </c>
    </row>
    <row r="131" spans="1:35" x14ac:dyDescent="0.2">
      <c r="A131">
        <v>54</v>
      </c>
      <c r="B131" t="s">
        <v>61</v>
      </c>
      <c r="C131" t="s">
        <v>214</v>
      </c>
      <c r="D131" t="s">
        <v>201</v>
      </c>
      <c r="E131">
        <v>1</v>
      </c>
      <c r="F131">
        <v>15.016666666667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202</v>
      </c>
      <c r="M131">
        <v>1</v>
      </c>
      <c r="N131">
        <v>0</v>
      </c>
      <c r="O131">
        <v>0.22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</v>
      </c>
      <c r="AD131">
        <v>1</v>
      </c>
      <c r="AE131">
        <v>3</v>
      </c>
      <c r="AF131">
        <v>0</v>
      </c>
      <c r="AG131">
        <v>0</v>
      </c>
      <c r="AH131">
        <v>0</v>
      </c>
      <c r="AI131" t="s">
        <v>202</v>
      </c>
    </row>
    <row r="132" spans="1:35" x14ac:dyDescent="0.2">
      <c r="A132">
        <v>41</v>
      </c>
      <c r="B132" t="s">
        <v>67</v>
      </c>
      <c r="C132" t="s">
        <v>214</v>
      </c>
      <c r="D132" t="s">
        <v>12</v>
      </c>
      <c r="E132">
        <v>1</v>
      </c>
      <c r="F132">
        <v>22.65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202</v>
      </c>
      <c r="M132">
        <v>0</v>
      </c>
      <c r="N132" t="s">
        <v>202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2</v>
      </c>
      <c r="AG132">
        <v>0</v>
      </c>
      <c r="AH132">
        <v>0</v>
      </c>
      <c r="AI132" t="s">
        <v>202</v>
      </c>
    </row>
    <row r="133" spans="1:35" x14ac:dyDescent="0.2">
      <c r="A133">
        <v>69</v>
      </c>
      <c r="B133" t="s">
        <v>159</v>
      </c>
      <c r="C133" t="s">
        <v>203</v>
      </c>
      <c r="D133" t="s">
        <v>5</v>
      </c>
      <c r="E133">
        <v>1</v>
      </c>
      <c r="F133">
        <v>7.9833333333332996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202</v>
      </c>
      <c r="M133">
        <v>3</v>
      </c>
      <c r="N133">
        <v>0</v>
      </c>
      <c r="O133">
        <v>0.17</v>
      </c>
      <c r="P133">
        <v>3</v>
      </c>
      <c r="Q133">
        <v>3</v>
      </c>
      <c r="R133">
        <v>2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1</v>
      </c>
      <c r="AH133">
        <v>1</v>
      </c>
      <c r="AI133">
        <v>50</v>
      </c>
    </row>
    <row r="134" spans="1:35" x14ac:dyDescent="0.2">
      <c r="A134">
        <v>98</v>
      </c>
      <c r="B134" t="s">
        <v>49</v>
      </c>
      <c r="C134" t="s">
        <v>214</v>
      </c>
      <c r="D134" t="s">
        <v>5</v>
      </c>
      <c r="E134">
        <v>1</v>
      </c>
      <c r="F134">
        <v>15.4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202</v>
      </c>
      <c r="M134">
        <v>1</v>
      </c>
      <c r="N134">
        <v>0</v>
      </c>
      <c r="O134">
        <v>0.04</v>
      </c>
      <c r="P134">
        <v>2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2</v>
      </c>
      <c r="AI134">
        <v>33.33</v>
      </c>
    </row>
    <row r="135" spans="1:35" x14ac:dyDescent="0.2">
      <c r="A135">
        <v>89</v>
      </c>
      <c r="B135" t="s">
        <v>107</v>
      </c>
      <c r="C135" t="s">
        <v>203</v>
      </c>
      <c r="D135" t="s">
        <v>12</v>
      </c>
      <c r="E135">
        <v>1</v>
      </c>
      <c r="F135">
        <v>14.866666666666999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100</v>
      </c>
      <c r="M135">
        <v>1</v>
      </c>
      <c r="N135">
        <v>0</v>
      </c>
      <c r="O135">
        <v>0.01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3</v>
      </c>
      <c r="AF135">
        <v>2</v>
      </c>
      <c r="AG135">
        <v>0</v>
      </c>
      <c r="AH135">
        <v>0</v>
      </c>
      <c r="AI135" t="s">
        <v>202</v>
      </c>
    </row>
    <row r="136" spans="1:35" x14ac:dyDescent="0.2">
      <c r="A136">
        <v>80</v>
      </c>
      <c r="B136" t="s">
        <v>208</v>
      </c>
      <c r="C136" t="s">
        <v>207</v>
      </c>
      <c r="D136" t="s">
        <v>12</v>
      </c>
      <c r="E136">
        <v>1</v>
      </c>
      <c r="F136">
        <v>12.55</v>
      </c>
      <c r="G136">
        <v>0</v>
      </c>
      <c r="H136">
        <v>1</v>
      </c>
      <c r="I136">
        <v>1</v>
      </c>
      <c r="J136">
        <v>0</v>
      </c>
      <c r="K136">
        <v>1</v>
      </c>
      <c r="L136">
        <v>50</v>
      </c>
      <c r="M136">
        <v>1</v>
      </c>
      <c r="N136">
        <v>0</v>
      </c>
      <c r="O136">
        <v>0.01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 t="s">
        <v>202</v>
      </c>
    </row>
    <row r="137" spans="1:35" x14ac:dyDescent="0.2">
      <c r="A137">
        <v>103</v>
      </c>
      <c r="B137" t="s">
        <v>52</v>
      </c>
      <c r="C137" t="s">
        <v>203</v>
      </c>
      <c r="D137" t="s">
        <v>201</v>
      </c>
      <c r="E137">
        <v>1</v>
      </c>
      <c r="F137">
        <v>16.149999999999999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0.16</v>
      </c>
      <c r="P137">
        <v>3</v>
      </c>
      <c r="Q137">
        <v>2</v>
      </c>
      <c r="R137">
        <v>2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2</v>
      </c>
      <c r="AD137">
        <v>3</v>
      </c>
      <c r="AE137">
        <v>1</v>
      </c>
      <c r="AF137">
        <v>0</v>
      </c>
      <c r="AG137">
        <v>0</v>
      </c>
      <c r="AH137">
        <v>1</v>
      </c>
      <c r="AI137">
        <v>0</v>
      </c>
    </row>
    <row r="138" spans="1:35" x14ac:dyDescent="0.2">
      <c r="A138">
        <v>48</v>
      </c>
      <c r="B138" t="s">
        <v>8</v>
      </c>
      <c r="C138" t="s">
        <v>200</v>
      </c>
      <c r="D138" t="s">
        <v>205</v>
      </c>
      <c r="E138">
        <v>1</v>
      </c>
      <c r="F138">
        <v>12.75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202</v>
      </c>
      <c r="M138">
        <v>0</v>
      </c>
      <c r="N138" t="s">
        <v>202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202</v>
      </c>
    </row>
    <row r="139" spans="1:35" x14ac:dyDescent="0.2">
      <c r="A139">
        <v>13</v>
      </c>
      <c r="B139" t="s">
        <v>41</v>
      </c>
      <c r="C139" t="s">
        <v>207</v>
      </c>
      <c r="D139" t="s">
        <v>5</v>
      </c>
      <c r="E139">
        <v>1</v>
      </c>
      <c r="F139">
        <v>25.1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100</v>
      </c>
      <c r="M139">
        <v>5</v>
      </c>
      <c r="N139">
        <v>0</v>
      </c>
      <c r="O139">
        <v>0.5</v>
      </c>
      <c r="P139">
        <v>7</v>
      </c>
      <c r="Q139">
        <v>5</v>
      </c>
      <c r="R139">
        <v>6</v>
      </c>
      <c r="S139">
        <v>4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2</v>
      </c>
      <c r="AE139">
        <v>1</v>
      </c>
      <c r="AF139">
        <v>0</v>
      </c>
      <c r="AG139">
        <v>10</v>
      </c>
      <c r="AH139">
        <v>11</v>
      </c>
      <c r="AI139">
        <v>47.62</v>
      </c>
    </row>
    <row r="140" spans="1:35" x14ac:dyDescent="0.2">
      <c r="A140">
        <v>63</v>
      </c>
      <c r="B140" t="s">
        <v>46</v>
      </c>
      <c r="C140" t="s">
        <v>207</v>
      </c>
      <c r="D140" t="s">
        <v>12</v>
      </c>
      <c r="E140">
        <v>1</v>
      </c>
      <c r="F140">
        <v>26.383333333332999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202</v>
      </c>
      <c r="M140">
        <v>0</v>
      </c>
      <c r="N140" t="s">
        <v>202</v>
      </c>
      <c r="O140">
        <v>0.06</v>
      </c>
      <c r="P140">
        <v>4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2</v>
      </c>
      <c r="AF140">
        <v>2</v>
      </c>
      <c r="AG140">
        <v>0</v>
      </c>
      <c r="AH140">
        <v>0</v>
      </c>
      <c r="AI140" t="s">
        <v>202</v>
      </c>
    </row>
    <row r="141" spans="1:35" x14ac:dyDescent="0.2">
      <c r="A141">
        <v>62</v>
      </c>
      <c r="B141" t="s">
        <v>95</v>
      </c>
      <c r="C141" t="s">
        <v>207</v>
      </c>
      <c r="D141" t="s">
        <v>12</v>
      </c>
      <c r="E141">
        <v>1</v>
      </c>
      <c r="F141">
        <v>18.383333333332999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100</v>
      </c>
      <c r="M141">
        <v>3</v>
      </c>
      <c r="N141">
        <v>33.33</v>
      </c>
      <c r="O141">
        <v>7.0000000000000007E-2</v>
      </c>
      <c r="P141">
        <v>4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 t="s">
        <v>202</v>
      </c>
    </row>
    <row r="142" spans="1:35" x14ac:dyDescent="0.2">
      <c r="A142">
        <v>110</v>
      </c>
      <c r="B142" t="s">
        <v>82</v>
      </c>
      <c r="C142" t="s">
        <v>207</v>
      </c>
      <c r="D142" t="s">
        <v>205</v>
      </c>
      <c r="E142">
        <v>1</v>
      </c>
      <c r="F142">
        <v>15.2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100</v>
      </c>
      <c r="M142">
        <v>3</v>
      </c>
      <c r="N142">
        <v>33.33</v>
      </c>
      <c r="O142">
        <v>0.52</v>
      </c>
      <c r="P142">
        <v>3</v>
      </c>
      <c r="Q142">
        <v>3</v>
      </c>
      <c r="R142">
        <v>3</v>
      </c>
      <c r="S142">
        <v>2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0</v>
      </c>
      <c r="AF142">
        <v>0</v>
      </c>
      <c r="AG142">
        <v>1</v>
      </c>
      <c r="AH142">
        <v>1</v>
      </c>
      <c r="AI142">
        <v>50</v>
      </c>
    </row>
    <row r="143" spans="1:35" x14ac:dyDescent="0.2">
      <c r="A143">
        <v>22</v>
      </c>
      <c r="B143" t="s">
        <v>111</v>
      </c>
      <c r="C143" t="s">
        <v>215</v>
      </c>
      <c r="D143" t="s">
        <v>5</v>
      </c>
      <c r="E143">
        <v>1</v>
      </c>
      <c r="F143">
        <v>19.116666666667001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202</v>
      </c>
      <c r="M143">
        <v>1</v>
      </c>
      <c r="N143">
        <v>0</v>
      </c>
      <c r="O143">
        <v>0.25</v>
      </c>
      <c r="P143">
        <v>2</v>
      </c>
      <c r="Q143">
        <v>2</v>
      </c>
      <c r="R143">
        <v>2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</v>
      </c>
      <c r="AC143">
        <v>1</v>
      </c>
      <c r="AD143">
        <v>2</v>
      </c>
      <c r="AE143">
        <v>1</v>
      </c>
      <c r="AF143">
        <v>0</v>
      </c>
      <c r="AG143">
        <v>6</v>
      </c>
      <c r="AH143">
        <v>6</v>
      </c>
      <c r="AI143">
        <v>50</v>
      </c>
    </row>
    <row r="144" spans="1:35" x14ac:dyDescent="0.2">
      <c r="A144">
        <v>8</v>
      </c>
      <c r="B144" t="s">
        <v>14</v>
      </c>
      <c r="C144" t="s">
        <v>203</v>
      </c>
      <c r="D144" t="s">
        <v>205</v>
      </c>
      <c r="E144">
        <v>1</v>
      </c>
      <c r="F144">
        <v>19.366666666667001</v>
      </c>
      <c r="G144">
        <v>1</v>
      </c>
      <c r="H144">
        <v>1</v>
      </c>
      <c r="I144">
        <v>1</v>
      </c>
      <c r="J144">
        <v>0</v>
      </c>
      <c r="K144">
        <v>2</v>
      </c>
      <c r="L144">
        <v>50</v>
      </c>
      <c r="M144">
        <v>3</v>
      </c>
      <c r="N144">
        <v>33.33</v>
      </c>
      <c r="O144">
        <v>0.53</v>
      </c>
      <c r="P144">
        <v>6</v>
      </c>
      <c r="Q144">
        <v>4</v>
      </c>
      <c r="R144">
        <v>4</v>
      </c>
      <c r="S144">
        <v>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3</v>
      </c>
      <c r="AF144">
        <v>2</v>
      </c>
      <c r="AG144">
        <v>0</v>
      </c>
      <c r="AH144">
        <v>0</v>
      </c>
      <c r="AI144" t="s">
        <v>202</v>
      </c>
    </row>
    <row r="145" spans="1:35" x14ac:dyDescent="0.2">
      <c r="A145">
        <v>24</v>
      </c>
      <c r="B145" t="s">
        <v>123</v>
      </c>
      <c r="C145" t="s">
        <v>215</v>
      </c>
      <c r="D145" t="s">
        <v>5</v>
      </c>
      <c r="E145">
        <v>1</v>
      </c>
      <c r="F145">
        <v>16.649999999999999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202</v>
      </c>
      <c r="M145">
        <v>0</v>
      </c>
      <c r="N145" t="s">
        <v>202</v>
      </c>
      <c r="O145">
        <v>0.04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6</v>
      </c>
      <c r="W145">
        <v>3</v>
      </c>
      <c r="X145">
        <v>3</v>
      </c>
      <c r="Y145">
        <v>0</v>
      </c>
      <c r="Z145">
        <v>0</v>
      </c>
      <c r="AA145">
        <v>2</v>
      </c>
      <c r="AB145">
        <v>0</v>
      </c>
      <c r="AC145">
        <v>1</v>
      </c>
      <c r="AD145">
        <v>1</v>
      </c>
      <c r="AE145">
        <v>1</v>
      </c>
      <c r="AF145">
        <v>4</v>
      </c>
      <c r="AG145">
        <v>0</v>
      </c>
      <c r="AH145">
        <v>0</v>
      </c>
      <c r="AI145" t="s">
        <v>202</v>
      </c>
    </row>
    <row r="146" spans="1:35" x14ac:dyDescent="0.2">
      <c r="A146">
        <v>1</v>
      </c>
      <c r="B146" t="s">
        <v>92</v>
      </c>
      <c r="C146" t="s">
        <v>207</v>
      </c>
      <c r="D146" t="s">
        <v>7</v>
      </c>
      <c r="E146">
        <v>1</v>
      </c>
      <c r="F146">
        <v>63.816666666666997</v>
      </c>
    </row>
    <row r="147" spans="1:35" x14ac:dyDescent="0.2">
      <c r="A147">
        <v>2</v>
      </c>
      <c r="B147" t="s">
        <v>21</v>
      </c>
      <c r="C147" t="s">
        <v>215</v>
      </c>
      <c r="D147" t="s">
        <v>7</v>
      </c>
      <c r="E147">
        <v>1</v>
      </c>
      <c r="F147">
        <v>60</v>
      </c>
    </row>
    <row r="148" spans="1:35" x14ac:dyDescent="0.2">
      <c r="A148">
        <v>3</v>
      </c>
      <c r="B148" t="s">
        <v>20</v>
      </c>
      <c r="C148" t="s">
        <v>200</v>
      </c>
      <c r="D148" t="s">
        <v>7</v>
      </c>
      <c r="E148">
        <v>1</v>
      </c>
      <c r="F148">
        <v>63.483333333333</v>
      </c>
    </row>
    <row r="149" spans="1:35" x14ac:dyDescent="0.2">
      <c r="A149">
        <v>4</v>
      </c>
      <c r="B149" t="s">
        <v>26</v>
      </c>
      <c r="C149" t="s">
        <v>203</v>
      </c>
      <c r="D149" t="s">
        <v>7</v>
      </c>
      <c r="E149">
        <v>1</v>
      </c>
      <c r="F149">
        <v>60</v>
      </c>
    </row>
    <row r="150" spans="1:35" x14ac:dyDescent="0.2">
      <c r="A150">
        <v>5</v>
      </c>
      <c r="B150" t="s">
        <v>6</v>
      </c>
      <c r="C150" t="s">
        <v>206</v>
      </c>
      <c r="D150" t="s">
        <v>7</v>
      </c>
      <c r="E150">
        <v>1</v>
      </c>
      <c r="F150">
        <v>59.6</v>
      </c>
    </row>
    <row r="151" spans="1:35" x14ac:dyDescent="0.2">
      <c r="A151">
        <v>6</v>
      </c>
      <c r="B151" t="s">
        <v>118</v>
      </c>
      <c r="C151" t="s">
        <v>204</v>
      </c>
      <c r="D151" t="s">
        <v>7</v>
      </c>
      <c r="E151">
        <v>1</v>
      </c>
      <c r="F151">
        <v>57.616666666667001</v>
      </c>
    </row>
    <row r="152" spans="1:35" x14ac:dyDescent="0.2">
      <c r="A152">
        <v>7</v>
      </c>
      <c r="B152" t="s">
        <v>81</v>
      </c>
      <c r="C152" t="s">
        <v>211</v>
      </c>
      <c r="D152" t="s">
        <v>7</v>
      </c>
      <c r="E152">
        <v>1</v>
      </c>
      <c r="F152">
        <v>60</v>
      </c>
    </row>
    <row r="153" spans="1:35" x14ac:dyDescent="0.2">
      <c r="A153">
        <v>8</v>
      </c>
      <c r="B153" t="s">
        <v>59</v>
      </c>
      <c r="C153" t="s">
        <v>214</v>
      </c>
      <c r="D153" t="s">
        <v>7</v>
      </c>
      <c r="E153">
        <v>1</v>
      </c>
      <c r="F153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384EA-2694-BA4C-86B0-042CEC68CBDE}">
  <dimension ref="A1:AD297"/>
  <sheetViews>
    <sheetView workbookViewId="0">
      <selection sqref="A1:XFD1048576"/>
    </sheetView>
  </sheetViews>
  <sheetFormatPr baseColWidth="10" defaultRowHeight="16" x14ac:dyDescent="0.2"/>
  <cols>
    <col min="1" max="1" width="21.6640625" bestFit="1" customWidth="1"/>
    <col min="2" max="2" width="3.1640625" bestFit="1" customWidth="1"/>
    <col min="3" max="3" width="5.1640625" bestFit="1" customWidth="1"/>
    <col min="4" max="4" width="4" bestFit="1" customWidth="1"/>
    <col min="5" max="5" width="6.1640625" bestFit="1" customWidth="1"/>
    <col min="6" max="6" width="5.5" bestFit="1" customWidth="1"/>
    <col min="7" max="7" width="7" bestFit="1" customWidth="1"/>
    <col min="8" max="8" width="7.5" bestFit="1" customWidth="1"/>
    <col min="9" max="9" width="4.5" bestFit="1" customWidth="1"/>
    <col min="10" max="10" width="7.1640625" bestFit="1" customWidth="1"/>
    <col min="11" max="11" width="6.83203125" bestFit="1" customWidth="1"/>
    <col min="12" max="12" width="5.1640625" bestFit="1" customWidth="1"/>
    <col min="13" max="13" width="9.33203125" bestFit="1" customWidth="1"/>
    <col min="14" max="14" width="8.33203125" bestFit="1" customWidth="1"/>
    <col min="15" max="15" width="9.1640625" bestFit="1" customWidth="1"/>
    <col min="16" max="16" width="6.83203125" bestFit="1" customWidth="1"/>
    <col min="17" max="17" width="8.1640625" bestFit="1" customWidth="1"/>
    <col min="18" max="18" width="5.1640625" bestFit="1" customWidth="1"/>
    <col min="19" max="19" width="6.1640625" bestFit="1" customWidth="1"/>
    <col min="20" max="20" width="6.83203125" bestFit="1" customWidth="1"/>
    <col min="21" max="22" width="7" bestFit="1" customWidth="1"/>
    <col min="23" max="23" width="4.5" bestFit="1" customWidth="1"/>
    <col min="24" max="24" width="5.1640625" bestFit="1" customWidth="1"/>
    <col min="25" max="25" width="5" bestFit="1" customWidth="1"/>
    <col min="26" max="26" width="5.6640625" bestFit="1" customWidth="1"/>
    <col min="27" max="27" width="6.33203125" bestFit="1" customWidth="1"/>
    <col min="28" max="28" width="8.1640625" bestFit="1" customWidth="1"/>
    <col min="29" max="29" width="5.83203125" bestFit="1" customWidth="1"/>
    <col min="30" max="30" width="5.1640625" bestFit="1" customWidth="1"/>
  </cols>
  <sheetData>
    <row r="1" spans="1:30" x14ac:dyDescent="0.2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167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170</v>
      </c>
      <c r="AC1" t="s">
        <v>303</v>
      </c>
      <c r="AD1" t="s">
        <v>304</v>
      </c>
    </row>
    <row r="2" spans="1:30" x14ac:dyDescent="0.2">
      <c r="A2" t="s">
        <v>4</v>
      </c>
      <c r="C2">
        <v>0</v>
      </c>
      <c r="D2" t="s">
        <v>5</v>
      </c>
      <c r="E2">
        <v>10500</v>
      </c>
      <c r="F2" t="s">
        <v>203</v>
      </c>
      <c r="G2" t="s">
        <v>305</v>
      </c>
      <c r="H2" s="2">
        <v>0.85416666666666663</v>
      </c>
      <c r="I2" t="s">
        <v>306</v>
      </c>
      <c r="J2" s="1">
        <v>0.60899999999999999</v>
      </c>
      <c r="K2">
        <v>-156</v>
      </c>
      <c r="L2">
        <v>7</v>
      </c>
      <c r="M2">
        <v>4.4000000000000004</v>
      </c>
      <c r="N2">
        <v>3.5</v>
      </c>
      <c r="O2">
        <v>1</v>
      </c>
      <c r="P2">
        <v>1</v>
      </c>
      <c r="Q2" s="3">
        <v>0.95208333333333328</v>
      </c>
      <c r="R2">
        <v>18.399999999999999</v>
      </c>
      <c r="S2">
        <v>12.63</v>
      </c>
      <c r="T2">
        <v>61.53</v>
      </c>
      <c r="U2">
        <v>36.270000000000003</v>
      </c>
      <c r="V2">
        <v>36.270000000000003</v>
      </c>
      <c r="W2">
        <v>100</v>
      </c>
      <c r="Y2">
        <v>66</v>
      </c>
      <c r="Z2">
        <v>3.5</v>
      </c>
      <c r="AA2">
        <v>0</v>
      </c>
      <c r="AB2" s="3">
        <v>0.98333333333333328</v>
      </c>
      <c r="AC2">
        <v>18</v>
      </c>
      <c r="AD2">
        <v>1.7</v>
      </c>
    </row>
    <row r="3" spans="1:30" x14ac:dyDescent="0.2">
      <c r="A3" t="s">
        <v>10</v>
      </c>
      <c r="C3">
        <v>0</v>
      </c>
      <c r="D3" t="s">
        <v>5</v>
      </c>
      <c r="E3">
        <v>9300</v>
      </c>
      <c r="F3" t="s">
        <v>203</v>
      </c>
      <c r="G3" t="s">
        <v>305</v>
      </c>
      <c r="H3" s="2">
        <v>0.85416666666666663</v>
      </c>
      <c r="I3" t="s">
        <v>306</v>
      </c>
      <c r="J3" s="1">
        <v>0.60899999999999999</v>
      </c>
      <c r="K3">
        <v>-156</v>
      </c>
      <c r="L3">
        <v>7</v>
      </c>
      <c r="M3">
        <v>4.4000000000000004</v>
      </c>
      <c r="N3">
        <v>3.5</v>
      </c>
      <c r="O3">
        <v>2</v>
      </c>
      <c r="P3">
        <v>1</v>
      </c>
      <c r="Q3" s="3">
        <v>0.91388888888888886</v>
      </c>
      <c r="R3">
        <v>14.2</v>
      </c>
      <c r="S3">
        <v>9.1300000000000008</v>
      </c>
      <c r="T3">
        <v>43.61</v>
      </c>
      <c r="U3">
        <v>25.35</v>
      </c>
      <c r="V3">
        <v>25.35</v>
      </c>
      <c r="W3">
        <v>100</v>
      </c>
      <c r="Y3">
        <v>68</v>
      </c>
      <c r="Z3">
        <v>2.7</v>
      </c>
      <c r="AA3">
        <v>0</v>
      </c>
      <c r="AB3" s="3">
        <v>0.83958333333333335</v>
      </c>
      <c r="AC3">
        <v>24.5</v>
      </c>
      <c r="AD3">
        <v>2.6</v>
      </c>
    </row>
    <row r="4" spans="1:30" x14ac:dyDescent="0.2">
      <c r="A4" t="s">
        <v>11</v>
      </c>
      <c r="C4">
        <v>0</v>
      </c>
      <c r="D4" t="s">
        <v>12</v>
      </c>
      <c r="E4">
        <v>7400</v>
      </c>
      <c r="F4" t="s">
        <v>203</v>
      </c>
      <c r="G4" t="s">
        <v>305</v>
      </c>
      <c r="H4" s="2">
        <v>0.85416666666666663</v>
      </c>
      <c r="I4" t="s">
        <v>306</v>
      </c>
      <c r="J4" s="1">
        <v>0.60899999999999999</v>
      </c>
      <c r="K4">
        <v>-156</v>
      </c>
      <c r="L4">
        <v>7</v>
      </c>
      <c r="M4">
        <v>4.4000000000000004</v>
      </c>
      <c r="N4">
        <v>3.5</v>
      </c>
      <c r="O4">
        <v>1</v>
      </c>
      <c r="P4">
        <v>1</v>
      </c>
      <c r="Q4" s="4">
        <v>1.023611111111111</v>
      </c>
      <c r="R4">
        <v>13.1</v>
      </c>
      <c r="S4">
        <v>10</v>
      </c>
      <c r="T4">
        <v>44.11</v>
      </c>
      <c r="U4">
        <v>24.11</v>
      </c>
      <c r="V4">
        <v>24.11</v>
      </c>
      <c r="W4">
        <v>100</v>
      </c>
      <c r="Y4">
        <v>62</v>
      </c>
      <c r="Z4">
        <v>3.3</v>
      </c>
      <c r="AA4">
        <v>0</v>
      </c>
      <c r="AB4" s="3">
        <v>0.94930555555555551</v>
      </c>
      <c r="AC4">
        <v>9.1</v>
      </c>
      <c r="AD4">
        <v>1.2</v>
      </c>
    </row>
    <row r="5" spans="1:30" x14ac:dyDescent="0.2">
      <c r="A5" t="s">
        <v>28</v>
      </c>
      <c r="C5">
        <v>0</v>
      </c>
      <c r="D5" t="s">
        <v>9</v>
      </c>
      <c r="E5">
        <v>9500</v>
      </c>
      <c r="F5" t="s">
        <v>307</v>
      </c>
      <c r="G5" t="s">
        <v>308</v>
      </c>
      <c r="H5" s="2">
        <v>0.79166666666666663</v>
      </c>
      <c r="I5" t="s">
        <v>306</v>
      </c>
      <c r="J5" s="1">
        <v>0.49399999999999999</v>
      </c>
      <c r="K5">
        <v>-97.5</v>
      </c>
      <c r="L5">
        <v>6</v>
      </c>
      <c r="M5">
        <v>3.37</v>
      </c>
      <c r="N5">
        <v>3</v>
      </c>
      <c r="O5">
        <v>1</v>
      </c>
      <c r="P5">
        <v>2</v>
      </c>
      <c r="Q5" s="3">
        <v>0.84236111111111112</v>
      </c>
      <c r="R5">
        <v>16.2</v>
      </c>
      <c r="S5">
        <v>9.36</v>
      </c>
      <c r="T5">
        <v>41.37</v>
      </c>
      <c r="U5">
        <v>22.65</v>
      </c>
      <c r="V5">
        <v>22.65</v>
      </c>
      <c r="W5">
        <v>100</v>
      </c>
      <c r="Y5">
        <v>71</v>
      </c>
      <c r="Z5">
        <v>2.4</v>
      </c>
      <c r="AA5">
        <v>0</v>
      </c>
      <c r="AB5" s="3">
        <v>0.76388888888888884</v>
      </c>
      <c r="AC5">
        <v>27.4</v>
      </c>
      <c r="AD5">
        <v>2.9</v>
      </c>
    </row>
    <row r="6" spans="1:30" x14ac:dyDescent="0.2">
      <c r="A6" t="s">
        <v>14</v>
      </c>
      <c r="C6">
        <v>0</v>
      </c>
      <c r="D6" t="s">
        <v>9</v>
      </c>
      <c r="E6">
        <v>7600</v>
      </c>
      <c r="F6" t="s">
        <v>203</v>
      </c>
      <c r="G6" t="s">
        <v>305</v>
      </c>
      <c r="H6" s="2">
        <v>0.85416666666666663</v>
      </c>
      <c r="I6" t="s">
        <v>306</v>
      </c>
      <c r="J6" s="1">
        <v>0.60899999999999999</v>
      </c>
      <c r="K6">
        <v>-156</v>
      </c>
      <c r="L6">
        <v>7</v>
      </c>
      <c r="M6">
        <v>4.4000000000000004</v>
      </c>
      <c r="N6">
        <v>3.5</v>
      </c>
      <c r="O6">
        <v>1</v>
      </c>
      <c r="P6">
        <v>1</v>
      </c>
      <c r="Q6" s="3">
        <v>0.84166666666666667</v>
      </c>
      <c r="R6">
        <v>12.9</v>
      </c>
      <c r="S6">
        <v>9.81</v>
      </c>
      <c r="T6">
        <v>42.26</v>
      </c>
      <c r="U6">
        <v>22.64</v>
      </c>
      <c r="V6">
        <v>22.64</v>
      </c>
      <c r="W6">
        <v>100</v>
      </c>
      <c r="Y6">
        <v>62</v>
      </c>
      <c r="Z6">
        <v>3</v>
      </c>
      <c r="AA6">
        <v>0</v>
      </c>
      <c r="AB6" s="3">
        <v>0.80694444444444446</v>
      </c>
      <c r="AC6">
        <v>20.6</v>
      </c>
      <c r="AD6">
        <v>2.7</v>
      </c>
    </row>
    <row r="7" spans="1:30" x14ac:dyDescent="0.2">
      <c r="A7" t="s">
        <v>19</v>
      </c>
      <c r="C7">
        <v>0</v>
      </c>
      <c r="D7" t="s">
        <v>9</v>
      </c>
      <c r="E7">
        <v>9000</v>
      </c>
      <c r="F7" t="s">
        <v>200</v>
      </c>
      <c r="G7" t="s">
        <v>309</v>
      </c>
      <c r="H7" s="2">
        <v>0.79166666666666663</v>
      </c>
      <c r="I7" t="s">
        <v>306</v>
      </c>
      <c r="J7" s="1">
        <v>0.45500000000000002</v>
      </c>
      <c r="K7">
        <v>-83.5</v>
      </c>
      <c r="L7">
        <v>6.5</v>
      </c>
      <c r="M7">
        <v>3.25</v>
      </c>
      <c r="N7">
        <v>3.2</v>
      </c>
      <c r="O7">
        <v>1</v>
      </c>
      <c r="P7">
        <v>1</v>
      </c>
      <c r="Q7" s="3">
        <v>0.82847222222222228</v>
      </c>
      <c r="R7">
        <v>15.1</v>
      </c>
      <c r="S7">
        <v>10.68</v>
      </c>
      <c r="T7">
        <v>41.09</v>
      </c>
      <c r="U7">
        <v>19.73</v>
      </c>
      <c r="V7">
        <v>19.73</v>
      </c>
      <c r="W7">
        <v>100</v>
      </c>
      <c r="Y7">
        <v>65</v>
      </c>
      <c r="Z7">
        <v>2.2000000000000002</v>
      </c>
      <c r="AA7">
        <v>0</v>
      </c>
      <c r="AB7" s="3">
        <v>0.9375</v>
      </c>
      <c r="AC7">
        <v>22.3</v>
      </c>
      <c r="AD7">
        <v>2.5</v>
      </c>
    </row>
    <row r="8" spans="1:30" x14ac:dyDescent="0.2">
      <c r="A8" t="s">
        <v>135</v>
      </c>
      <c r="C8">
        <v>0</v>
      </c>
      <c r="D8" t="s">
        <v>12</v>
      </c>
      <c r="E8">
        <v>8400</v>
      </c>
      <c r="F8" t="s">
        <v>310</v>
      </c>
      <c r="G8" t="s">
        <v>311</v>
      </c>
      <c r="H8" s="2">
        <v>0.79166666666666663</v>
      </c>
      <c r="I8" t="s">
        <v>306</v>
      </c>
      <c r="J8" s="1">
        <v>0.42</v>
      </c>
      <c r="K8">
        <v>-72.5</v>
      </c>
      <c r="L8">
        <v>6</v>
      </c>
      <c r="M8">
        <v>3.06</v>
      </c>
      <c r="N8">
        <v>3</v>
      </c>
      <c r="O8">
        <v>1</v>
      </c>
      <c r="P8">
        <v>1</v>
      </c>
      <c r="Q8" s="4">
        <v>1.1104166666666666</v>
      </c>
      <c r="R8">
        <v>16.100000000000001</v>
      </c>
      <c r="S8">
        <v>8.7100000000000009</v>
      </c>
      <c r="T8">
        <v>37.56</v>
      </c>
      <c r="U8">
        <v>20.14</v>
      </c>
      <c r="V8">
        <v>20.14</v>
      </c>
      <c r="W8">
        <v>100</v>
      </c>
      <c r="Y8">
        <v>73</v>
      </c>
      <c r="Z8">
        <v>2.4</v>
      </c>
      <c r="AA8">
        <v>0</v>
      </c>
    </row>
    <row r="9" spans="1:30" x14ac:dyDescent="0.2">
      <c r="A9" t="s">
        <v>35</v>
      </c>
      <c r="C9">
        <v>0</v>
      </c>
      <c r="D9" t="s">
        <v>9</v>
      </c>
      <c r="E9">
        <v>7500</v>
      </c>
      <c r="F9" t="s">
        <v>307</v>
      </c>
      <c r="G9" t="s">
        <v>308</v>
      </c>
      <c r="H9" s="2">
        <v>0.79166666666666663</v>
      </c>
      <c r="I9" t="s">
        <v>306</v>
      </c>
      <c r="J9" s="1">
        <v>0.49399999999999999</v>
      </c>
      <c r="K9">
        <v>-97.5</v>
      </c>
      <c r="L9">
        <v>6</v>
      </c>
      <c r="M9">
        <v>3.37</v>
      </c>
      <c r="N9">
        <v>3</v>
      </c>
      <c r="O9">
        <v>1</v>
      </c>
      <c r="P9">
        <v>1</v>
      </c>
      <c r="Q9" s="3">
        <v>0.79166666666666663</v>
      </c>
      <c r="R9">
        <v>13.3</v>
      </c>
      <c r="S9">
        <v>10.73</v>
      </c>
      <c r="T9">
        <v>39.630000000000003</v>
      </c>
      <c r="U9">
        <v>18.170000000000002</v>
      </c>
      <c r="V9">
        <v>18.170000000000002</v>
      </c>
      <c r="W9">
        <v>100</v>
      </c>
      <c r="Y9">
        <v>60</v>
      </c>
      <c r="Z9">
        <v>2.4</v>
      </c>
      <c r="AA9">
        <v>0</v>
      </c>
      <c r="AB9" s="3">
        <v>0.90694444444444444</v>
      </c>
      <c r="AC9">
        <v>7.3</v>
      </c>
      <c r="AD9">
        <v>1</v>
      </c>
    </row>
    <row r="10" spans="1:30" x14ac:dyDescent="0.2">
      <c r="A10" t="s">
        <v>42</v>
      </c>
      <c r="C10">
        <v>0</v>
      </c>
      <c r="D10" t="s">
        <v>9</v>
      </c>
      <c r="E10">
        <v>8000</v>
      </c>
      <c r="F10" t="s">
        <v>207</v>
      </c>
      <c r="G10" t="s">
        <v>312</v>
      </c>
      <c r="H10" s="2">
        <v>0.79166666666666663</v>
      </c>
      <c r="I10" t="s">
        <v>313</v>
      </c>
      <c r="J10" s="1">
        <v>0.54500000000000004</v>
      </c>
      <c r="K10">
        <v>83.5</v>
      </c>
      <c r="L10">
        <v>6.5</v>
      </c>
      <c r="M10">
        <v>3.2</v>
      </c>
      <c r="N10">
        <v>3.25</v>
      </c>
      <c r="O10">
        <v>1</v>
      </c>
      <c r="P10">
        <v>1</v>
      </c>
      <c r="Q10" s="3">
        <v>0.8666666666666667</v>
      </c>
      <c r="R10">
        <v>12.7</v>
      </c>
      <c r="S10">
        <v>9.65</v>
      </c>
      <c r="T10">
        <v>36.119999999999997</v>
      </c>
      <c r="U10">
        <v>16.82</v>
      </c>
      <c r="V10">
        <v>16.82</v>
      </c>
      <c r="W10">
        <v>100</v>
      </c>
      <c r="Y10">
        <v>62</v>
      </c>
      <c r="Z10">
        <v>2.1</v>
      </c>
      <c r="AA10">
        <v>0</v>
      </c>
      <c r="AB10" s="4">
        <v>1.0104166666666667</v>
      </c>
      <c r="AC10">
        <v>8</v>
      </c>
      <c r="AD10">
        <v>1</v>
      </c>
    </row>
    <row r="11" spans="1:30" x14ac:dyDescent="0.2">
      <c r="A11" t="s">
        <v>32</v>
      </c>
      <c r="C11">
        <v>0</v>
      </c>
      <c r="D11" t="s">
        <v>12</v>
      </c>
      <c r="E11">
        <v>6300</v>
      </c>
      <c r="F11" t="s">
        <v>307</v>
      </c>
      <c r="G11" t="s">
        <v>308</v>
      </c>
      <c r="H11" s="2">
        <v>0.79166666666666663</v>
      </c>
      <c r="I11" t="s">
        <v>306</v>
      </c>
      <c r="J11" s="1">
        <v>0.49399999999999999</v>
      </c>
      <c r="K11">
        <v>-97.5</v>
      </c>
      <c r="L11">
        <v>6</v>
      </c>
      <c r="M11">
        <v>3.37</v>
      </c>
      <c r="N11">
        <v>3</v>
      </c>
      <c r="O11">
        <v>1</v>
      </c>
      <c r="P11">
        <v>1</v>
      </c>
      <c r="Q11" s="3">
        <v>0.92569444444444449</v>
      </c>
      <c r="R11">
        <v>12</v>
      </c>
      <c r="S11">
        <v>9.25</v>
      </c>
      <c r="T11">
        <v>36.25</v>
      </c>
      <c r="U11">
        <v>17.75</v>
      </c>
      <c r="V11">
        <v>17.75</v>
      </c>
      <c r="W11">
        <v>100</v>
      </c>
      <c r="Y11">
        <v>61</v>
      </c>
      <c r="Z11">
        <v>2.8</v>
      </c>
      <c r="AA11">
        <v>0</v>
      </c>
      <c r="AB11" s="4">
        <v>1.0534722222222221</v>
      </c>
      <c r="AC11">
        <v>14.3</v>
      </c>
      <c r="AD11">
        <v>2.2999999999999998</v>
      </c>
    </row>
    <row r="12" spans="1:30" x14ac:dyDescent="0.2">
      <c r="A12" t="s">
        <v>36</v>
      </c>
      <c r="C12">
        <v>0</v>
      </c>
      <c r="D12" t="s">
        <v>12</v>
      </c>
      <c r="E12">
        <v>4700</v>
      </c>
      <c r="F12" t="s">
        <v>203</v>
      </c>
      <c r="G12" t="s">
        <v>305</v>
      </c>
      <c r="H12" s="2">
        <v>0.85416666666666663</v>
      </c>
      <c r="I12" t="s">
        <v>306</v>
      </c>
      <c r="J12" s="1">
        <v>0.60899999999999999</v>
      </c>
      <c r="K12">
        <v>-156</v>
      </c>
      <c r="L12">
        <v>7</v>
      </c>
      <c r="M12">
        <v>4.4000000000000004</v>
      </c>
      <c r="N12">
        <v>3.5</v>
      </c>
      <c r="O12">
        <v>2</v>
      </c>
      <c r="P12">
        <v>2</v>
      </c>
      <c r="Q12" s="3">
        <v>0.81736111111111109</v>
      </c>
      <c r="R12">
        <v>9.3000000000000007</v>
      </c>
      <c r="S12">
        <v>7.43</v>
      </c>
      <c r="T12">
        <v>31.65</v>
      </c>
      <c r="U12">
        <v>16.79</v>
      </c>
      <c r="V12">
        <v>16.79</v>
      </c>
      <c r="W12">
        <v>100</v>
      </c>
      <c r="Y12">
        <v>60</v>
      </c>
      <c r="Z12">
        <v>3.6</v>
      </c>
      <c r="AA12">
        <v>0</v>
      </c>
      <c r="AB12" s="3">
        <v>0.93958333333333333</v>
      </c>
      <c r="AC12">
        <v>3</v>
      </c>
      <c r="AD12">
        <v>0.6</v>
      </c>
    </row>
    <row r="13" spans="1:30" x14ac:dyDescent="0.2">
      <c r="A13" t="s">
        <v>33</v>
      </c>
      <c r="C13">
        <v>0</v>
      </c>
      <c r="D13" t="s">
        <v>5</v>
      </c>
      <c r="E13">
        <v>7100</v>
      </c>
      <c r="F13" t="s">
        <v>207</v>
      </c>
      <c r="G13" t="s">
        <v>312</v>
      </c>
      <c r="H13" s="2">
        <v>0.79166666666666663</v>
      </c>
      <c r="I13" t="s">
        <v>313</v>
      </c>
      <c r="J13" s="1">
        <v>0.54500000000000004</v>
      </c>
      <c r="K13">
        <v>83.5</v>
      </c>
      <c r="L13">
        <v>6.5</v>
      </c>
      <c r="M13">
        <v>3.2</v>
      </c>
      <c r="N13">
        <v>3.25</v>
      </c>
      <c r="O13">
        <v>2</v>
      </c>
      <c r="P13">
        <v>1</v>
      </c>
      <c r="Q13" s="3">
        <v>0.86458333333333337</v>
      </c>
      <c r="R13">
        <v>12</v>
      </c>
      <c r="S13">
        <v>9.4700000000000006</v>
      </c>
      <c r="T13">
        <v>34.71</v>
      </c>
      <c r="U13">
        <v>15.77</v>
      </c>
      <c r="V13">
        <v>15.77</v>
      </c>
      <c r="W13">
        <v>100</v>
      </c>
      <c r="Y13">
        <v>61</v>
      </c>
      <c r="Z13">
        <v>2.2000000000000002</v>
      </c>
      <c r="AA13">
        <v>0</v>
      </c>
      <c r="AB13" s="3">
        <v>0.89375000000000004</v>
      </c>
      <c r="AC13">
        <v>9.5</v>
      </c>
      <c r="AD13">
        <v>1.3</v>
      </c>
    </row>
    <row r="14" spans="1:30" x14ac:dyDescent="0.2">
      <c r="A14" t="s">
        <v>74</v>
      </c>
      <c r="C14">
        <v>0</v>
      </c>
      <c r="D14" t="s">
        <v>5</v>
      </c>
      <c r="E14">
        <v>7800</v>
      </c>
      <c r="F14" t="s">
        <v>206</v>
      </c>
      <c r="G14" t="s">
        <v>314</v>
      </c>
      <c r="H14" s="2">
        <v>0.79166666666666663</v>
      </c>
      <c r="I14" t="s">
        <v>313</v>
      </c>
      <c r="J14" s="1">
        <v>0.56699999999999995</v>
      </c>
      <c r="K14">
        <v>76.5</v>
      </c>
      <c r="L14">
        <v>6</v>
      </c>
      <c r="M14">
        <v>3</v>
      </c>
      <c r="N14">
        <v>3.09</v>
      </c>
      <c r="O14">
        <v>1</v>
      </c>
      <c r="P14">
        <v>1</v>
      </c>
      <c r="Q14" s="3">
        <v>0.84791666666666665</v>
      </c>
      <c r="R14">
        <v>12.5</v>
      </c>
      <c r="S14">
        <v>7.48</v>
      </c>
      <c r="T14">
        <v>28.92</v>
      </c>
      <c r="U14">
        <v>13.96</v>
      </c>
      <c r="V14">
        <v>13.96</v>
      </c>
      <c r="W14">
        <v>100</v>
      </c>
      <c r="Y14">
        <v>70</v>
      </c>
      <c r="Z14">
        <v>1.8</v>
      </c>
      <c r="AA14">
        <v>0</v>
      </c>
      <c r="AB14" s="3">
        <v>0.80347222222222225</v>
      </c>
      <c r="AC14">
        <v>1.5</v>
      </c>
      <c r="AD14">
        <v>0.2</v>
      </c>
    </row>
    <row r="15" spans="1:30" x14ac:dyDescent="0.2">
      <c r="A15" t="s">
        <v>98</v>
      </c>
      <c r="C15">
        <v>0</v>
      </c>
      <c r="D15" t="s">
        <v>9</v>
      </c>
      <c r="E15">
        <v>7700</v>
      </c>
      <c r="F15" t="s">
        <v>211</v>
      </c>
      <c r="G15" t="s">
        <v>315</v>
      </c>
      <c r="H15" s="2">
        <v>0.79166666666666663</v>
      </c>
      <c r="I15" t="s">
        <v>313</v>
      </c>
      <c r="J15" s="1">
        <v>0.50600000000000001</v>
      </c>
      <c r="K15">
        <v>97.5</v>
      </c>
      <c r="L15">
        <v>6</v>
      </c>
      <c r="M15">
        <v>3</v>
      </c>
      <c r="N15">
        <v>3.37</v>
      </c>
      <c r="O15">
        <v>3</v>
      </c>
      <c r="P15">
        <v>1</v>
      </c>
      <c r="Q15" s="3">
        <v>0.72083333333333333</v>
      </c>
      <c r="R15">
        <v>12.2</v>
      </c>
      <c r="S15">
        <v>9.1</v>
      </c>
      <c r="T15">
        <v>32.68</v>
      </c>
      <c r="U15">
        <v>14.48</v>
      </c>
      <c r="V15">
        <v>14.48</v>
      </c>
      <c r="W15">
        <v>100</v>
      </c>
      <c r="Y15">
        <v>63</v>
      </c>
      <c r="Z15">
        <v>1.9</v>
      </c>
      <c r="AA15">
        <v>0</v>
      </c>
      <c r="AB15" s="3">
        <v>0.76944444444444449</v>
      </c>
      <c r="AC15">
        <v>11.8</v>
      </c>
      <c r="AD15">
        <v>1.5</v>
      </c>
    </row>
    <row r="16" spans="1:30" x14ac:dyDescent="0.2">
      <c r="A16" t="s">
        <v>38</v>
      </c>
      <c r="C16">
        <v>0</v>
      </c>
      <c r="D16" t="s">
        <v>9</v>
      </c>
      <c r="E16">
        <v>7000</v>
      </c>
      <c r="F16" t="s">
        <v>307</v>
      </c>
      <c r="G16" t="s">
        <v>308</v>
      </c>
      <c r="H16" s="2">
        <v>0.79166666666666663</v>
      </c>
      <c r="I16" t="s">
        <v>306</v>
      </c>
      <c r="J16" s="1">
        <v>0.49399999999999999</v>
      </c>
      <c r="K16">
        <v>-97.5</v>
      </c>
      <c r="L16">
        <v>6</v>
      </c>
      <c r="M16">
        <v>3.37</v>
      </c>
      <c r="N16">
        <v>3</v>
      </c>
      <c r="O16">
        <v>2</v>
      </c>
      <c r="P16">
        <v>1</v>
      </c>
      <c r="Q16" s="3">
        <v>0.85277777777777775</v>
      </c>
      <c r="R16">
        <v>13.1</v>
      </c>
      <c r="S16">
        <v>8.84</v>
      </c>
      <c r="T16">
        <v>32.99</v>
      </c>
      <c r="U16">
        <v>15.31</v>
      </c>
      <c r="V16">
        <v>15.31</v>
      </c>
      <c r="W16">
        <v>100</v>
      </c>
      <c r="Y16">
        <v>66</v>
      </c>
      <c r="Z16">
        <v>2.2000000000000002</v>
      </c>
      <c r="AA16">
        <v>0</v>
      </c>
      <c r="AB16" s="3">
        <v>0.7729166666666667</v>
      </c>
      <c r="AC16">
        <v>6.5</v>
      </c>
      <c r="AD16">
        <v>0.9</v>
      </c>
    </row>
    <row r="17" spans="1:30" x14ac:dyDescent="0.2">
      <c r="A17" t="s">
        <v>6</v>
      </c>
      <c r="C17">
        <v>0</v>
      </c>
      <c r="D17" t="s">
        <v>7</v>
      </c>
      <c r="E17">
        <v>7400</v>
      </c>
      <c r="F17" t="s">
        <v>206</v>
      </c>
      <c r="G17" t="s">
        <v>314</v>
      </c>
      <c r="H17" s="2">
        <v>0.79166666666666663</v>
      </c>
      <c r="I17" t="s">
        <v>313</v>
      </c>
      <c r="J17" s="1">
        <v>0.56699999999999995</v>
      </c>
      <c r="K17">
        <v>76.5</v>
      </c>
      <c r="L17">
        <v>6</v>
      </c>
      <c r="M17">
        <v>3</v>
      </c>
      <c r="N17">
        <v>3.09</v>
      </c>
      <c r="O17" t="s">
        <v>316</v>
      </c>
      <c r="Q17" s="4">
        <v>2.4895833333333335</v>
      </c>
      <c r="R17">
        <v>13.9</v>
      </c>
      <c r="S17">
        <v>12.37</v>
      </c>
      <c r="T17">
        <v>38.46</v>
      </c>
      <c r="U17">
        <v>13.72</v>
      </c>
      <c r="V17">
        <v>13.72</v>
      </c>
      <c r="W17">
        <v>100</v>
      </c>
      <c r="Y17">
        <v>56</v>
      </c>
      <c r="Z17">
        <v>1.9</v>
      </c>
      <c r="AA17">
        <v>0</v>
      </c>
      <c r="AB17" s="4">
        <v>2.4833333333333334</v>
      </c>
      <c r="AC17">
        <v>24.7</v>
      </c>
      <c r="AD17">
        <v>3.3</v>
      </c>
    </row>
    <row r="18" spans="1:30" x14ac:dyDescent="0.2">
      <c r="A18" t="s">
        <v>51</v>
      </c>
      <c r="C18">
        <v>0</v>
      </c>
      <c r="D18" t="s">
        <v>9</v>
      </c>
      <c r="E18">
        <v>6700</v>
      </c>
      <c r="F18" t="s">
        <v>204</v>
      </c>
      <c r="G18" t="s">
        <v>317</v>
      </c>
      <c r="H18" s="2">
        <v>0.85416666666666663</v>
      </c>
      <c r="I18" t="s">
        <v>313</v>
      </c>
      <c r="J18" s="1">
        <v>0.39100000000000001</v>
      </c>
      <c r="K18">
        <v>156</v>
      </c>
      <c r="L18">
        <v>7</v>
      </c>
      <c r="M18">
        <v>3.5</v>
      </c>
      <c r="N18">
        <v>4.4000000000000004</v>
      </c>
      <c r="O18">
        <v>2</v>
      </c>
      <c r="P18">
        <v>1</v>
      </c>
      <c r="Q18" s="3">
        <v>0.72291666666666665</v>
      </c>
      <c r="R18">
        <v>13.3</v>
      </c>
      <c r="S18">
        <v>9.75</v>
      </c>
      <c r="T18">
        <v>33.979999999999997</v>
      </c>
      <c r="U18">
        <v>14.48</v>
      </c>
      <c r="V18">
        <v>14.48</v>
      </c>
      <c r="W18">
        <v>100</v>
      </c>
      <c r="Y18">
        <v>63</v>
      </c>
      <c r="Z18">
        <v>2.2000000000000002</v>
      </c>
      <c r="AA18">
        <v>0</v>
      </c>
      <c r="AB18" s="3">
        <v>0.74652777777777779</v>
      </c>
      <c r="AC18">
        <v>15.5</v>
      </c>
      <c r="AD18">
        <v>2.2999999999999998</v>
      </c>
    </row>
    <row r="19" spans="1:30" x14ac:dyDescent="0.2">
      <c r="A19" t="s">
        <v>86</v>
      </c>
      <c r="C19">
        <v>0</v>
      </c>
      <c r="D19" t="s">
        <v>9</v>
      </c>
      <c r="E19">
        <v>6900</v>
      </c>
      <c r="F19" t="s">
        <v>211</v>
      </c>
      <c r="G19" t="s">
        <v>315</v>
      </c>
      <c r="H19" s="2">
        <v>0.79166666666666663</v>
      </c>
      <c r="I19" t="s">
        <v>313</v>
      </c>
      <c r="J19" s="1">
        <v>0.50600000000000001</v>
      </c>
      <c r="K19">
        <v>97.5</v>
      </c>
      <c r="L19">
        <v>6</v>
      </c>
      <c r="M19">
        <v>3</v>
      </c>
      <c r="N19">
        <v>3.37</v>
      </c>
      <c r="O19">
        <v>1</v>
      </c>
      <c r="P19">
        <v>1</v>
      </c>
      <c r="Q19" s="3">
        <v>0.79861111111111116</v>
      </c>
      <c r="R19">
        <v>11.3</v>
      </c>
      <c r="S19">
        <v>8.83</v>
      </c>
      <c r="T19">
        <v>31.06</v>
      </c>
      <c r="U19">
        <v>13.4</v>
      </c>
      <c r="V19">
        <v>13.4</v>
      </c>
      <c r="W19">
        <v>100</v>
      </c>
      <c r="Y19">
        <v>61</v>
      </c>
      <c r="Z19">
        <v>1.9</v>
      </c>
      <c r="AA19">
        <v>0</v>
      </c>
      <c r="AB19" s="3">
        <v>0.8305555555555556</v>
      </c>
      <c r="AC19">
        <v>1.5</v>
      </c>
      <c r="AD19">
        <v>0.2</v>
      </c>
    </row>
    <row r="20" spans="1:30" x14ac:dyDescent="0.2">
      <c r="A20" t="s">
        <v>23</v>
      </c>
      <c r="C20">
        <v>0</v>
      </c>
      <c r="D20" t="s">
        <v>9</v>
      </c>
      <c r="E20">
        <v>6000</v>
      </c>
      <c r="F20" t="s">
        <v>203</v>
      </c>
      <c r="G20" t="s">
        <v>305</v>
      </c>
      <c r="H20" s="2">
        <v>0.85416666666666663</v>
      </c>
      <c r="I20" t="s">
        <v>306</v>
      </c>
      <c r="J20" s="1">
        <v>0.60899999999999999</v>
      </c>
      <c r="K20">
        <v>-156</v>
      </c>
      <c r="L20">
        <v>7</v>
      </c>
      <c r="M20">
        <v>4.4000000000000004</v>
      </c>
      <c r="N20">
        <v>3.5</v>
      </c>
      <c r="O20">
        <v>1</v>
      </c>
      <c r="P20">
        <v>1</v>
      </c>
      <c r="Q20" s="3">
        <v>0.79166666666666663</v>
      </c>
      <c r="R20">
        <v>8.9</v>
      </c>
      <c r="S20">
        <v>6.9</v>
      </c>
      <c r="T20">
        <v>28.14</v>
      </c>
      <c r="U20">
        <v>14.34</v>
      </c>
      <c r="V20">
        <v>14.34</v>
      </c>
      <c r="W20">
        <v>100</v>
      </c>
      <c r="Y20">
        <v>61</v>
      </c>
      <c r="Z20">
        <v>2.4</v>
      </c>
      <c r="AA20">
        <v>0</v>
      </c>
      <c r="AB20" s="3">
        <v>0.80208333333333337</v>
      </c>
      <c r="AC20">
        <v>6.5</v>
      </c>
      <c r="AD20">
        <v>1.1000000000000001</v>
      </c>
    </row>
    <row r="21" spans="1:30" x14ac:dyDescent="0.2">
      <c r="A21" t="s">
        <v>21</v>
      </c>
      <c r="C21">
        <v>0</v>
      </c>
      <c r="D21" t="s">
        <v>7</v>
      </c>
      <c r="E21">
        <v>8200</v>
      </c>
      <c r="F21" t="s">
        <v>307</v>
      </c>
      <c r="G21" t="s">
        <v>308</v>
      </c>
      <c r="H21" s="2">
        <v>0.79166666666666663</v>
      </c>
      <c r="I21" t="s">
        <v>306</v>
      </c>
      <c r="J21" s="1">
        <v>0.49399999999999999</v>
      </c>
      <c r="K21">
        <v>-97.5</v>
      </c>
      <c r="L21">
        <v>6</v>
      </c>
      <c r="M21">
        <v>3.37</v>
      </c>
      <c r="N21">
        <v>3</v>
      </c>
      <c r="O21" t="s">
        <v>316</v>
      </c>
      <c r="Q21" s="4">
        <v>2.4631944444444445</v>
      </c>
      <c r="R21">
        <v>12.6</v>
      </c>
      <c r="S21">
        <v>8.36</v>
      </c>
      <c r="T21">
        <v>29.7</v>
      </c>
      <c r="U21">
        <v>12.98</v>
      </c>
      <c r="V21">
        <v>12.98</v>
      </c>
      <c r="W21">
        <v>100</v>
      </c>
      <c r="Y21">
        <v>67</v>
      </c>
      <c r="Z21">
        <v>1.6</v>
      </c>
      <c r="AA21">
        <v>0</v>
      </c>
      <c r="AB21" s="4">
        <v>2.5</v>
      </c>
      <c r="AC21">
        <v>29.6</v>
      </c>
      <c r="AD21">
        <v>3.6</v>
      </c>
    </row>
    <row r="22" spans="1:30" x14ac:dyDescent="0.2">
      <c r="A22" t="s">
        <v>30</v>
      </c>
      <c r="C22">
        <v>0</v>
      </c>
      <c r="D22" t="s">
        <v>9</v>
      </c>
      <c r="E22">
        <v>5000</v>
      </c>
      <c r="F22" t="s">
        <v>204</v>
      </c>
      <c r="G22" t="s">
        <v>317</v>
      </c>
      <c r="H22" s="2">
        <v>0.85416666666666663</v>
      </c>
      <c r="I22" t="s">
        <v>313</v>
      </c>
      <c r="J22" s="1">
        <v>0.39100000000000001</v>
      </c>
      <c r="K22">
        <v>156</v>
      </c>
      <c r="L22">
        <v>7</v>
      </c>
      <c r="M22">
        <v>3.5</v>
      </c>
      <c r="N22">
        <v>4.4000000000000004</v>
      </c>
      <c r="O22">
        <v>1</v>
      </c>
      <c r="P22">
        <v>1</v>
      </c>
      <c r="Q22" s="3">
        <v>0.70902777777777781</v>
      </c>
      <c r="R22">
        <v>9.3000000000000007</v>
      </c>
      <c r="S22">
        <v>8.1300000000000008</v>
      </c>
      <c r="T22">
        <v>29.81</v>
      </c>
      <c r="U22">
        <v>13.55</v>
      </c>
      <c r="V22">
        <v>13.55</v>
      </c>
      <c r="W22">
        <v>100</v>
      </c>
      <c r="Y22">
        <v>56</v>
      </c>
      <c r="Z22">
        <v>2.7</v>
      </c>
      <c r="AA22">
        <v>0</v>
      </c>
      <c r="AB22" s="4">
        <v>1.0631944444444446</v>
      </c>
      <c r="AC22">
        <v>23.5</v>
      </c>
      <c r="AD22">
        <v>4.7</v>
      </c>
    </row>
    <row r="23" spans="1:30" x14ac:dyDescent="0.2">
      <c r="A23" t="s">
        <v>73</v>
      </c>
      <c r="C23">
        <v>0</v>
      </c>
      <c r="D23" t="s">
        <v>12</v>
      </c>
      <c r="E23">
        <v>4900</v>
      </c>
      <c r="F23" t="s">
        <v>204</v>
      </c>
      <c r="G23" t="s">
        <v>317</v>
      </c>
      <c r="H23" s="2">
        <v>0.85416666666666663</v>
      </c>
      <c r="I23" t="s">
        <v>313</v>
      </c>
      <c r="J23" s="1">
        <v>0.39100000000000001</v>
      </c>
      <c r="K23">
        <v>156</v>
      </c>
      <c r="L23">
        <v>7</v>
      </c>
      <c r="M23">
        <v>3.5</v>
      </c>
      <c r="N23">
        <v>4.4000000000000004</v>
      </c>
      <c r="O23">
        <v>1</v>
      </c>
      <c r="P23">
        <v>1</v>
      </c>
      <c r="Q23" s="4">
        <v>1.0215277777777778</v>
      </c>
      <c r="R23">
        <v>10.4</v>
      </c>
      <c r="S23">
        <v>6.33</v>
      </c>
      <c r="T23">
        <v>26.48</v>
      </c>
      <c r="U23">
        <v>13.82</v>
      </c>
      <c r="V23">
        <v>13.82</v>
      </c>
      <c r="W23">
        <v>100</v>
      </c>
      <c r="Y23">
        <v>70</v>
      </c>
      <c r="Z23">
        <v>2.8</v>
      </c>
      <c r="AA23">
        <v>0</v>
      </c>
      <c r="AB23" s="4">
        <v>1.0944444444444446</v>
      </c>
      <c r="AC23">
        <v>11.9</v>
      </c>
      <c r="AD23">
        <v>2.4</v>
      </c>
    </row>
    <row r="24" spans="1:30" x14ac:dyDescent="0.2">
      <c r="A24" t="s">
        <v>64</v>
      </c>
      <c r="C24">
        <v>0</v>
      </c>
      <c r="D24" t="s">
        <v>12</v>
      </c>
      <c r="E24">
        <v>4400</v>
      </c>
      <c r="F24" t="s">
        <v>203</v>
      </c>
      <c r="G24" t="s">
        <v>305</v>
      </c>
      <c r="H24" s="2">
        <v>0.85416666666666663</v>
      </c>
      <c r="I24" t="s">
        <v>306</v>
      </c>
      <c r="J24" s="1">
        <v>0.60899999999999999</v>
      </c>
      <c r="K24">
        <v>-156</v>
      </c>
      <c r="L24">
        <v>7</v>
      </c>
      <c r="M24">
        <v>4.4000000000000004</v>
      </c>
      <c r="N24">
        <v>3.5</v>
      </c>
      <c r="O24">
        <v>2</v>
      </c>
      <c r="Q24" s="3">
        <v>0.86597222222222225</v>
      </c>
      <c r="R24">
        <v>9.5</v>
      </c>
      <c r="S24">
        <v>5.28</v>
      </c>
      <c r="T24">
        <v>23.96</v>
      </c>
      <c r="U24">
        <v>13.4</v>
      </c>
      <c r="V24">
        <v>13.4</v>
      </c>
      <c r="W24">
        <v>100</v>
      </c>
      <c r="Y24">
        <v>72</v>
      </c>
      <c r="Z24">
        <v>3</v>
      </c>
      <c r="AA24">
        <v>0</v>
      </c>
      <c r="AB24" s="3">
        <v>0.93263888888888891</v>
      </c>
      <c r="AC24">
        <v>14.1</v>
      </c>
      <c r="AD24">
        <v>3.2</v>
      </c>
    </row>
    <row r="25" spans="1:30" x14ac:dyDescent="0.2">
      <c r="A25" t="s">
        <v>76</v>
      </c>
      <c r="C25">
        <v>0</v>
      </c>
      <c r="D25" t="s">
        <v>5</v>
      </c>
      <c r="E25">
        <v>3900</v>
      </c>
      <c r="F25" t="s">
        <v>203</v>
      </c>
      <c r="G25" t="s">
        <v>305</v>
      </c>
      <c r="H25" s="2">
        <v>0.85416666666666663</v>
      </c>
      <c r="I25" t="s">
        <v>306</v>
      </c>
      <c r="J25" s="1">
        <v>0.60899999999999999</v>
      </c>
      <c r="K25">
        <v>-156</v>
      </c>
      <c r="L25">
        <v>7</v>
      </c>
      <c r="M25">
        <v>4.4000000000000004</v>
      </c>
      <c r="N25">
        <v>3.5</v>
      </c>
      <c r="O25">
        <v>3</v>
      </c>
      <c r="P25">
        <v>2</v>
      </c>
      <c r="Q25" s="3">
        <v>0.67638888888888893</v>
      </c>
      <c r="R25">
        <v>7.6</v>
      </c>
      <c r="S25">
        <v>6.64</v>
      </c>
      <c r="T25">
        <v>26.53</v>
      </c>
      <c r="U25">
        <v>13.25</v>
      </c>
      <c r="V25">
        <v>13.25</v>
      </c>
      <c r="W25">
        <v>100</v>
      </c>
      <c r="Y25">
        <v>56</v>
      </c>
      <c r="Z25">
        <v>3.4</v>
      </c>
      <c r="AA25">
        <v>0</v>
      </c>
      <c r="AB25" s="3">
        <v>0.46736111111111112</v>
      </c>
      <c r="AC25">
        <v>4.5</v>
      </c>
      <c r="AD25">
        <v>1.2</v>
      </c>
    </row>
    <row r="26" spans="1:30" x14ac:dyDescent="0.2">
      <c r="A26" t="s">
        <v>26</v>
      </c>
      <c r="C26">
        <v>0</v>
      </c>
      <c r="D26" t="s">
        <v>7</v>
      </c>
      <c r="E26">
        <v>8400</v>
      </c>
      <c r="F26" t="s">
        <v>203</v>
      </c>
      <c r="G26" t="s">
        <v>305</v>
      </c>
      <c r="H26" s="2">
        <v>0.85416666666666663</v>
      </c>
      <c r="I26" t="s">
        <v>306</v>
      </c>
      <c r="J26" s="1">
        <v>0.60899999999999999</v>
      </c>
      <c r="K26">
        <v>-156</v>
      </c>
      <c r="L26">
        <v>7</v>
      </c>
      <c r="M26">
        <v>4.4000000000000004</v>
      </c>
      <c r="N26">
        <v>3.5</v>
      </c>
      <c r="O26" t="s">
        <v>316</v>
      </c>
      <c r="Q26" s="4">
        <v>2.2888888888888888</v>
      </c>
      <c r="R26">
        <v>11.5</v>
      </c>
      <c r="S26">
        <v>10.9</v>
      </c>
      <c r="T26">
        <v>33.65</v>
      </c>
      <c r="U26">
        <v>11.85</v>
      </c>
      <c r="V26">
        <v>11.85</v>
      </c>
      <c r="W26">
        <v>100</v>
      </c>
      <c r="Y26">
        <v>53</v>
      </c>
      <c r="Z26">
        <v>1.4</v>
      </c>
      <c r="AA26">
        <v>0</v>
      </c>
      <c r="AB26" s="4">
        <v>2.5</v>
      </c>
      <c r="AC26">
        <v>20.2</v>
      </c>
      <c r="AD26">
        <v>2.4</v>
      </c>
    </row>
    <row r="27" spans="1:30" x14ac:dyDescent="0.2">
      <c r="A27" t="s">
        <v>318</v>
      </c>
      <c r="C27">
        <v>0</v>
      </c>
      <c r="D27" t="s">
        <v>7</v>
      </c>
      <c r="E27">
        <v>7900</v>
      </c>
      <c r="F27" t="s">
        <v>319</v>
      </c>
      <c r="G27" t="s">
        <v>320</v>
      </c>
      <c r="H27" s="2">
        <v>0.79166666666666663</v>
      </c>
      <c r="I27" t="s">
        <v>313</v>
      </c>
      <c r="J27" s="1">
        <v>0.57999999999999996</v>
      </c>
      <c r="K27">
        <v>72.5</v>
      </c>
      <c r="L27">
        <v>6</v>
      </c>
      <c r="M27">
        <v>3</v>
      </c>
      <c r="N27">
        <v>3.06</v>
      </c>
      <c r="O27" t="s">
        <v>321</v>
      </c>
      <c r="Q27" s="4">
        <v>2.4055555555555554</v>
      </c>
      <c r="R27">
        <v>10.5</v>
      </c>
      <c r="S27">
        <v>8.7100000000000009</v>
      </c>
      <c r="T27">
        <v>28.63</v>
      </c>
      <c r="U27">
        <v>11.21</v>
      </c>
      <c r="V27">
        <v>11.21</v>
      </c>
      <c r="W27">
        <v>100</v>
      </c>
      <c r="Y27">
        <v>59</v>
      </c>
      <c r="Z27">
        <v>1.4</v>
      </c>
      <c r="AA27">
        <v>0</v>
      </c>
    </row>
    <row r="28" spans="1:30" x14ac:dyDescent="0.2">
      <c r="A28" t="s">
        <v>118</v>
      </c>
      <c r="C28">
        <v>0</v>
      </c>
      <c r="D28" t="s">
        <v>7</v>
      </c>
      <c r="E28">
        <v>7000</v>
      </c>
      <c r="F28" t="s">
        <v>204</v>
      </c>
      <c r="G28" t="s">
        <v>317</v>
      </c>
      <c r="H28" s="2">
        <v>0.85416666666666663</v>
      </c>
      <c r="I28" t="s">
        <v>313</v>
      </c>
      <c r="J28" s="1">
        <v>0.39100000000000001</v>
      </c>
      <c r="K28">
        <v>156</v>
      </c>
      <c r="L28">
        <v>7</v>
      </c>
      <c r="M28">
        <v>3.5</v>
      </c>
      <c r="N28">
        <v>4.4000000000000004</v>
      </c>
      <c r="O28" t="s">
        <v>316</v>
      </c>
      <c r="Q28" s="4">
        <v>2.2895833333333333</v>
      </c>
      <c r="R28">
        <v>9.6</v>
      </c>
      <c r="S28">
        <v>9.1</v>
      </c>
      <c r="T28">
        <v>30.35</v>
      </c>
      <c r="U28">
        <v>12.15</v>
      </c>
      <c r="V28">
        <v>12.15</v>
      </c>
      <c r="W28">
        <v>100</v>
      </c>
      <c r="Y28">
        <v>53</v>
      </c>
      <c r="Z28">
        <v>1.7</v>
      </c>
      <c r="AA28">
        <v>0</v>
      </c>
      <c r="AB28" s="4">
        <v>2.4006944444444445</v>
      </c>
      <c r="AC28">
        <v>0</v>
      </c>
    </row>
    <row r="29" spans="1:30" x14ac:dyDescent="0.2">
      <c r="A29" t="s">
        <v>151</v>
      </c>
      <c r="C29">
        <v>0</v>
      </c>
      <c r="D29" t="s">
        <v>9</v>
      </c>
      <c r="E29">
        <v>6600</v>
      </c>
      <c r="F29" t="s">
        <v>310</v>
      </c>
      <c r="G29" t="s">
        <v>311</v>
      </c>
      <c r="H29" s="2">
        <v>0.79166666666666663</v>
      </c>
      <c r="I29" t="s">
        <v>306</v>
      </c>
      <c r="J29" s="1">
        <v>0.42</v>
      </c>
      <c r="K29">
        <v>-72.5</v>
      </c>
      <c r="L29">
        <v>6</v>
      </c>
      <c r="M29">
        <v>3.06</v>
      </c>
      <c r="N29">
        <v>3</v>
      </c>
      <c r="O29">
        <v>1</v>
      </c>
      <c r="P29">
        <v>1</v>
      </c>
      <c r="Q29" s="3">
        <v>0.78333333333333333</v>
      </c>
      <c r="R29">
        <v>11.9</v>
      </c>
      <c r="S29">
        <v>7.99</v>
      </c>
      <c r="T29">
        <v>28.24</v>
      </c>
      <c r="U29">
        <v>12.26</v>
      </c>
      <c r="V29">
        <v>12.26</v>
      </c>
      <c r="W29">
        <v>100</v>
      </c>
      <c r="Y29">
        <v>66</v>
      </c>
      <c r="Z29">
        <v>1.9</v>
      </c>
      <c r="AA29">
        <v>0</v>
      </c>
    </row>
    <row r="30" spans="1:30" x14ac:dyDescent="0.2">
      <c r="A30" t="s">
        <v>16</v>
      </c>
      <c r="C30">
        <v>0</v>
      </c>
      <c r="D30" t="s">
        <v>12</v>
      </c>
      <c r="E30">
        <v>5000</v>
      </c>
      <c r="F30" t="s">
        <v>200</v>
      </c>
      <c r="G30" t="s">
        <v>309</v>
      </c>
      <c r="H30" s="2">
        <v>0.79166666666666663</v>
      </c>
      <c r="I30" t="s">
        <v>306</v>
      </c>
      <c r="J30" s="1">
        <v>0.45500000000000002</v>
      </c>
      <c r="K30">
        <v>-83.5</v>
      </c>
      <c r="L30">
        <v>6.5</v>
      </c>
      <c r="M30">
        <v>3.25</v>
      </c>
      <c r="N30">
        <v>3.2</v>
      </c>
      <c r="O30">
        <v>1</v>
      </c>
      <c r="P30">
        <v>1</v>
      </c>
      <c r="Q30" s="3">
        <v>0.99930555555555556</v>
      </c>
      <c r="R30">
        <v>10.199999999999999</v>
      </c>
      <c r="S30">
        <v>5.54</v>
      </c>
      <c r="T30">
        <v>24.18</v>
      </c>
      <c r="U30">
        <v>13.1</v>
      </c>
      <c r="V30">
        <v>13.1</v>
      </c>
      <c r="W30">
        <v>100</v>
      </c>
      <c r="Y30">
        <v>73</v>
      </c>
      <c r="Z30">
        <v>2.6</v>
      </c>
      <c r="AA30">
        <v>0</v>
      </c>
      <c r="AB30" s="4">
        <v>1.0048611111111112</v>
      </c>
      <c r="AC30">
        <v>8</v>
      </c>
      <c r="AD30">
        <v>1.6</v>
      </c>
    </row>
    <row r="31" spans="1:30" x14ac:dyDescent="0.2">
      <c r="A31" t="s">
        <v>20</v>
      </c>
      <c r="C31">
        <v>0</v>
      </c>
      <c r="D31" t="s">
        <v>7</v>
      </c>
      <c r="E31">
        <v>7800</v>
      </c>
      <c r="F31" t="s">
        <v>200</v>
      </c>
      <c r="G31" t="s">
        <v>309</v>
      </c>
      <c r="H31" s="2">
        <v>0.79166666666666663</v>
      </c>
      <c r="I31" t="s">
        <v>306</v>
      </c>
      <c r="J31" s="1">
        <v>0.45500000000000002</v>
      </c>
      <c r="K31">
        <v>-83.5</v>
      </c>
      <c r="L31">
        <v>6.5</v>
      </c>
      <c r="M31">
        <v>3.25</v>
      </c>
      <c r="N31">
        <v>3.2</v>
      </c>
      <c r="O31" t="s">
        <v>316</v>
      </c>
      <c r="Q31" s="4">
        <v>2.2437499999999999</v>
      </c>
      <c r="R31">
        <v>11.6</v>
      </c>
      <c r="S31">
        <v>10.63</v>
      </c>
      <c r="T31">
        <v>32.35</v>
      </c>
      <c r="U31">
        <v>11.09</v>
      </c>
      <c r="V31">
        <v>11.09</v>
      </c>
      <c r="W31">
        <v>100</v>
      </c>
      <c r="Y31">
        <v>54</v>
      </c>
      <c r="Z31">
        <v>1.4</v>
      </c>
      <c r="AA31">
        <v>0</v>
      </c>
      <c r="AB31" s="4">
        <v>2.6451388888888889</v>
      </c>
      <c r="AC31">
        <v>4.8</v>
      </c>
      <c r="AD31">
        <v>0.6</v>
      </c>
    </row>
    <row r="32" spans="1:30" x14ac:dyDescent="0.2">
      <c r="A32" t="s">
        <v>88</v>
      </c>
      <c r="C32">
        <v>0</v>
      </c>
      <c r="D32" t="s">
        <v>5</v>
      </c>
      <c r="E32">
        <v>6100</v>
      </c>
      <c r="F32" t="s">
        <v>211</v>
      </c>
      <c r="G32" t="s">
        <v>315</v>
      </c>
      <c r="H32" s="2">
        <v>0.79166666666666663</v>
      </c>
      <c r="I32" t="s">
        <v>313</v>
      </c>
      <c r="J32" s="1">
        <v>0.50600000000000001</v>
      </c>
      <c r="K32">
        <v>97.5</v>
      </c>
      <c r="L32">
        <v>6</v>
      </c>
      <c r="M32">
        <v>3</v>
      </c>
      <c r="N32">
        <v>3.37</v>
      </c>
      <c r="O32">
        <v>1</v>
      </c>
      <c r="P32">
        <v>1</v>
      </c>
      <c r="Q32" s="3">
        <v>0.81874999999999998</v>
      </c>
      <c r="R32">
        <v>10.7</v>
      </c>
      <c r="S32">
        <v>9.9</v>
      </c>
      <c r="T32">
        <v>31.08</v>
      </c>
      <c r="U32">
        <v>11.28</v>
      </c>
      <c r="V32">
        <v>11.28</v>
      </c>
      <c r="W32">
        <v>100</v>
      </c>
      <c r="Y32">
        <v>54</v>
      </c>
      <c r="Z32">
        <v>1.8</v>
      </c>
      <c r="AA32">
        <v>0</v>
      </c>
      <c r="AB32" s="3">
        <v>0.92638888888888893</v>
      </c>
      <c r="AC32">
        <v>0</v>
      </c>
    </row>
    <row r="33" spans="1:30" x14ac:dyDescent="0.2">
      <c r="A33" t="s">
        <v>41</v>
      </c>
      <c r="C33">
        <v>0</v>
      </c>
      <c r="D33" t="s">
        <v>5</v>
      </c>
      <c r="E33">
        <v>5800</v>
      </c>
      <c r="F33" t="s">
        <v>207</v>
      </c>
      <c r="G33" t="s">
        <v>312</v>
      </c>
      <c r="H33" s="2">
        <v>0.79166666666666663</v>
      </c>
      <c r="I33" t="s">
        <v>313</v>
      </c>
      <c r="J33" s="1">
        <v>0.54500000000000004</v>
      </c>
      <c r="K33">
        <v>83.5</v>
      </c>
      <c r="L33">
        <v>6.5</v>
      </c>
      <c r="M33">
        <v>3.2</v>
      </c>
      <c r="N33">
        <v>3.25</v>
      </c>
      <c r="O33">
        <v>1</v>
      </c>
      <c r="P33">
        <v>1</v>
      </c>
      <c r="Q33" s="3">
        <v>0.87152777777777779</v>
      </c>
      <c r="R33">
        <v>9</v>
      </c>
      <c r="S33">
        <v>6.24</v>
      </c>
      <c r="T33">
        <v>23.85</v>
      </c>
      <c r="U33">
        <v>11.37</v>
      </c>
      <c r="V33">
        <v>11.37</v>
      </c>
      <c r="W33">
        <v>100</v>
      </c>
      <c r="Y33">
        <v>65</v>
      </c>
      <c r="Z33">
        <v>2</v>
      </c>
      <c r="AA33">
        <v>0</v>
      </c>
      <c r="AB33" s="4">
        <v>1.0458333333333334</v>
      </c>
      <c r="AC33">
        <v>10.5</v>
      </c>
      <c r="AD33">
        <v>1.8</v>
      </c>
    </row>
    <row r="34" spans="1:30" x14ac:dyDescent="0.2">
      <c r="A34" t="s">
        <v>68</v>
      </c>
      <c r="C34">
        <v>0</v>
      </c>
      <c r="D34" t="s">
        <v>12</v>
      </c>
      <c r="E34">
        <v>5700</v>
      </c>
      <c r="F34" t="s">
        <v>211</v>
      </c>
      <c r="G34" t="s">
        <v>315</v>
      </c>
      <c r="H34" s="2">
        <v>0.79166666666666663</v>
      </c>
      <c r="I34" t="s">
        <v>313</v>
      </c>
      <c r="J34" s="1">
        <v>0.50600000000000001</v>
      </c>
      <c r="K34">
        <v>97.5</v>
      </c>
      <c r="L34">
        <v>6</v>
      </c>
      <c r="M34">
        <v>3</v>
      </c>
      <c r="N34">
        <v>3.37</v>
      </c>
      <c r="O34">
        <v>1</v>
      </c>
      <c r="P34">
        <v>1</v>
      </c>
      <c r="Q34" s="4">
        <v>1.0111111111111111</v>
      </c>
      <c r="R34">
        <v>10.8</v>
      </c>
      <c r="S34">
        <v>6.67</v>
      </c>
      <c r="T34">
        <v>25.22</v>
      </c>
      <c r="U34">
        <v>11.88</v>
      </c>
      <c r="V34">
        <v>11.88</v>
      </c>
      <c r="W34">
        <v>100</v>
      </c>
      <c r="Y34">
        <v>69</v>
      </c>
      <c r="Z34">
        <v>2.1</v>
      </c>
      <c r="AA34">
        <v>0</v>
      </c>
      <c r="AB34" s="4">
        <v>1.0444444444444445</v>
      </c>
      <c r="AC34">
        <v>4.3</v>
      </c>
      <c r="AD34">
        <v>0.8</v>
      </c>
    </row>
    <row r="35" spans="1:30" x14ac:dyDescent="0.2">
      <c r="A35" t="s">
        <v>61</v>
      </c>
      <c r="C35">
        <v>0</v>
      </c>
      <c r="D35" t="s">
        <v>9</v>
      </c>
      <c r="E35">
        <v>5600</v>
      </c>
      <c r="F35" t="s">
        <v>214</v>
      </c>
      <c r="G35" t="s">
        <v>322</v>
      </c>
      <c r="H35" s="2">
        <v>0.79166666666666663</v>
      </c>
      <c r="I35" t="s">
        <v>306</v>
      </c>
      <c r="J35" s="1">
        <v>0.433</v>
      </c>
      <c r="K35">
        <v>-76.5</v>
      </c>
      <c r="L35">
        <v>6</v>
      </c>
      <c r="M35">
        <v>3.09</v>
      </c>
      <c r="N35">
        <v>3</v>
      </c>
      <c r="O35">
        <v>1</v>
      </c>
      <c r="P35">
        <v>1</v>
      </c>
      <c r="Q35" s="3">
        <v>0.78541666666666665</v>
      </c>
      <c r="R35">
        <v>10.6</v>
      </c>
      <c r="S35">
        <v>7.13</v>
      </c>
      <c r="T35">
        <v>26.52</v>
      </c>
      <c r="U35">
        <v>12.26</v>
      </c>
      <c r="V35">
        <v>12.26</v>
      </c>
      <c r="W35">
        <v>100</v>
      </c>
      <c r="Y35">
        <v>66</v>
      </c>
      <c r="Z35">
        <v>2.2000000000000002</v>
      </c>
      <c r="AA35">
        <v>0</v>
      </c>
      <c r="AB35" s="3">
        <v>0.62569444444444444</v>
      </c>
      <c r="AC35">
        <v>1.5</v>
      </c>
      <c r="AD35">
        <v>0.3</v>
      </c>
    </row>
    <row r="36" spans="1:30" x14ac:dyDescent="0.2">
      <c r="A36" t="s">
        <v>15</v>
      </c>
      <c r="C36">
        <v>0</v>
      </c>
      <c r="D36" t="s">
        <v>9</v>
      </c>
      <c r="E36">
        <v>5200</v>
      </c>
      <c r="F36" t="s">
        <v>200</v>
      </c>
      <c r="G36" t="s">
        <v>309</v>
      </c>
      <c r="H36" s="2">
        <v>0.79166666666666663</v>
      </c>
      <c r="I36" t="s">
        <v>306</v>
      </c>
      <c r="J36" s="1">
        <v>0.45500000000000002</v>
      </c>
      <c r="K36">
        <v>-83.5</v>
      </c>
      <c r="L36">
        <v>6.5</v>
      </c>
      <c r="M36">
        <v>3.25</v>
      </c>
      <c r="N36">
        <v>3.2</v>
      </c>
      <c r="O36">
        <v>1</v>
      </c>
      <c r="P36">
        <v>1</v>
      </c>
      <c r="Q36" s="3">
        <v>0.71736111111111112</v>
      </c>
      <c r="R36">
        <v>10.4</v>
      </c>
      <c r="S36">
        <v>7.63</v>
      </c>
      <c r="T36">
        <v>27.62</v>
      </c>
      <c r="U36">
        <v>12.36</v>
      </c>
      <c r="V36">
        <v>12.36</v>
      </c>
      <c r="W36">
        <v>100</v>
      </c>
      <c r="Y36">
        <v>63</v>
      </c>
      <c r="Z36">
        <v>2.4</v>
      </c>
      <c r="AA36">
        <v>0</v>
      </c>
      <c r="AB36" s="3">
        <v>0.80069444444444449</v>
      </c>
      <c r="AC36">
        <v>15.8</v>
      </c>
      <c r="AD36">
        <v>3</v>
      </c>
    </row>
    <row r="37" spans="1:30" x14ac:dyDescent="0.2">
      <c r="A37" t="s">
        <v>155</v>
      </c>
      <c r="C37">
        <v>0</v>
      </c>
      <c r="D37" t="s">
        <v>12</v>
      </c>
      <c r="E37">
        <v>4800</v>
      </c>
      <c r="F37" t="s">
        <v>319</v>
      </c>
      <c r="G37" t="s">
        <v>320</v>
      </c>
      <c r="H37" s="2">
        <v>0.79166666666666663</v>
      </c>
      <c r="I37" t="s">
        <v>313</v>
      </c>
      <c r="J37" s="1">
        <v>0.57999999999999996</v>
      </c>
      <c r="K37">
        <v>72.5</v>
      </c>
      <c r="L37">
        <v>6</v>
      </c>
      <c r="M37">
        <v>3</v>
      </c>
      <c r="N37">
        <v>3.06</v>
      </c>
      <c r="O37">
        <v>2</v>
      </c>
      <c r="P37">
        <v>1</v>
      </c>
      <c r="Q37" s="3">
        <v>0.7895833333333333</v>
      </c>
      <c r="R37">
        <v>9.5</v>
      </c>
      <c r="S37">
        <v>6.06</v>
      </c>
      <c r="T37">
        <v>23.91</v>
      </c>
      <c r="U37">
        <v>11.79</v>
      </c>
      <c r="V37">
        <v>11.79</v>
      </c>
      <c r="W37">
        <v>100</v>
      </c>
      <c r="Y37">
        <v>68</v>
      </c>
      <c r="Z37">
        <v>2.5</v>
      </c>
      <c r="AA37">
        <v>0</v>
      </c>
    </row>
    <row r="38" spans="1:30" x14ac:dyDescent="0.2">
      <c r="A38" t="s">
        <v>27</v>
      </c>
      <c r="C38">
        <v>0</v>
      </c>
      <c r="D38" t="s">
        <v>5</v>
      </c>
      <c r="E38">
        <v>4500</v>
      </c>
      <c r="F38" t="s">
        <v>204</v>
      </c>
      <c r="G38" t="s">
        <v>317</v>
      </c>
      <c r="H38" s="2">
        <v>0.85416666666666663</v>
      </c>
      <c r="I38" t="s">
        <v>313</v>
      </c>
      <c r="J38" s="1">
        <v>0.39100000000000001</v>
      </c>
      <c r="K38">
        <v>156</v>
      </c>
      <c r="L38">
        <v>7</v>
      </c>
      <c r="M38">
        <v>3.5</v>
      </c>
      <c r="N38">
        <v>4.4000000000000004</v>
      </c>
      <c r="O38">
        <v>1</v>
      </c>
      <c r="P38">
        <v>1</v>
      </c>
      <c r="Q38" s="3">
        <v>0.77569444444444446</v>
      </c>
      <c r="R38">
        <v>8.8000000000000007</v>
      </c>
      <c r="S38">
        <v>8.56</v>
      </c>
      <c r="T38">
        <v>29.14</v>
      </c>
      <c r="U38">
        <v>12.02</v>
      </c>
      <c r="V38">
        <v>12.02</v>
      </c>
      <c r="W38">
        <v>100</v>
      </c>
      <c r="Y38">
        <v>51</v>
      </c>
      <c r="Z38">
        <v>2.7</v>
      </c>
      <c r="AA38">
        <v>0</v>
      </c>
      <c r="AB38" s="4">
        <v>1.0118055555555556</v>
      </c>
      <c r="AC38">
        <v>43.3</v>
      </c>
      <c r="AD38">
        <v>9.6</v>
      </c>
    </row>
    <row r="39" spans="1:30" x14ac:dyDescent="0.2">
      <c r="A39" t="s">
        <v>8</v>
      </c>
      <c r="C39">
        <v>0</v>
      </c>
      <c r="D39" t="s">
        <v>9</v>
      </c>
      <c r="E39">
        <v>4400</v>
      </c>
      <c r="F39" t="s">
        <v>200</v>
      </c>
      <c r="G39" t="s">
        <v>309</v>
      </c>
      <c r="H39" s="2">
        <v>0.79166666666666663</v>
      </c>
      <c r="I39" t="s">
        <v>306</v>
      </c>
      <c r="J39" s="1">
        <v>0.45500000000000002</v>
      </c>
      <c r="K39">
        <v>-83.5</v>
      </c>
      <c r="L39">
        <v>6.5</v>
      </c>
      <c r="M39">
        <v>3.25</v>
      </c>
      <c r="N39">
        <v>3.2</v>
      </c>
      <c r="O39">
        <v>2</v>
      </c>
      <c r="P39">
        <v>2</v>
      </c>
      <c r="Q39" s="3">
        <v>0.60069444444444442</v>
      </c>
      <c r="R39">
        <v>9.3000000000000007</v>
      </c>
      <c r="S39">
        <v>6.3</v>
      </c>
      <c r="T39">
        <v>25.27</v>
      </c>
      <c r="U39">
        <v>12.67</v>
      </c>
      <c r="V39">
        <v>12.67</v>
      </c>
      <c r="W39">
        <v>100</v>
      </c>
      <c r="Y39">
        <v>66</v>
      </c>
      <c r="Z39">
        <v>2.9</v>
      </c>
      <c r="AA39">
        <v>0</v>
      </c>
      <c r="AB39" s="3">
        <v>0.53125</v>
      </c>
      <c r="AC39">
        <v>0</v>
      </c>
    </row>
    <row r="40" spans="1:30" x14ac:dyDescent="0.2">
      <c r="A40" t="s">
        <v>34</v>
      </c>
      <c r="C40">
        <v>0</v>
      </c>
      <c r="D40" t="s">
        <v>9</v>
      </c>
      <c r="E40">
        <v>5700</v>
      </c>
      <c r="F40" t="s">
        <v>207</v>
      </c>
      <c r="G40" t="s">
        <v>312</v>
      </c>
      <c r="H40" s="2">
        <v>0.79166666666666663</v>
      </c>
      <c r="I40" t="s">
        <v>313</v>
      </c>
      <c r="J40" s="1">
        <v>0.54500000000000004</v>
      </c>
      <c r="K40">
        <v>83.5</v>
      </c>
      <c r="L40">
        <v>6.5</v>
      </c>
      <c r="M40">
        <v>3.2</v>
      </c>
      <c r="N40">
        <v>3.25</v>
      </c>
      <c r="O40">
        <v>2</v>
      </c>
      <c r="P40">
        <v>1</v>
      </c>
      <c r="Q40" s="3">
        <v>0.85763888888888884</v>
      </c>
      <c r="R40">
        <v>9.1</v>
      </c>
      <c r="S40">
        <v>7.26</v>
      </c>
      <c r="T40">
        <v>25.5</v>
      </c>
      <c r="U40">
        <v>10.98</v>
      </c>
      <c r="V40">
        <v>10.98</v>
      </c>
      <c r="W40">
        <v>100</v>
      </c>
      <c r="Y40">
        <v>60</v>
      </c>
      <c r="Z40">
        <v>1.9</v>
      </c>
      <c r="AA40">
        <v>0</v>
      </c>
      <c r="AB40" s="3">
        <v>0.8833333333333333</v>
      </c>
      <c r="AC40">
        <v>11.3</v>
      </c>
      <c r="AD40">
        <v>2</v>
      </c>
    </row>
    <row r="41" spans="1:30" x14ac:dyDescent="0.2">
      <c r="A41" t="s">
        <v>72</v>
      </c>
      <c r="C41">
        <v>0</v>
      </c>
      <c r="D41" t="s">
        <v>9</v>
      </c>
      <c r="E41">
        <v>5100</v>
      </c>
      <c r="F41" t="s">
        <v>214</v>
      </c>
      <c r="G41" t="s">
        <v>322</v>
      </c>
      <c r="H41" s="2">
        <v>0.79166666666666663</v>
      </c>
      <c r="I41" t="s">
        <v>306</v>
      </c>
      <c r="J41" s="1">
        <v>0.433</v>
      </c>
      <c r="K41">
        <v>-76.5</v>
      </c>
      <c r="L41">
        <v>6</v>
      </c>
      <c r="M41">
        <v>3.09</v>
      </c>
      <c r="N41">
        <v>3</v>
      </c>
      <c r="O41">
        <v>2</v>
      </c>
      <c r="P41">
        <v>2</v>
      </c>
      <c r="Q41" s="3">
        <v>0.68194444444444446</v>
      </c>
      <c r="R41">
        <v>9.4</v>
      </c>
      <c r="S41">
        <v>9.56</v>
      </c>
      <c r="T41">
        <v>30.77</v>
      </c>
      <c r="U41">
        <v>11.65</v>
      </c>
      <c r="V41">
        <v>11.65</v>
      </c>
      <c r="W41">
        <v>100</v>
      </c>
      <c r="Y41">
        <v>49</v>
      </c>
      <c r="Z41">
        <v>2.2999999999999998</v>
      </c>
      <c r="AA41">
        <v>0</v>
      </c>
      <c r="AB41" s="3">
        <v>0.73333333333333328</v>
      </c>
      <c r="AC41">
        <v>6</v>
      </c>
      <c r="AD41">
        <v>1.2</v>
      </c>
    </row>
    <row r="42" spans="1:30" x14ac:dyDescent="0.2">
      <c r="A42" t="s">
        <v>18</v>
      </c>
      <c r="C42">
        <v>0</v>
      </c>
      <c r="D42" t="s">
        <v>12</v>
      </c>
      <c r="E42">
        <v>3800</v>
      </c>
      <c r="F42" t="s">
        <v>203</v>
      </c>
      <c r="G42" t="s">
        <v>305</v>
      </c>
      <c r="H42" s="2">
        <v>0.85416666666666663</v>
      </c>
      <c r="I42" t="s">
        <v>306</v>
      </c>
      <c r="J42" s="1">
        <v>0.60899999999999999</v>
      </c>
      <c r="K42">
        <v>-156</v>
      </c>
      <c r="L42">
        <v>7</v>
      </c>
      <c r="M42">
        <v>4.4000000000000004</v>
      </c>
      <c r="N42">
        <v>3.5</v>
      </c>
      <c r="O42">
        <v>1</v>
      </c>
      <c r="P42">
        <v>2</v>
      </c>
      <c r="Q42" s="3">
        <v>0.86527777777777781</v>
      </c>
      <c r="R42">
        <v>7.7</v>
      </c>
      <c r="S42">
        <v>4.6399999999999997</v>
      </c>
      <c r="T42">
        <v>21.07</v>
      </c>
      <c r="U42">
        <v>11.79</v>
      </c>
      <c r="V42">
        <v>11.79</v>
      </c>
      <c r="W42">
        <v>100</v>
      </c>
      <c r="Y42">
        <v>70</v>
      </c>
      <c r="Z42">
        <v>3.1</v>
      </c>
      <c r="AA42">
        <v>0</v>
      </c>
      <c r="AB42" s="3">
        <v>0.83194444444444449</v>
      </c>
      <c r="AC42">
        <v>40.1</v>
      </c>
      <c r="AD42">
        <v>10.6</v>
      </c>
    </row>
    <row r="43" spans="1:30" x14ac:dyDescent="0.2">
      <c r="A43" t="s">
        <v>81</v>
      </c>
      <c r="C43">
        <v>0</v>
      </c>
      <c r="D43" t="s">
        <v>7</v>
      </c>
      <c r="E43">
        <v>7200</v>
      </c>
      <c r="F43" t="s">
        <v>211</v>
      </c>
      <c r="G43" t="s">
        <v>315</v>
      </c>
      <c r="H43" s="2">
        <v>0.79166666666666663</v>
      </c>
      <c r="I43" t="s">
        <v>313</v>
      </c>
      <c r="J43" s="1">
        <v>0.50600000000000001</v>
      </c>
      <c r="K43">
        <v>97.5</v>
      </c>
      <c r="L43">
        <v>6</v>
      </c>
      <c r="M43">
        <v>3</v>
      </c>
      <c r="N43">
        <v>3.37</v>
      </c>
      <c r="Q43" s="4">
        <v>2.4451388888888888</v>
      </c>
      <c r="R43">
        <v>10.8</v>
      </c>
      <c r="S43">
        <v>9.07</v>
      </c>
      <c r="T43">
        <v>28.69</v>
      </c>
      <c r="U43">
        <v>10.55</v>
      </c>
      <c r="V43">
        <v>10.55</v>
      </c>
      <c r="W43">
        <v>100</v>
      </c>
      <c r="Y43">
        <v>58</v>
      </c>
      <c r="Z43">
        <v>1.5</v>
      </c>
      <c r="AA43">
        <v>0</v>
      </c>
      <c r="AB43" s="4">
        <v>2.5</v>
      </c>
      <c r="AC43">
        <v>11.9</v>
      </c>
      <c r="AD43">
        <v>1.7</v>
      </c>
    </row>
    <row r="44" spans="1:30" x14ac:dyDescent="0.2">
      <c r="A44" t="s">
        <v>323</v>
      </c>
      <c r="C44">
        <v>0</v>
      </c>
      <c r="D44" t="s">
        <v>7</v>
      </c>
      <c r="E44">
        <v>7000</v>
      </c>
      <c r="F44" t="s">
        <v>211</v>
      </c>
      <c r="G44" t="s">
        <v>315</v>
      </c>
      <c r="H44" s="2">
        <v>0.79166666666666663</v>
      </c>
      <c r="I44" t="s">
        <v>313</v>
      </c>
      <c r="J44" s="1">
        <v>0.50600000000000001</v>
      </c>
      <c r="K44">
        <v>97.5</v>
      </c>
      <c r="L44">
        <v>6</v>
      </c>
      <c r="M44">
        <v>3</v>
      </c>
      <c r="N44">
        <v>3.37</v>
      </c>
      <c r="T44">
        <v>10.66</v>
      </c>
      <c r="U44">
        <v>10.66</v>
      </c>
      <c r="V44">
        <v>10.66</v>
      </c>
      <c r="W44">
        <v>100</v>
      </c>
      <c r="Y44">
        <v>0</v>
      </c>
      <c r="Z44">
        <v>1.5</v>
      </c>
      <c r="AA44">
        <v>0</v>
      </c>
    </row>
    <row r="45" spans="1:30" x14ac:dyDescent="0.2">
      <c r="A45" t="s">
        <v>106</v>
      </c>
      <c r="C45">
        <v>0</v>
      </c>
      <c r="D45" t="s">
        <v>12</v>
      </c>
      <c r="E45">
        <v>5100</v>
      </c>
      <c r="F45" t="s">
        <v>204</v>
      </c>
      <c r="G45" t="s">
        <v>317</v>
      </c>
      <c r="H45" s="2">
        <v>0.85416666666666663</v>
      </c>
      <c r="I45" t="s">
        <v>313</v>
      </c>
      <c r="J45" s="1">
        <v>0.39100000000000001</v>
      </c>
      <c r="K45">
        <v>156</v>
      </c>
      <c r="L45">
        <v>7</v>
      </c>
      <c r="M45">
        <v>3.5</v>
      </c>
      <c r="N45">
        <v>4.4000000000000004</v>
      </c>
      <c r="O45">
        <v>1</v>
      </c>
      <c r="P45">
        <v>2</v>
      </c>
      <c r="Q45" s="3">
        <v>0.93333333333333335</v>
      </c>
      <c r="R45">
        <v>8.8000000000000007</v>
      </c>
      <c r="S45">
        <v>6.67</v>
      </c>
      <c r="T45">
        <v>24.78</v>
      </c>
      <c r="U45">
        <v>11.44</v>
      </c>
      <c r="V45">
        <v>11.44</v>
      </c>
      <c r="W45">
        <v>100</v>
      </c>
      <c r="Y45">
        <v>62</v>
      </c>
      <c r="Z45">
        <v>2.2000000000000002</v>
      </c>
      <c r="AA45">
        <v>0</v>
      </c>
      <c r="AB45" s="3">
        <v>0.9506944444444444</v>
      </c>
      <c r="AC45">
        <v>26.9</v>
      </c>
      <c r="AD45">
        <v>5.3</v>
      </c>
    </row>
    <row r="46" spans="1:30" x14ac:dyDescent="0.2">
      <c r="A46" t="s">
        <v>90</v>
      </c>
      <c r="C46">
        <v>0</v>
      </c>
      <c r="D46" t="s">
        <v>5</v>
      </c>
      <c r="E46">
        <v>6800</v>
      </c>
      <c r="F46" t="s">
        <v>206</v>
      </c>
      <c r="G46" t="s">
        <v>314</v>
      </c>
      <c r="H46" s="2">
        <v>0.79166666666666663</v>
      </c>
      <c r="I46" t="s">
        <v>313</v>
      </c>
      <c r="J46" s="1">
        <v>0.56699999999999995</v>
      </c>
      <c r="K46">
        <v>76.5</v>
      </c>
      <c r="L46">
        <v>6</v>
      </c>
      <c r="M46">
        <v>3</v>
      </c>
      <c r="N46">
        <v>3.09</v>
      </c>
      <c r="O46">
        <v>2</v>
      </c>
      <c r="P46">
        <v>2</v>
      </c>
      <c r="Q46" s="3">
        <v>0.86388888888888893</v>
      </c>
      <c r="R46">
        <v>9.1999999999999993</v>
      </c>
      <c r="S46">
        <v>6.07</v>
      </c>
      <c r="T46">
        <v>22.08</v>
      </c>
      <c r="U46">
        <v>9.94</v>
      </c>
      <c r="V46">
        <v>9.94</v>
      </c>
      <c r="W46">
        <v>100</v>
      </c>
      <c r="Y46">
        <v>67</v>
      </c>
      <c r="Z46">
        <v>1.5</v>
      </c>
      <c r="AA46">
        <v>0</v>
      </c>
      <c r="AB46" s="3">
        <v>0.72847222222222219</v>
      </c>
      <c r="AC46">
        <v>16.3</v>
      </c>
      <c r="AD46">
        <v>2.4</v>
      </c>
    </row>
    <row r="47" spans="1:30" x14ac:dyDescent="0.2">
      <c r="A47" t="s">
        <v>152</v>
      </c>
      <c r="C47">
        <v>0</v>
      </c>
      <c r="D47" t="s">
        <v>9</v>
      </c>
      <c r="E47">
        <v>6300</v>
      </c>
      <c r="F47" t="s">
        <v>319</v>
      </c>
      <c r="G47" t="s">
        <v>320</v>
      </c>
      <c r="H47" s="2">
        <v>0.79166666666666663</v>
      </c>
      <c r="I47" t="s">
        <v>313</v>
      </c>
      <c r="J47" s="1">
        <v>0.57999999999999996</v>
      </c>
      <c r="K47">
        <v>72.5</v>
      </c>
      <c r="L47">
        <v>6</v>
      </c>
      <c r="M47">
        <v>3</v>
      </c>
      <c r="N47">
        <v>3.06</v>
      </c>
      <c r="O47">
        <v>1</v>
      </c>
      <c r="P47">
        <v>1</v>
      </c>
      <c r="Q47" s="3">
        <v>0.80208333333333337</v>
      </c>
      <c r="R47">
        <v>10.4</v>
      </c>
      <c r="S47">
        <v>6.39</v>
      </c>
      <c r="T47">
        <v>23.59</v>
      </c>
      <c r="U47">
        <v>10.81</v>
      </c>
      <c r="V47">
        <v>10.81</v>
      </c>
      <c r="W47">
        <v>100</v>
      </c>
      <c r="Y47">
        <v>69</v>
      </c>
      <c r="Z47">
        <v>1.7</v>
      </c>
      <c r="AA47">
        <v>0</v>
      </c>
    </row>
    <row r="48" spans="1:30" x14ac:dyDescent="0.2">
      <c r="A48" t="s">
        <v>84</v>
      </c>
      <c r="C48">
        <v>0</v>
      </c>
      <c r="D48" t="s">
        <v>12</v>
      </c>
      <c r="E48">
        <v>6200</v>
      </c>
      <c r="F48" t="s">
        <v>206</v>
      </c>
      <c r="G48" t="s">
        <v>314</v>
      </c>
      <c r="H48" s="2">
        <v>0.79166666666666663</v>
      </c>
      <c r="I48" t="s">
        <v>313</v>
      </c>
      <c r="J48" s="1">
        <v>0.56699999999999995</v>
      </c>
      <c r="K48">
        <v>76.5</v>
      </c>
      <c r="L48">
        <v>6</v>
      </c>
      <c r="M48">
        <v>3</v>
      </c>
      <c r="N48">
        <v>3.09</v>
      </c>
      <c r="O48">
        <v>1</v>
      </c>
      <c r="P48">
        <v>1</v>
      </c>
      <c r="Q48" s="3">
        <v>0.99583333333333335</v>
      </c>
      <c r="R48">
        <v>9.6999999999999993</v>
      </c>
      <c r="S48">
        <v>6.35</v>
      </c>
      <c r="T48">
        <v>23.12</v>
      </c>
      <c r="U48">
        <v>10.42</v>
      </c>
      <c r="V48">
        <v>10.42</v>
      </c>
      <c r="W48">
        <v>100</v>
      </c>
      <c r="Y48">
        <v>67</v>
      </c>
      <c r="Z48">
        <v>1.7</v>
      </c>
      <c r="AA48">
        <v>0</v>
      </c>
      <c r="AB48" s="3">
        <v>0.92986111111111114</v>
      </c>
      <c r="AC48">
        <v>2.8</v>
      </c>
      <c r="AD48">
        <v>0.5</v>
      </c>
    </row>
    <row r="49" spans="1:30" x14ac:dyDescent="0.2">
      <c r="A49" t="s">
        <v>150</v>
      </c>
      <c r="C49">
        <v>0</v>
      </c>
      <c r="D49" t="s">
        <v>5</v>
      </c>
      <c r="E49">
        <v>5900</v>
      </c>
      <c r="F49" t="s">
        <v>310</v>
      </c>
      <c r="G49" t="s">
        <v>311</v>
      </c>
      <c r="H49" s="2">
        <v>0.79166666666666663</v>
      </c>
      <c r="I49" t="s">
        <v>306</v>
      </c>
      <c r="J49" s="1">
        <v>0.42</v>
      </c>
      <c r="K49">
        <v>-72.5</v>
      </c>
      <c r="L49">
        <v>6</v>
      </c>
      <c r="M49">
        <v>3.06</v>
      </c>
      <c r="N49">
        <v>3</v>
      </c>
      <c r="O49">
        <v>1</v>
      </c>
      <c r="P49">
        <v>1</v>
      </c>
      <c r="Q49" s="3">
        <v>0.78194444444444444</v>
      </c>
      <c r="R49">
        <v>9.6</v>
      </c>
      <c r="S49">
        <v>7.06</v>
      </c>
      <c r="T49">
        <v>24.81</v>
      </c>
      <c r="U49">
        <v>10.69</v>
      </c>
      <c r="V49">
        <v>10.69</v>
      </c>
      <c r="W49">
        <v>100</v>
      </c>
      <c r="Y49">
        <v>63</v>
      </c>
      <c r="Z49">
        <v>1.8</v>
      </c>
      <c r="AA49">
        <v>0</v>
      </c>
    </row>
    <row r="50" spans="1:30" x14ac:dyDescent="0.2">
      <c r="A50" t="s">
        <v>145</v>
      </c>
      <c r="C50">
        <v>0</v>
      </c>
      <c r="D50" t="s">
        <v>9</v>
      </c>
      <c r="E50">
        <v>5800</v>
      </c>
      <c r="F50" t="s">
        <v>319</v>
      </c>
      <c r="G50" t="s">
        <v>320</v>
      </c>
      <c r="H50" s="2">
        <v>0.79166666666666663</v>
      </c>
      <c r="I50" t="s">
        <v>313</v>
      </c>
      <c r="J50" s="1">
        <v>0.57999999999999996</v>
      </c>
      <c r="K50">
        <v>72.5</v>
      </c>
      <c r="L50">
        <v>6</v>
      </c>
      <c r="M50">
        <v>3</v>
      </c>
      <c r="N50">
        <v>3.06</v>
      </c>
      <c r="O50">
        <v>3</v>
      </c>
      <c r="P50">
        <v>1</v>
      </c>
      <c r="Q50" s="3">
        <v>0.80069444444444449</v>
      </c>
      <c r="R50">
        <v>10.1</v>
      </c>
      <c r="S50">
        <v>6.37</v>
      </c>
      <c r="T50">
        <v>22.87</v>
      </c>
      <c r="U50">
        <v>10.130000000000001</v>
      </c>
      <c r="V50">
        <v>10.130000000000001</v>
      </c>
      <c r="W50">
        <v>100</v>
      </c>
      <c r="Y50">
        <v>68</v>
      </c>
      <c r="Z50">
        <v>1.7</v>
      </c>
      <c r="AA50">
        <v>0</v>
      </c>
    </row>
    <row r="51" spans="1:30" x14ac:dyDescent="0.2">
      <c r="A51" t="s">
        <v>49</v>
      </c>
      <c r="C51">
        <v>0</v>
      </c>
      <c r="D51" t="s">
        <v>9</v>
      </c>
      <c r="E51">
        <v>5400</v>
      </c>
      <c r="F51" t="s">
        <v>214</v>
      </c>
      <c r="G51" t="s">
        <v>322</v>
      </c>
      <c r="H51" s="2">
        <v>0.79166666666666663</v>
      </c>
      <c r="I51" t="s">
        <v>306</v>
      </c>
      <c r="J51" s="1">
        <v>0.433</v>
      </c>
      <c r="K51">
        <v>-76.5</v>
      </c>
      <c r="L51">
        <v>6</v>
      </c>
      <c r="M51">
        <v>3.09</v>
      </c>
      <c r="N51">
        <v>3</v>
      </c>
      <c r="O51">
        <v>1</v>
      </c>
      <c r="P51">
        <v>1</v>
      </c>
      <c r="Q51" s="3">
        <v>0.77986111111111112</v>
      </c>
      <c r="R51">
        <v>9.8000000000000007</v>
      </c>
      <c r="S51">
        <v>8.4</v>
      </c>
      <c r="T51">
        <v>27.64</v>
      </c>
      <c r="U51">
        <v>10.84</v>
      </c>
      <c r="V51">
        <v>10.84</v>
      </c>
      <c r="W51">
        <v>100</v>
      </c>
      <c r="Y51">
        <v>57</v>
      </c>
      <c r="Z51">
        <v>2</v>
      </c>
      <c r="AA51">
        <v>0</v>
      </c>
      <c r="AB51" s="3">
        <v>0.64166666666666672</v>
      </c>
      <c r="AC51">
        <v>1.5</v>
      </c>
      <c r="AD51">
        <v>0.3</v>
      </c>
    </row>
    <row r="52" spans="1:30" x14ac:dyDescent="0.2">
      <c r="A52" t="s">
        <v>24</v>
      </c>
      <c r="C52">
        <v>0</v>
      </c>
      <c r="D52" t="s">
        <v>5</v>
      </c>
      <c r="E52">
        <v>5300</v>
      </c>
      <c r="F52" t="s">
        <v>307</v>
      </c>
      <c r="G52" t="s">
        <v>308</v>
      </c>
      <c r="H52" s="2">
        <v>0.79166666666666663</v>
      </c>
      <c r="I52" t="s">
        <v>306</v>
      </c>
      <c r="J52" s="1">
        <v>0.49399999999999999</v>
      </c>
      <c r="K52">
        <v>-97.5</v>
      </c>
      <c r="L52">
        <v>6</v>
      </c>
      <c r="M52">
        <v>3.37</v>
      </c>
      <c r="N52">
        <v>3</v>
      </c>
      <c r="O52">
        <v>1</v>
      </c>
      <c r="P52">
        <v>2</v>
      </c>
      <c r="Q52" s="3">
        <v>0.73263888888888884</v>
      </c>
      <c r="R52">
        <v>8.5</v>
      </c>
      <c r="S52">
        <v>6.67</v>
      </c>
      <c r="T52">
        <v>23.75</v>
      </c>
      <c r="U52">
        <v>10.41</v>
      </c>
      <c r="V52">
        <v>10.41</v>
      </c>
      <c r="W52">
        <v>100</v>
      </c>
      <c r="Y52">
        <v>61</v>
      </c>
      <c r="Z52">
        <v>2</v>
      </c>
      <c r="AA52">
        <v>0</v>
      </c>
      <c r="AB52" s="3">
        <v>0.72013888888888888</v>
      </c>
      <c r="AC52">
        <v>10</v>
      </c>
      <c r="AD52">
        <v>1.9</v>
      </c>
    </row>
    <row r="53" spans="1:30" x14ac:dyDescent="0.2">
      <c r="A53" t="s">
        <v>96</v>
      </c>
      <c r="C53">
        <v>0</v>
      </c>
      <c r="D53" t="s">
        <v>9</v>
      </c>
      <c r="E53">
        <v>5300</v>
      </c>
      <c r="F53" t="s">
        <v>206</v>
      </c>
      <c r="G53" t="s">
        <v>314</v>
      </c>
      <c r="H53" s="2">
        <v>0.79166666666666663</v>
      </c>
      <c r="I53" t="s">
        <v>313</v>
      </c>
      <c r="J53" s="1">
        <v>0.56699999999999995</v>
      </c>
      <c r="K53">
        <v>76.5</v>
      </c>
      <c r="L53">
        <v>6</v>
      </c>
      <c r="M53">
        <v>3</v>
      </c>
      <c r="N53">
        <v>3.09</v>
      </c>
      <c r="O53">
        <v>3</v>
      </c>
      <c r="P53">
        <v>2</v>
      </c>
      <c r="Q53" s="3">
        <v>0.64930555555555558</v>
      </c>
      <c r="R53">
        <v>8.5</v>
      </c>
      <c r="S53">
        <v>7.75</v>
      </c>
      <c r="T53">
        <v>25.35</v>
      </c>
      <c r="U53">
        <v>9.85</v>
      </c>
      <c r="V53">
        <v>9.85</v>
      </c>
      <c r="W53">
        <v>100</v>
      </c>
      <c r="Y53">
        <v>54</v>
      </c>
      <c r="Z53">
        <v>1.9</v>
      </c>
      <c r="AA53">
        <v>0</v>
      </c>
      <c r="AB53" s="3">
        <v>0.57916666666666672</v>
      </c>
      <c r="AC53">
        <v>9.5</v>
      </c>
      <c r="AD53">
        <v>1.8</v>
      </c>
    </row>
    <row r="54" spans="1:30" x14ac:dyDescent="0.2">
      <c r="A54" t="s">
        <v>17</v>
      </c>
      <c r="C54">
        <v>0</v>
      </c>
      <c r="D54" t="s">
        <v>5</v>
      </c>
      <c r="E54">
        <v>4700</v>
      </c>
      <c r="F54" t="s">
        <v>200</v>
      </c>
      <c r="G54" t="s">
        <v>309</v>
      </c>
      <c r="H54" s="2">
        <v>0.79166666666666663</v>
      </c>
      <c r="I54" t="s">
        <v>306</v>
      </c>
      <c r="J54" s="1">
        <v>0.45500000000000002</v>
      </c>
      <c r="K54">
        <v>-83.5</v>
      </c>
      <c r="L54">
        <v>6.5</v>
      </c>
      <c r="M54">
        <v>3.25</v>
      </c>
      <c r="N54">
        <v>3.2</v>
      </c>
      <c r="O54">
        <v>1</v>
      </c>
      <c r="P54">
        <v>1</v>
      </c>
      <c r="Q54" s="3">
        <v>0.72916666666666663</v>
      </c>
      <c r="R54">
        <v>8.9</v>
      </c>
      <c r="S54">
        <v>6.35</v>
      </c>
      <c r="T54">
        <v>23.02</v>
      </c>
      <c r="U54">
        <v>10.32</v>
      </c>
      <c r="V54">
        <v>10.32</v>
      </c>
      <c r="W54">
        <v>100</v>
      </c>
      <c r="Y54">
        <v>64</v>
      </c>
      <c r="Z54">
        <v>2.2000000000000002</v>
      </c>
      <c r="AA54">
        <v>0</v>
      </c>
      <c r="AB54" s="3">
        <v>0.86319444444444449</v>
      </c>
      <c r="AC54">
        <v>25.6</v>
      </c>
      <c r="AD54">
        <v>5.4</v>
      </c>
    </row>
    <row r="55" spans="1:30" x14ac:dyDescent="0.2">
      <c r="A55" t="s">
        <v>55</v>
      </c>
      <c r="C55">
        <v>0</v>
      </c>
      <c r="D55" t="s">
        <v>5</v>
      </c>
      <c r="E55">
        <v>4600</v>
      </c>
      <c r="F55" t="s">
        <v>214</v>
      </c>
      <c r="G55" t="s">
        <v>322</v>
      </c>
      <c r="H55" s="2">
        <v>0.79166666666666663</v>
      </c>
      <c r="I55" t="s">
        <v>306</v>
      </c>
      <c r="J55" s="1">
        <v>0.433</v>
      </c>
      <c r="K55">
        <v>-76.5</v>
      </c>
      <c r="L55">
        <v>6</v>
      </c>
      <c r="M55">
        <v>3.09</v>
      </c>
      <c r="N55">
        <v>3</v>
      </c>
      <c r="O55">
        <v>1</v>
      </c>
      <c r="P55">
        <v>1</v>
      </c>
      <c r="Q55" s="3">
        <v>0.73611111111111116</v>
      </c>
      <c r="R55">
        <v>8.4</v>
      </c>
      <c r="S55">
        <v>7.18</v>
      </c>
      <c r="T55">
        <v>24.31</v>
      </c>
      <c r="U55">
        <v>9.9499999999999993</v>
      </c>
      <c r="V55">
        <v>9.9499999999999993</v>
      </c>
      <c r="W55">
        <v>100</v>
      </c>
      <c r="Y55">
        <v>57</v>
      </c>
      <c r="Z55">
        <v>2.2000000000000002</v>
      </c>
      <c r="AA55">
        <v>0</v>
      </c>
      <c r="AB55" s="3">
        <v>0.79166666666666663</v>
      </c>
      <c r="AC55">
        <v>2.8</v>
      </c>
      <c r="AD55">
        <v>0.6</v>
      </c>
    </row>
    <row r="56" spans="1:30" x14ac:dyDescent="0.2">
      <c r="A56" t="s">
        <v>125</v>
      </c>
      <c r="C56">
        <v>0</v>
      </c>
      <c r="D56" t="s">
        <v>12</v>
      </c>
      <c r="E56">
        <v>4500</v>
      </c>
      <c r="F56" t="s">
        <v>211</v>
      </c>
      <c r="G56" t="s">
        <v>315</v>
      </c>
      <c r="H56" s="2">
        <v>0.79166666666666663</v>
      </c>
      <c r="I56" t="s">
        <v>313</v>
      </c>
      <c r="J56" s="1">
        <v>0.50600000000000001</v>
      </c>
      <c r="K56">
        <v>97.5</v>
      </c>
      <c r="L56">
        <v>6</v>
      </c>
      <c r="M56">
        <v>3</v>
      </c>
      <c r="N56">
        <v>3.37</v>
      </c>
      <c r="O56">
        <v>1</v>
      </c>
      <c r="P56">
        <v>2</v>
      </c>
      <c r="Q56" s="3">
        <v>0.84791666666666665</v>
      </c>
      <c r="R56">
        <v>8.9</v>
      </c>
      <c r="S56">
        <v>5.25</v>
      </c>
      <c r="T56">
        <v>20.54</v>
      </c>
      <c r="U56">
        <v>10.039999999999999</v>
      </c>
      <c r="V56">
        <v>10.039999999999999</v>
      </c>
      <c r="W56">
        <v>100</v>
      </c>
      <c r="Y56">
        <v>71</v>
      </c>
      <c r="Z56">
        <v>2.2000000000000002</v>
      </c>
      <c r="AA56">
        <v>0</v>
      </c>
      <c r="AB56" s="3">
        <v>0.86041666666666672</v>
      </c>
      <c r="AC56">
        <v>3</v>
      </c>
      <c r="AD56">
        <v>0.7</v>
      </c>
    </row>
    <row r="57" spans="1:30" x14ac:dyDescent="0.2">
      <c r="A57" t="s">
        <v>324</v>
      </c>
      <c r="C57">
        <v>0</v>
      </c>
      <c r="D57" t="s">
        <v>9</v>
      </c>
      <c r="E57">
        <v>4200</v>
      </c>
      <c r="F57" t="s">
        <v>310</v>
      </c>
      <c r="G57" t="s">
        <v>311</v>
      </c>
      <c r="H57" s="2">
        <v>0.79166666666666663</v>
      </c>
      <c r="I57" t="s">
        <v>306</v>
      </c>
      <c r="J57" s="1">
        <v>0.42</v>
      </c>
      <c r="K57">
        <v>-72.5</v>
      </c>
      <c r="L57">
        <v>6</v>
      </c>
      <c r="M57">
        <v>3.06</v>
      </c>
      <c r="N57">
        <v>3</v>
      </c>
      <c r="O57">
        <v>2</v>
      </c>
      <c r="P57">
        <v>2</v>
      </c>
      <c r="Q57" s="3">
        <v>0.70347222222222228</v>
      </c>
      <c r="R57">
        <v>8.9</v>
      </c>
      <c r="S57">
        <v>6.04</v>
      </c>
      <c r="T57">
        <v>22.29</v>
      </c>
      <c r="U57">
        <v>10.210000000000001</v>
      </c>
      <c r="V57">
        <v>10.210000000000001</v>
      </c>
      <c r="W57">
        <v>100</v>
      </c>
      <c r="Y57">
        <v>66</v>
      </c>
      <c r="Z57">
        <v>2.4</v>
      </c>
      <c r="AA57">
        <v>0</v>
      </c>
    </row>
    <row r="58" spans="1:30" x14ac:dyDescent="0.2">
      <c r="A58" t="s">
        <v>148</v>
      </c>
      <c r="C58">
        <v>0</v>
      </c>
      <c r="D58" t="s">
        <v>12</v>
      </c>
      <c r="E58">
        <v>4000</v>
      </c>
      <c r="F58" t="s">
        <v>310</v>
      </c>
      <c r="G58" t="s">
        <v>311</v>
      </c>
      <c r="H58" s="2">
        <v>0.79166666666666663</v>
      </c>
      <c r="I58" t="s">
        <v>306</v>
      </c>
      <c r="J58" s="1">
        <v>0.42</v>
      </c>
      <c r="K58">
        <v>-72.5</v>
      </c>
      <c r="L58">
        <v>6</v>
      </c>
      <c r="M58">
        <v>3.06</v>
      </c>
      <c r="N58">
        <v>3</v>
      </c>
      <c r="O58">
        <v>2</v>
      </c>
      <c r="P58">
        <v>2</v>
      </c>
      <c r="Q58" s="4">
        <v>1.0680555555555555</v>
      </c>
      <c r="R58">
        <v>8.1</v>
      </c>
      <c r="S58">
        <v>5.16</v>
      </c>
      <c r="T58">
        <v>20.149999999999999</v>
      </c>
      <c r="U58">
        <v>9.83</v>
      </c>
      <c r="V58">
        <v>9.83</v>
      </c>
      <c r="W58">
        <v>100</v>
      </c>
      <c r="Y58">
        <v>68</v>
      </c>
      <c r="Z58">
        <v>2.5</v>
      </c>
      <c r="AA58">
        <v>0</v>
      </c>
    </row>
    <row r="59" spans="1:30" x14ac:dyDescent="0.2">
      <c r="A59" t="s">
        <v>52</v>
      </c>
      <c r="C59">
        <v>0</v>
      </c>
      <c r="D59" t="s">
        <v>9</v>
      </c>
      <c r="E59">
        <v>3700</v>
      </c>
      <c r="F59" t="s">
        <v>203</v>
      </c>
      <c r="G59" t="s">
        <v>305</v>
      </c>
      <c r="H59" s="2">
        <v>0.85416666666666663</v>
      </c>
      <c r="I59" t="s">
        <v>306</v>
      </c>
      <c r="J59" s="1">
        <v>0.60899999999999999</v>
      </c>
      <c r="K59">
        <v>-156</v>
      </c>
      <c r="L59">
        <v>7</v>
      </c>
      <c r="M59">
        <v>4.4000000000000004</v>
      </c>
      <c r="N59">
        <v>3.5</v>
      </c>
      <c r="O59">
        <v>2</v>
      </c>
      <c r="Q59" s="3">
        <v>0.63611111111111107</v>
      </c>
      <c r="R59">
        <v>5.9</v>
      </c>
      <c r="S59">
        <v>5.05</v>
      </c>
      <c r="T59">
        <v>20.82</v>
      </c>
      <c r="U59">
        <v>10.72</v>
      </c>
      <c r="V59">
        <v>10.72</v>
      </c>
      <c r="W59">
        <v>100</v>
      </c>
      <c r="Y59">
        <v>57</v>
      </c>
      <c r="Z59">
        <v>2.9</v>
      </c>
      <c r="AA59">
        <v>0</v>
      </c>
      <c r="AB59" s="3">
        <v>0.67291666666666672</v>
      </c>
      <c r="AC59">
        <v>1.5</v>
      </c>
      <c r="AD59">
        <v>0.4</v>
      </c>
    </row>
    <row r="60" spans="1:30" x14ac:dyDescent="0.2">
      <c r="A60" t="s">
        <v>25</v>
      </c>
      <c r="C60">
        <v>0</v>
      </c>
      <c r="D60" t="s">
        <v>12</v>
      </c>
      <c r="E60">
        <v>3000</v>
      </c>
      <c r="F60" t="s">
        <v>200</v>
      </c>
      <c r="G60" t="s">
        <v>309</v>
      </c>
      <c r="H60" s="2">
        <v>0.79166666666666663</v>
      </c>
      <c r="I60" t="s">
        <v>306</v>
      </c>
      <c r="J60" s="1">
        <v>0.45500000000000002</v>
      </c>
      <c r="K60">
        <v>-83.5</v>
      </c>
      <c r="L60">
        <v>6.5</v>
      </c>
      <c r="M60">
        <v>3.25</v>
      </c>
      <c r="N60">
        <v>3.2</v>
      </c>
      <c r="O60">
        <v>2</v>
      </c>
      <c r="Q60" s="3">
        <v>0.91736111111111107</v>
      </c>
      <c r="R60">
        <v>8</v>
      </c>
      <c r="S60">
        <v>6.06</v>
      </c>
      <c r="T60">
        <v>22.76</v>
      </c>
      <c r="U60">
        <v>10.64</v>
      </c>
      <c r="V60">
        <v>10.64</v>
      </c>
      <c r="W60">
        <v>100</v>
      </c>
      <c r="Y60">
        <v>62</v>
      </c>
      <c r="Z60">
        <v>3.5</v>
      </c>
      <c r="AA60">
        <v>0</v>
      </c>
      <c r="AB60" s="4">
        <v>1.0340277777777778</v>
      </c>
      <c r="AC60">
        <v>9.9</v>
      </c>
      <c r="AD60">
        <v>3.3</v>
      </c>
    </row>
    <row r="61" spans="1:30" x14ac:dyDescent="0.2">
      <c r="A61" t="s">
        <v>31</v>
      </c>
      <c r="C61">
        <v>0</v>
      </c>
      <c r="D61" t="s">
        <v>9</v>
      </c>
      <c r="E61">
        <v>2500</v>
      </c>
      <c r="F61" t="s">
        <v>203</v>
      </c>
      <c r="G61" t="s">
        <v>305</v>
      </c>
      <c r="H61" s="2">
        <v>0.85416666666666663</v>
      </c>
      <c r="I61" t="s">
        <v>306</v>
      </c>
      <c r="J61" s="1">
        <v>0.60899999999999999</v>
      </c>
      <c r="K61">
        <v>-156</v>
      </c>
      <c r="L61">
        <v>7</v>
      </c>
      <c r="M61">
        <v>4.4000000000000004</v>
      </c>
      <c r="N61">
        <v>3.5</v>
      </c>
      <c r="O61">
        <v>2</v>
      </c>
      <c r="P61">
        <v>2</v>
      </c>
      <c r="Q61" s="3">
        <v>0.56874999999999998</v>
      </c>
      <c r="R61">
        <v>6.7</v>
      </c>
      <c r="S61">
        <v>5.79</v>
      </c>
      <c r="T61">
        <v>22.86</v>
      </c>
      <c r="U61">
        <v>11.28</v>
      </c>
      <c r="V61">
        <v>11.28</v>
      </c>
      <c r="W61">
        <v>100</v>
      </c>
      <c r="Y61">
        <v>57</v>
      </c>
      <c r="Z61">
        <v>4.5</v>
      </c>
      <c r="AA61">
        <v>0</v>
      </c>
      <c r="AB61" s="3">
        <v>0.64861111111111114</v>
      </c>
      <c r="AC61">
        <v>4.5</v>
      </c>
      <c r="AD61">
        <v>1.8</v>
      </c>
    </row>
    <row r="62" spans="1:30" x14ac:dyDescent="0.2">
      <c r="A62" t="s">
        <v>92</v>
      </c>
      <c r="C62">
        <v>0</v>
      </c>
      <c r="D62" t="s">
        <v>7</v>
      </c>
      <c r="E62">
        <v>7600</v>
      </c>
      <c r="F62" t="s">
        <v>207</v>
      </c>
      <c r="G62" t="s">
        <v>312</v>
      </c>
      <c r="H62" s="2">
        <v>0.79166666666666663</v>
      </c>
      <c r="I62" t="s">
        <v>313</v>
      </c>
      <c r="J62" s="1">
        <v>0.54500000000000004</v>
      </c>
      <c r="K62">
        <v>83.5</v>
      </c>
      <c r="L62">
        <v>6.5</v>
      </c>
      <c r="M62">
        <v>3.2</v>
      </c>
      <c r="N62">
        <v>3.25</v>
      </c>
      <c r="O62" t="s">
        <v>316</v>
      </c>
      <c r="Q62" s="4">
        <v>2.3062499999999999</v>
      </c>
      <c r="R62">
        <v>6.9</v>
      </c>
      <c r="S62">
        <v>11.33</v>
      </c>
      <c r="T62">
        <v>31.47</v>
      </c>
      <c r="U62">
        <v>8.81</v>
      </c>
      <c r="V62">
        <v>8.81</v>
      </c>
      <c r="W62">
        <v>100</v>
      </c>
      <c r="Y62">
        <v>18</v>
      </c>
      <c r="Z62">
        <v>1.2</v>
      </c>
      <c r="AA62">
        <v>0</v>
      </c>
      <c r="AB62" s="4">
        <v>2.6590277777777778</v>
      </c>
      <c r="AC62">
        <v>10.199999999999999</v>
      </c>
      <c r="AD62">
        <v>1.3</v>
      </c>
    </row>
    <row r="63" spans="1:30" x14ac:dyDescent="0.2">
      <c r="A63" t="s">
        <v>325</v>
      </c>
      <c r="C63">
        <v>0</v>
      </c>
      <c r="D63" t="s">
        <v>7</v>
      </c>
      <c r="E63">
        <v>7500</v>
      </c>
      <c r="F63" t="s">
        <v>310</v>
      </c>
      <c r="G63" t="s">
        <v>311</v>
      </c>
      <c r="H63" s="2">
        <v>0.79166666666666663</v>
      </c>
      <c r="I63" t="s">
        <v>306</v>
      </c>
      <c r="J63" s="1">
        <v>0.42</v>
      </c>
      <c r="K63">
        <v>-72.5</v>
      </c>
      <c r="L63">
        <v>6</v>
      </c>
      <c r="M63">
        <v>3.06</v>
      </c>
      <c r="N63">
        <v>3</v>
      </c>
      <c r="O63" t="s">
        <v>321</v>
      </c>
      <c r="Q63" s="4">
        <v>2.3333333333333335</v>
      </c>
      <c r="R63">
        <v>9.1</v>
      </c>
      <c r="S63">
        <v>9.73</v>
      </c>
      <c r="T63">
        <v>28.6</v>
      </c>
      <c r="U63">
        <v>9.14</v>
      </c>
      <c r="V63">
        <v>9.14</v>
      </c>
      <c r="W63">
        <v>100</v>
      </c>
      <c r="Y63">
        <v>47</v>
      </c>
      <c r="Z63">
        <v>1.2</v>
      </c>
      <c r="AA63">
        <v>0</v>
      </c>
    </row>
    <row r="64" spans="1:30" x14ac:dyDescent="0.2">
      <c r="A64" t="s">
        <v>275</v>
      </c>
      <c r="C64">
        <v>0</v>
      </c>
      <c r="D64" t="s">
        <v>7</v>
      </c>
      <c r="E64">
        <v>7200</v>
      </c>
      <c r="F64" t="s">
        <v>211</v>
      </c>
      <c r="G64" t="s">
        <v>315</v>
      </c>
      <c r="H64" s="2">
        <v>0.79166666666666663</v>
      </c>
      <c r="I64" t="s">
        <v>313</v>
      </c>
      <c r="J64" s="1">
        <v>0.50600000000000001</v>
      </c>
      <c r="K64">
        <v>97.5</v>
      </c>
      <c r="L64">
        <v>6</v>
      </c>
      <c r="M64">
        <v>3</v>
      </c>
      <c r="N64">
        <v>3.37</v>
      </c>
      <c r="Q64" s="4">
        <v>2.4381944444444446</v>
      </c>
      <c r="R64">
        <v>7.6</v>
      </c>
      <c r="S64">
        <v>8.42</v>
      </c>
      <c r="T64">
        <v>25.59</v>
      </c>
      <c r="U64">
        <v>8.75</v>
      </c>
      <c r="V64">
        <v>8.75</v>
      </c>
      <c r="W64">
        <v>100</v>
      </c>
      <c r="Y64">
        <v>45</v>
      </c>
      <c r="Z64">
        <v>1.2</v>
      </c>
      <c r="AA64">
        <v>0</v>
      </c>
      <c r="AB64" s="3">
        <v>0</v>
      </c>
      <c r="AC64">
        <v>0</v>
      </c>
    </row>
    <row r="65" spans="1:30" x14ac:dyDescent="0.2">
      <c r="A65" t="s">
        <v>326</v>
      </c>
      <c r="C65">
        <v>0</v>
      </c>
      <c r="D65" t="s">
        <v>5</v>
      </c>
      <c r="E65">
        <v>5000</v>
      </c>
      <c r="F65" t="s">
        <v>319</v>
      </c>
      <c r="G65" t="s">
        <v>320</v>
      </c>
      <c r="H65" s="2">
        <v>0.79166666666666663</v>
      </c>
      <c r="I65" t="s">
        <v>313</v>
      </c>
      <c r="J65" s="1">
        <v>0.57999999999999996</v>
      </c>
      <c r="K65">
        <v>72.5</v>
      </c>
      <c r="L65">
        <v>6</v>
      </c>
      <c r="M65">
        <v>3</v>
      </c>
      <c r="N65">
        <v>3.06</v>
      </c>
      <c r="O65">
        <v>1</v>
      </c>
      <c r="P65">
        <v>2</v>
      </c>
      <c r="Q65" s="3">
        <v>0.71875</v>
      </c>
      <c r="R65">
        <v>8.3000000000000007</v>
      </c>
      <c r="S65">
        <v>7.37</v>
      </c>
      <c r="T65">
        <v>24.13</v>
      </c>
      <c r="U65">
        <v>9.39</v>
      </c>
      <c r="V65">
        <v>9.39</v>
      </c>
      <c r="W65">
        <v>100</v>
      </c>
      <c r="Y65">
        <v>56</v>
      </c>
      <c r="Z65">
        <v>1.9</v>
      </c>
      <c r="AA65">
        <v>0</v>
      </c>
    </row>
    <row r="66" spans="1:30" x14ac:dyDescent="0.2">
      <c r="A66" t="s">
        <v>89</v>
      </c>
      <c r="C66">
        <v>0</v>
      </c>
      <c r="D66" t="s">
        <v>9</v>
      </c>
      <c r="E66">
        <v>4300</v>
      </c>
      <c r="F66" t="s">
        <v>211</v>
      </c>
      <c r="G66" t="s">
        <v>315</v>
      </c>
      <c r="H66" s="2">
        <v>0.79166666666666663</v>
      </c>
      <c r="I66" t="s">
        <v>313</v>
      </c>
      <c r="J66" s="1">
        <v>0.50600000000000001</v>
      </c>
      <c r="K66">
        <v>97.5</v>
      </c>
      <c r="L66">
        <v>6</v>
      </c>
      <c r="M66">
        <v>3</v>
      </c>
      <c r="N66">
        <v>3.37</v>
      </c>
      <c r="O66">
        <v>2</v>
      </c>
      <c r="P66">
        <v>2</v>
      </c>
      <c r="Q66" s="3">
        <v>0.68888888888888888</v>
      </c>
      <c r="R66">
        <v>8.3000000000000007</v>
      </c>
      <c r="S66">
        <v>7.35</v>
      </c>
      <c r="T66">
        <v>24.04</v>
      </c>
      <c r="U66">
        <v>9.34</v>
      </c>
      <c r="V66">
        <v>9.34</v>
      </c>
      <c r="W66">
        <v>100</v>
      </c>
      <c r="Y66">
        <v>56</v>
      </c>
      <c r="Z66">
        <v>2.2000000000000002</v>
      </c>
      <c r="AA66">
        <v>0</v>
      </c>
      <c r="AB66" s="3">
        <v>0.6020833333333333</v>
      </c>
      <c r="AC66">
        <v>4.3</v>
      </c>
      <c r="AD66">
        <v>1</v>
      </c>
    </row>
    <row r="67" spans="1:30" x14ac:dyDescent="0.2">
      <c r="A67" t="s">
        <v>79</v>
      </c>
      <c r="C67">
        <v>0</v>
      </c>
      <c r="D67" t="s">
        <v>12</v>
      </c>
      <c r="E67">
        <v>3100</v>
      </c>
      <c r="F67" t="s">
        <v>204</v>
      </c>
      <c r="G67" t="s">
        <v>317</v>
      </c>
      <c r="H67" s="2">
        <v>0.85416666666666663</v>
      </c>
      <c r="I67" t="s">
        <v>313</v>
      </c>
      <c r="J67" s="1">
        <v>0.39100000000000001</v>
      </c>
      <c r="K67">
        <v>156</v>
      </c>
      <c r="L67">
        <v>7</v>
      </c>
      <c r="M67">
        <v>3.5</v>
      </c>
      <c r="N67">
        <v>4.4000000000000004</v>
      </c>
      <c r="O67">
        <v>2</v>
      </c>
      <c r="P67">
        <v>2</v>
      </c>
      <c r="Q67" s="3">
        <v>0.74444444444444446</v>
      </c>
      <c r="R67">
        <v>6.1</v>
      </c>
      <c r="S67">
        <v>5.73</v>
      </c>
      <c r="T67">
        <v>21.45</v>
      </c>
      <c r="U67">
        <v>9.99</v>
      </c>
      <c r="V67">
        <v>9.99</v>
      </c>
      <c r="W67">
        <v>100</v>
      </c>
      <c r="Y67">
        <v>53</v>
      </c>
      <c r="Z67">
        <v>3.2</v>
      </c>
      <c r="AA67">
        <v>0</v>
      </c>
      <c r="AB67" s="3">
        <v>0.78125</v>
      </c>
      <c r="AC67">
        <v>4.0999999999999996</v>
      </c>
      <c r="AD67">
        <v>1.3</v>
      </c>
    </row>
    <row r="68" spans="1:30" x14ac:dyDescent="0.2">
      <c r="A68" t="s">
        <v>147</v>
      </c>
      <c r="C68">
        <v>0</v>
      </c>
      <c r="D68" t="s">
        <v>9</v>
      </c>
      <c r="E68">
        <v>4600</v>
      </c>
      <c r="F68" t="s">
        <v>310</v>
      </c>
      <c r="G68" t="s">
        <v>311</v>
      </c>
      <c r="H68" s="2">
        <v>0.79166666666666663</v>
      </c>
      <c r="I68" t="s">
        <v>306</v>
      </c>
      <c r="J68" s="1">
        <v>0.42</v>
      </c>
      <c r="K68">
        <v>-72.5</v>
      </c>
      <c r="L68">
        <v>6</v>
      </c>
      <c r="M68">
        <v>3.06</v>
      </c>
      <c r="N68">
        <v>3</v>
      </c>
      <c r="O68">
        <v>1</v>
      </c>
      <c r="P68">
        <v>2</v>
      </c>
      <c r="Q68" s="3">
        <v>0.71458333333333335</v>
      </c>
      <c r="R68">
        <v>7.3</v>
      </c>
      <c r="S68">
        <v>8.25</v>
      </c>
      <c r="T68">
        <v>25.48</v>
      </c>
      <c r="U68">
        <v>8.98</v>
      </c>
      <c r="V68">
        <v>8.98</v>
      </c>
      <c r="W68">
        <v>100</v>
      </c>
      <c r="Y68">
        <v>43</v>
      </c>
      <c r="Z68">
        <v>2</v>
      </c>
      <c r="AA68">
        <v>0</v>
      </c>
    </row>
    <row r="69" spans="1:30" x14ac:dyDescent="0.2">
      <c r="A69" t="s">
        <v>46</v>
      </c>
      <c r="C69">
        <v>0</v>
      </c>
      <c r="D69" t="s">
        <v>12</v>
      </c>
      <c r="E69">
        <v>4300</v>
      </c>
      <c r="F69" t="s">
        <v>207</v>
      </c>
      <c r="G69" t="s">
        <v>312</v>
      </c>
      <c r="H69" s="2">
        <v>0.79166666666666663</v>
      </c>
      <c r="I69" t="s">
        <v>313</v>
      </c>
      <c r="J69" s="1">
        <v>0.54500000000000004</v>
      </c>
      <c r="K69">
        <v>83.5</v>
      </c>
      <c r="L69">
        <v>6.5</v>
      </c>
      <c r="M69">
        <v>3.2</v>
      </c>
      <c r="N69">
        <v>3.25</v>
      </c>
      <c r="O69">
        <v>1</v>
      </c>
      <c r="P69">
        <v>1</v>
      </c>
      <c r="Q69" s="3">
        <v>0.99375000000000002</v>
      </c>
      <c r="R69">
        <v>7.3</v>
      </c>
      <c r="S69">
        <v>5.3</v>
      </c>
      <c r="T69">
        <v>19.88</v>
      </c>
      <c r="U69">
        <v>9.2799999999999994</v>
      </c>
      <c r="V69">
        <v>9.2799999999999994</v>
      </c>
      <c r="W69">
        <v>100</v>
      </c>
      <c r="Y69">
        <v>64</v>
      </c>
      <c r="Z69">
        <v>2.2000000000000002</v>
      </c>
      <c r="AA69">
        <v>0</v>
      </c>
      <c r="AB69" s="4">
        <v>1.0993055555555555</v>
      </c>
      <c r="AC69">
        <v>2.6</v>
      </c>
      <c r="AD69">
        <v>0.6</v>
      </c>
    </row>
    <row r="70" spans="1:30" x14ac:dyDescent="0.2">
      <c r="A70" t="s">
        <v>82</v>
      </c>
      <c r="C70">
        <v>0</v>
      </c>
      <c r="D70" t="s">
        <v>9</v>
      </c>
      <c r="E70">
        <v>4100</v>
      </c>
      <c r="F70" t="s">
        <v>207</v>
      </c>
      <c r="G70" t="s">
        <v>312</v>
      </c>
      <c r="H70" s="2">
        <v>0.79166666666666663</v>
      </c>
      <c r="I70" t="s">
        <v>313</v>
      </c>
      <c r="J70" s="1">
        <v>0.54500000000000004</v>
      </c>
      <c r="K70">
        <v>83.5</v>
      </c>
      <c r="L70">
        <v>6.5</v>
      </c>
      <c r="M70">
        <v>3.2</v>
      </c>
      <c r="N70">
        <v>3.25</v>
      </c>
      <c r="O70">
        <v>3</v>
      </c>
      <c r="P70">
        <v>2</v>
      </c>
      <c r="Q70" s="3">
        <v>0.71666666666666667</v>
      </c>
      <c r="R70">
        <v>7.7</v>
      </c>
      <c r="S70">
        <v>6.5</v>
      </c>
      <c r="T70">
        <v>21.86</v>
      </c>
      <c r="U70">
        <v>8.86</v>
      </c>
      <c r="V70">
        <v>8.86</v>
      </c>
      <c r="W70">
        <v>100</v>
      </c>
      <c r="Y70">
        <v>58</v>
      </c>
      <c r="Z70">
        <v>2.2000000000000002</v>
      </c>
      <c r="AA70">
        <v>0</v>
      </c>
      <c r="AB70" s="3">
        <v>0.6333333333333333</v>
      </c>
      <c r="AC70">
        <v>13</v>
      </c>
      <c r="AD70">
        <v>3.2</v>
      </c>
    </row>
    <row r="71" spans="1:30" x14ac:dyDescent="0.2">
      <c r="A71" t="s">
        <v>327</v>
      </c>
      <c r="C71">
        <v>0</v>
      </c>
      <c r="D71" t="s">
        <v>5</v>
      </c>
      <c r="E71">
        <v>4000</v>
      </c>
      <c r="F71" t="s">
        <v>310</v>
      </c>
      <c r="G71" t="s">
        <v>311</v>
      </c>
      <c r="H71" s="2">
        <v>0.79166666666666663</v>
      </c>
      <c r="I71" t="s">
        <v>306</v>
      </c>
      <c r="J71" s="1">
        <v>0.42</v>
      </c>
      <c r="K71">
        <v>-72.5</v>
      </c>
      <c r="L71">
        <v>6</v>
      </c>
      <c r="M71">
        <v>3.06</v>
      </c>
      <c r="N71">
        <v>3</v>
      </c>
      <c r="O71">
        <v>3</v>
      </c>
      <c r="P71">
        <v>1</v>
      </c>
      <c r="Q71" s="3">
        <v>0.73541666666666672</v>
      </c>
      <c r="R71">
        <v>7.6</v>
      </c>
      <c r="S71">
        <v>8.23</v>
      </c>
      <c r="T71">
        <v>25.53</v>
      </c>
      <c r="U71">
        <v>9.07</v>
      </c>
      <c r="V71">
        <v>9.07</v>
      </c>
      <c r="W71">
        <v>100</v>
      </c>
      <c r="Y71">
        <v>46</v>
      </c>
      <c r="Z71">
        <v>2.2999999999999998</v>
      </c>
      <c r="AA71">
        <v>0</v>
      </c>
    </row>
    <row r="72" spans="1:30" x14ac:dyDescent="0.2">
      <c r="A72" t="s">
        <v>85</v>
      </c>
      <c r="C72">
        <v>0</v>
      </c>
      <c r="D72" t="s">
        <v>9</v>
      </c>
      <c r="E72">
        <v>3900</v>
      </c>
      <c r="F72" t="s">
        <v>211</v>
      </c>
      <c r="G72" t="s">
        <v>315</v>
      </c>
      <c r="H72" s="2">
        <v>0.79166666666666663</v>
      </c>
      <c r="I72" t="s">
        <v>313</v>
      </c>
      <c r="J72" s="1">
        <v>0.50600000000000001</v>
      </c>
      <c r="K72">
        <v>97.5</v>
      </c>
      <c r="L72">
        <v>6</v>
      </c>
      <c r="M72">
        <v>3</v>
      </c>
      <c r="N72">
        <v>3.37</v>
      </c>
      <c r="O72">
        <v>1</v>
      </c>
      <c r="P72">
        <v>2</v>
      </c>
      <c r="Q72" s="3">
        <v>0.67638888888888893</v>
      </c>
      <c r="R72">
        <v>7.3</v>
      </c>
      <c r="S72">
        <v>6.21</v>
      </c>
      <c r="T72">
        <v>21.02</v>
      </c>
      <c r="U72">
        <v>8.6</v>
      </c>
      <c r="V72">
        <v>8.6</v>
      </c>
      <c r="W72">
        <v>100</v>
      </c>
      <c r="Y72">
        <v>57</v>
      </c>
      <c r="Z72">
        <v>2.2000000000000002</v>
      </c>
      <c r="AA72">
        <v>0</v>
      </c>
      <c r="AB72" s="3">
        <v>0.74375000000000002</v>
      </c>
      <c r="AC72">
        <v>1.3</v>
      </c>
      <c r="AD72">
        <v>0.3</v>
      </c>
    </row>
    <row r="73" spans="1:30" x14ac:dyDescent="0.2">
      <c r="A73" t="s">
        <v>45</v>
      </c>
      <c r="C73">
        <v>0</v>
      </c>
      <c r="D73" t="s">
        <v>12</v>
      </c>
      <c r="E73">
        <v>3900</v>
      </c>
      <c r="F73" t="s">
        <v>214</v>
      </c>
      <c r="G73" t="s">
        <v>322</v>
      </c>
      <c r="H73" s="2">
        <v>0.79166666666666663</v>
      </c>
      <c r="I73" t="s">
        <v>306</v>
      </c>
      <c r="J73" s="1">
        <v>0.433</v>
      </c>
      <c r="K73">
        <v>-76.5</v>
      </c>
      <c r="L73">
        <v>6</v>
      </c>
      <c r="M73">
        <v>3.09</v>
      </c>
      <c r="N73">
        <v>3</v>
      </c>
      <c r="O73">
        <v>1</v>
      </c>
      <c r="P73">
        <v>2</v>
      </c>
      <c r="Q73" s="3">
        <v>0.95625000000000004</v>
      </c>
      <c r="R73">
        <v>8.4</v>
      </c>
      <c r="S73">
        <v>6.27</v>
      </c>
      <c r="T73">
        <v>22.13</v>
      </c>
      <c r="U73">
        <v>9.59</v>
      </c>
      <c r="V73">
        <v>9.59</v>
      </c>
      <c r="W73">
        <v>100</v>
      </c>
      <c r="Y73">
        <v>63</v>
      </c>
      <c r="Z73">
        <v>2.5</v>
      </c>
      <c r="AA73">
        <v>0</v>
      </c>
      <c r="AB73" s="3">
        <v>0.93541666666666667</v>
      </c>
      <c r="AC73">
        <v>12.9</v>
      </c>
      <c r="AD73">
        <v>3.3</v>
      </c>
    </row>
    <row r="74" spans="1:30" x14ac:dyDescent="0.2">
      <c r="A74" t="s">
        <v>37</v>
      </c>
      <c r="C74">
        <v>0</v>
      </c>
      <c r="D74" t="s">
        <v>9</v>
      </c>
      <c r="E74">
        <v>3900</v>
      </c>
      <c r="F74" t="s">
        <v>214</v>
      </c>
      <c r="G74" t="s">
        <v>322</v>
      </c>
      <c r="H74" s="2">
        <v>0.79166666666666663</v>
      </c>
      <c r="I74" t="s">
        <v>306</v>
      </c>
      <c r="J74" s="1">
        <v>0.433</v>
      </c>
      <c r="K74">
        <v>-76.5</v>
      </c>
      <c r="L74">
        <v>6</v>
      </c>
      <c r="M74">
        <v>3.09</v>
      </c>
      <c r="N74">
        <v>3</v>
      </c>
      <c r="O74">
        <v>3</v>
      </c>
      <c r="P74">
        <v>2</v>
      </c>
      <c r="Q74" s="3">
        <v>0.6118055555555556</v>
      </c>
      <c r="R74">
        <v>7.1</v>
      </c>
      <c r="S74">
        <v>6.32</v>
      </c>
      <c r="T74">
        <v>21.5</v>
      </c>
      <c r="U74">
        <v>8.86</v>
      </c>
      <c r="V74">
        <v>8.86</v>
      </c>
      <c r="W74">
        <v>100</v>
      </c>
      <c r="Y74">
        <v>55</v>
      </c>
      <c r="Z74">
        <v>2.2999999999999998</v>
      </c>
      <c r="AA74">
        <v>0</v>
      </c>
      <c r="AB74" s="3">
        <v>0.67361111111111116</v>
      </c>
      <c r="AC74">
        <v>6</v>
      </c>
      <c r="AD74">
        <v>1.5</v>
      </c>
    </row>
    <row r="75" spans="1:30" x14ac:dyDescent="0.2">
      <c r="A75" t="s">
        <v>65</v>
      </c>
      <c r="C75">
        <v>0</v>
      </c>
      <c r="D75" t="s">
        <v>9</v>
      </c>
      <c r="E75">
        <v>3700</v>
      </c>
      <c r="F75" t="s">
        <v>207</v>
      </c>
      <c r="G75" t="s">
        <v>312</v>
      </c>
      <c r="H75" s="2">
        <v>0.79166666666666663</v>
      </c>
      <c r="I75" t="s">
        <v>313</v>
      </c>
      <c r="J75" s="1">
        <v>0.54500000000000004</v>
      </c>
      <c r="K75">
        <v>83.5</v>
      </c>
      <c r="L75">
        <v>6.5</v>
      </c>
      <c r="M75">
        <v>3.2</v>
      </c>
      <c r="N75">
        <v>3.25</v>
      </c>
      <c r="O75">
        <v>1</v>
      </c>
      <c r="P75">
        <v>2</v>
      </c>
      <c r="Q75" s="3">
        <v>0.71388888888888891</v>
      </c>
      <c r="R75">
        <v>7.1</v>
      </c>
      <c r="S75">
        <v>6.44</v>
      </c>
      <c r="T75">
        <v>21.29</v>
      </c>
      <c r="U75">
        <v>8.41</v>
      </c>
      <c r="V75">
        <v>8.41</v>
      </c>
      <c r="W75">
        <v>100</v>
      </c>
      <c r="Y75">
        <v>55</v>
      </c>
      <c r="Z75">
        <v>2.2999999999999998</v>
      </c>
      <c r="AA75">
        <v>0</v>
      </c>
      <c r="AB75" s="3">
        <v>0.79513888888888884</v>
      </c>
      <c r="AC75">
        <v>6.3</v>
      </c>
      <c r="AD75">
        <v>1.7</v>
      </c>
    </row>
    <row r="76" spans="1:30" x14ac:dyDescent="0.2">
      <c r="A76" t="s">
        <v>13</v>
      </c>
      <c r="C76">
        <v>0</v>
      </c>
      <c r="D76" t="s">
        <v>5</v>
      </c>
      <c r="E76">
        <v>3700</v>
      </c>
      <c r="F76" t="s">
        <v>200</v>
      </c>
      <c r="G76" t="s">
        <v>309</v>
      </c>
      <c r="H76" s="2">
        <v>0.79166666666666663</v>
      </c>
      <c r="I76" t="s">
        <v>306</v>
      </c>
      <c r="J76" s="1">
        <v>0.45500000000000002</v>
      </c>
      <c r="K76">
        <v>-83.5</v>
      </c>
      <c r="L76">
        <v>6.5</v>
      </c>
      <c r="M76">
        <v>3.25</v>
      </c>
      <c r="N76">
        <v>3.2</v>
      </c>
      <c r="O76">
        <v>2</v>
      </c>
      <c r="P76">
        <v>1</v>
      </c>
      <c r="Q76" s="3">
        <v>0.71805555555555556</v>
      </c>
      <c r="R76">
        <v>7.7</v>
      </c>
      <c r="S76">
        <v>6.79</v>
      </c>
      <c r="T76">
        <v>22.97</v>
      </c>
      <c r="U76">
        <v>9.39</v>
      </c>
      <c r="V76">
        <v>9.39</v>
      </c>
      <c r="W76">
        <v>100</v>
      </c>
      <c r="Y76">
        <v>56</v>
      </c>
      <c r="Z76">
        <v>2.5</v>
      </c>
      <c r="AA76">
        <v>0</v>
      </c>
      <c r="AB76" s="3">
        <v>0.73333333333333328</v>
      </c>
      <c r="AC76">
        <v>3</v>
      </c>
      <c r="AD76">
        <v>0.8</v>
      </c>
    </row>
    <row r="77" spans="1:30" x14ac:dyDescent="0.2">
      <c r="A77" t="s">
        <v>328</v>
      </c>
      <c r="C77">
        <v>0</v>
      </c>
      <c r="D77" t="s">
        <v>12</v>
      </c>
      <c r="E77">
        <v>3600</v>
      </c>
      <c r="F77" t="s">
        <v>310</v>
      </c>
      <c r="G77" t="s">
        <v>311</v>
      </c>
      <c r="H77" s="2">
        <v>0.79166666666666663</v>
      </c>
      <c r="I77" t="s">
        <v>306</v>
      </c>
      <c r="J77" s="1">
        <v>0.42</v>
      </c>
      <c r="K77">
        <v>-72.5</v>
      </c>
      <c r="L77">
        <v>6</v>
      </c>
      <c r="M77">
        <v>3.06</v>
      </c>
      <c r="N77">
        <v>3</v>
      </c>
      <c r="O77">
        <v>3</v>
      </c>
      <c r="P77">
        <v>2</v>
      </c>
      <c r="Q77" s="3">
        <v>0.86597222222222225</v>
      </c>
      <c r="R77">
        <v>7.4</v>
      </c>
      <c r="S77">
        <v>4.7699999999999996</v>
      </c>
      <c r="T77">
        <v>17.91</v>
      </c>
      <c r="U77">
        <v>8.3699999999999992</v>
      </c>
      <c r="V77">
        <v>8.3699999999999992</v>
      </c>
      <c r="W77">
        <v>100</v>
      </c>
      <c r="Y77">
        <v>68</v>
      </c>
      <c r="Z77">
        <v>2.2999999999999998</v>
      </c>
      <c r="AA77">
        <v>0</v>
      </c>
    </row>
    <row r="78" spans="1:30" x14ac:dyDescent="0.2">
      <c r="A78" t="s">
        <v>43</v>
      </c>
      <c r="C78">
        <v>0</v>
      </c>
      <c r="D78" t="s">
        <v>9</v>
      </c>
      <c r="E78">
        <v>3600</v>
      </c>
      <c r="F78" t="s">
        <v>204</v>
      </c>
      <c r="G78" t="s">
        <v>317</v>
      </c>
      <c r="H78" s="2">
        <v>0.85416666666666663</v>
      </c>
      <c r="I78" t="s">
        <v>313</v>
      </c>
      <c r="J78" s="1">
        <v>0.39100000000000001</v>
      </c>
      <c r="K78">
        <v>156</v>
      </c>
      <c r="L78">
        <v>7</v>
      </c>
      <c r="M78">
        <v>3.5</v>
      </c>
      <c r="N78">
        <v>4.4000000000000004</v>
      </c>
      <c r="O78">
        <v>3</v>
      </c>
      <c r="P78">
        <v>1</v>
      </c>
      <c r="Q78" s="3">
        <v>0.70833333333333337</v>
      </c>
      <c r="R78">
        <v>7.7</v>
      </c>
      <c r="S78">
        <v>7.01</v>
      </c>
      <c r="T78">
        <v>22.09</v>
      </c>
      <c r="U78">
        <v>8.07</v>
      </c>
      <c r="V78">
        <v>8.07</v>
      </c>
      <c r="W78">
        <v>100</v>
      </c>
      <c r="Y78">
        <v>54</v>
      </c>
      <c r="Z78">
        <v>2.2000000000000002</v>
      </c>
      <c r="AA78">
        <v>0</v>
      </c>
      <c r="AB78" s="3">
        <v>0.72083333333333333</v>
      </c>
      <c r="AC78">
        <v>11</v>
      </c>
      <c r="AD78">
        <v>3.1</v>
      </c>
    </row>
    <row r="79" spans="1:30" x14ac:dyDescent="0.2">
      <c r="A79" t="s">
        <v>114</v>
      </c>
      <c r="C79">
        <v>0</v>
      </c>
      <c r="D79" t="s">
        <v>12</v>
      </c>
      <c r="E79">
        <v>3500</v>
      </c>
      <c r="F79" t="s">
        <v>214</v>
      </c>
      <c r="G79" t="s">
        <v>322</v>
      </c>
      <c r="H79" s="2">
        <v>0.79166666666666663</v>
      </c>
      <c r="I79" t="s">
        <v>306</v>
      </c>
      <c r="J79" s="1">
        <v>0.433</v>
      </c>
      <c r="K79">
        <v>-76.5</v>
      </c>
      <c r="L79">
        <v>6</v>
      </c>
      <c r="M79">
        <v>3.09</v>
      </c>
      <c r="N79">
        <v>3</v>
      </c>
      <c r="O79">
        <v>3</v>
      </c>
      <c r="Q79" s="3">
        <v>0.87222222222222223</v>
      </c>
      <c r="R79">
        <v>6.6</v>
      </c>
      <c r="S79">
        <v>3.99</v>
      </c>
      <c r="T79">
        <v>16.579999999999998</v>
      </c>
      <c r="U79">
        <v>8.6</v>
      </c>
      <c r="V79">
        <v>8.6</v>
      </c>
      <c r="W79">
        <v>100</v>
      </c>
      <c r="Y79">
        <v>70</v>
      </c>
      <c r="Z79">
        <v>2.5</v>
      </c>
      <c r="AA79">
        <v>0</v>
      </c>
      <c r="AB79" s="3">
        <v>0.69305555555555554</v>
      </c>
      <c r="AC79">
        <v>1.3</v>
      </c>
      <c r="AD79">
        <v>0.4</v>
      </c>
    </row>
    <row r="80" spans="1:30" x14ac:dyDescent="0.2">
      <c r="A80" t="s">
        <v>67</v>
      </c>
      <c r="C80">
        <v>0</v>
      </c>
      <c r="D80" t="s">
        <v>12</v>
      </c>
      <c r="E80">
        <v>3500</v>
      </c>
      <c r="F80" t="s">
        <v>214</v>
      </c>
      <c r="G80" t="s">
        <v>322</v>
      </c>
      <c r="H80" s="2">
        <v>0.79166666666666663</v>
      </c>
      <c r="I80" t="s">
        <v>306</v>
      </c>
      <c r="J80" s="1">
        <v>0.433</v>
      </c>
      <c r="K80">
        <v>-76.5</v>
      </c>
      <c r="L80">
        <v>6</v>
      </c>
      <c r="M80">
        <v>3.09</v>
      </c>
      <c r="N80">
        <v>3</v>
      </c>
      <c r="O80">
        <v>1</v>
      </c>
      <c r="Q80" s="4">
        <v>1.0027777777777778</v>
      </c>
      <c r="R80">
        <v>7.9</v>
      </c>
      <c r="S80">
        <v>5.38</v>
      </c>
      <c r="T80">
        <v>19.75</v>
      </c>
      <c r="U80">
        <v>8.99</v>
      </c>
      <c r="V80">
        <v>8.99</v>
      </c>
      <c r="W80">
        <v>100</v>
      </c>
      <c r="Y80">
        <v>66</v>
      </c>
      <c r="Z80">
        <v>2.6</v>
      </c>
      <c r="AA80">
        <v>0</v>
      </c>
      <c r="AB80" s="3">
        <v>0.94374999999999998</v>
      </c>
      <c r="AC80">
        <v>2.6</v>
      </c>
      <c r="AD80">
        <v>0.7</v>
      </c>
    </row>
    <row r="81" spans="1:30" x14ac:dyDescent="0.2">
      <c r="A81" t="s">
        <v>329</v>
      </c>
      <c r="C81">
        <v>0</v>
      </c>
      <c r="D81" t="s">
        <v>5</v>
      </c>
      <c r="E81">
        <v>4800</v>
      </c>
      <c r="F81" t="s">
        <v>319</v>
      </c>
      <c r="G81" t="s">
        <v>320</v>
      </c>
      <c r="H81" s="2">
        <v>0.79166666666666663</v>
      </c>
      <c r="I81" t="s">
        <v>313</v>
      </c>
      <c r="J81" s="1">
        <v>0.57999999999999996</v>
      </c>
      <c r="K81">
        <v>72.5</v>
      </c>
      <c r="L81">
        <v>6</v>
      </c>
      <c r="M81">
        <v>3</v>
      </c>
      <c r="N81">
        <v>3.06</v>
      </c>
      <c r="O81">
        <v>2</v>
      </c>
      <c r="P81">
        <v>2</v>
      </c>
      <c r="Q81" s="3">
        <v>0.83680555555555558</v>
      </c>
      <c r="R81">
        <v>7.8</v>
      </c>
      <c r="S81">
        <v>6.44</v>
      </c>
      <c r="T81">
        <v>20.32</v>
      </c>
      <c r="U81">
        <v>7.44</v>
      </c>
      <c r="V81">
        <v>7.44</v>
      </c>
      <c r="W81">
        <v>100</v>
      </c>
      <c r="Y81">
        <v>59</v>
      </c>
      <c r="Z81">
        <v>1.6</v>
      </c>
      <c r="AA81">
        <v>0</v>
      </c>
    </row>
    <row r="82" spans="1:30" x14ac:dyDescent="0.2">
      <c r="A82" t="s">
        <v>77</v>
      </c>
      <c r="C82">
        <v>0</v>
      </c>
      <c r="D82" t="s">
        <v>9</v>
      </c>
      <c r="E82">
        <v>4500</v>
      </c>
      <c r="F82" t="s">
        <v>206</v>
      </c>
      <c r="G82" t="s">
        <v>314</v>
      </c>
      <c r="H82" s="2">
        <v>0.79166666666666663</v>
      </c>
      <c r="I82" t="s">
        <v>313</v>
      </c>
      <c r="J82" s="1">
        <v>0.56699999999999995</v>
      </c>
      <c r="K82">
        <v>76.5</v>
      </c>
      <c r="L82">
        <v>6</v>
      </c>
      <c r="M82">
        <v>3</v>
      </c>
      <c r="N82">
        <v>3.09</v>
      </c>
      <c r="O82">
        <v>1</v>
      </c>
      <c r="P82">
        <v>2</v>
      </c>
      <c r="Q82" s="3">
        <v>0.69444444444444442</v>
      </c>
      <c r="R82">
        <v>8</v>
      </c>
      <c r="S82">
        <v>7.03</v>
      </c>
      <c r="T82">
        <v>21.86</v>
      </c>
      <c r="U82">
        <v>7.8</v>
      </c>
      <c r="V82">
        <v>7.8</v>
      </c>
      <c r="W82">
        <v>100</v>
      </c>
      <c r="Y82">
        <v>56</v>
      </c>
      <c r="Z82">
        <v>1.7</v>
      </c>
      <c r="AA82">
        <v>0</v>
      </c>
      <c r="AB82" s="3">
        <v>0.71875</v>
      </c>
      <c r="AC82">
        <v>1.3</v>
      </c>
      <c r="AD82">
        <v>0.3</v>
      </c>
    </row>
    <row r="83" spans="1:30" x14ac:dyDescent="0.2">
      <c r="A83" t="s">
        <v>330</v>
      </c>
      <c r="C83">
        <v>0</v>
      </c>
      <c r="D83" t="s">
        <v>12</v>
      </c>
      <c r="E83">
        <v>4100</v>
      </c>
      <c r="F83" t="s">
        <v>206</v>
      </c>
      <c r="G83" t="s">
        <v>314</v>
      </c>
      <c r="H83" s="2">
        <v>0.79166666666666663</v>
      </c>
      <c r="I83" t="s">
        <v>313</v>
      </c>
      <c r="J83" s="1">
        <v>0.56699999999999995</v>
      </c>
      <c r="K83">
        <v>76.5</v>
      </c>
      <c r="L83">
        <v>6</v>
      </c>
      <c r="M83">
        <v>3</v>
      </c>
      <c r="N83">
        <v>3.09</v>
      </c>
      <c r="O83">
        <v>2</v>
      </c>
      <c r="P83">
        <v>2</v>
      </c>
      <c r="Q83" s="3">
        <v>0.76458333333333328</v>
      </c>
      <c r="R83">
        <v>6.6</v>
      </c>
      <c r="S83">
        <v>5.13</v>
      </c>
      <c r="T83">
        <v>18.010000000000002</v>
      </c>
      <c r="U83">
        <v>7.75</v>
      </c>
      <c r="V83">
        <v>7.75</v>
      </c>
      <c r="W83">
        <v>100</v>
      </c>
      <c r="Y83">
        <v>61</v>
      </c>
      <c r="Z83">
        <v>1.9</v>
      </c>
      <c r="AA83">
        <v>0</v>
      </c>
      <c r="AB83" s="3">
        <v>0.93888888888888888</v>
      </c>
      <c r="AC83">
        <v>28.9</v>
      </c>
      <c r="AD83">
        <v>7</v>
      </c>
    </row>
    <row r="84" spans="1:30" x14ac:dyDescent="0.2">
      <c r="A84" t="s">
        <v>48</v>
      </c>
      <c r="C84">
        <v>0</v>
      </c>
      <c r="D84" t="s">
        <v>9</v>
      </c>
      <c r="E84">
        <v>4000</v>
      </c>
      <c r="F84" t="s">
        <v>206</v>
      </c>
      <c r="G84" t="s">
        <v>314</v>
      </c>
      <c r="H84" s="2">
        <v>0.79166666666666663</v>
      </c>
      <c r="I84" t="s">
        <v>313</v>
      </c>
      <c r="J84" s="1">
        <v>0.56699999999999995</v>
      </c>
      <c r="K84">
        <v>76.5</v>
      </c>
      <c r="L84">
        <v>6</v>
      </c>
      <c r="M84">
        <v>3</v>
      </c>
      <c r="N84">
        <v>3.09</v>
      </c>
      <c r="O84">
        <v>2</v>
      </c>
      <c r="P84">
        <v>2</v>
      </c>
      <c r="Q84" s="3">
        <v>0.55902777777777779</v>
      </c>
      <c r="R84">
        <v>6.2</v>
      </c>
      <c r="S84">
        <v>7.11</v>
      </c>
      <c r="T84">
        <v>21.91</v>
      </c>
      <c r="U84">
        <v>7.69</v>
      </c>
      <c r="V84">
        <v>7.69</v>
      </c>
      <c r="W84">
        <v>100</v>
      </c>
      <c r="Y84">
        <v>43</v>
      </c>
      <c r="Z84">
        <v>1.9</v>
      </c>
      <c r="AA84">
        <v>0</v>
      </c>
      <c r="AB84" s="3">
        <v>0.66805555555555551</v>
      </c>
      <c r="AC84">
        <v>11.5</v>
      </c>
      <c r="AD84">
        <v>2.9</v>
      </c>
    </row>
    <row r="85" spans="1:30" x14ac:dyDescent="0.2">
      <c r="A85" t="s">
        <v>56</v>
      </c>
      <c r="C85">
        <v>0</v>
      </c>
      <c r="D85" t="s">
        <v>9</v>
      </c>
      <c r="E85">
        <v>3500</v>
      </c>
      <c r="F85" t="s">
        <v>214</v>
      </c>
      <c r="G85" t="s">
        <v>322</v>
      </c>
      <c r="H85" s="2">
        <v>0.79166666666666663</v>
      </c>
      <c r="I85" t="s">
        <v>306</v>
      </c>
      <c r="J85" s="1">
        <v>0.433</v>
      </c>
      <c r="K85">
        <v>-76.5</v>
      </c>
      <c r="L85">
        <v>6</v>
      </c>
      <c r="M85">
        <v>3.09</v>
      </c>
      <c r="N85">
        <v>3</v>
      </c>
      <c r="O85">
        <v>3</v>
      </c>
      <c r="P85">
        <v>1</v>
      </c>
      <c r="Q85" s="3">
        <v>0.6430555555555556</v>
      </c>
      <c r="R85">
        <v>6.9</v>
      </c>
      <c r="S85">
        <v>5.94</v>
      </c>
      <c r="T85">
        <v>19.75</v>
      </c>
      <c r="U85">
        <v>7.87</v>
      </c>
      <c r="V85">
        <v>7.87</v>
      </c>
      <c r="W85">
        <v>100</v>
      </c>
      <c r="Y85">
        <v>57</v>
      </c>
      <c r="Z85">
        <v>2.2000000000000002</v>
      </c>
      <c r="AA85">
        <v>0</v>
      </c>
      <c r="AB85" s="3">
        <v>0.62569444444444444</v>
      </c>
      <c r="AC85">
        <v>0</v>
      </c>
    </row>
    <row r="86" spans="1:30" x14ac:dyDescent="0.2">
      <c r="A86" t="s">
        <v>331</v>
      </c>
      <c r="C86">
        <v>0</v>
      </c>
      <c r="D86" t="s">
        <v>5</v>
      </c>
      <c r="E86">
        <v>3500</v>
      </c>
      <c r="F86" t="s">
        <v>310</v>
      </c>
      <c r="G86" t="s">
        <v>311</v>
      </c>
      <c r="H86" s="2">
        <v>0.79166666666666663</v>
      </c>
      <c r="I86" t="s">
        <v>306</v>
      </c>
      <c r="J86" s="1">
        <v>0.42</v>
      </c>
      <c r="K86">
        <v>-72.5</v>
      </c>
      <c r="L86">
        <v>6</v>
      </c>
      <c r="M86">
        <v>3.06</v>
      </c>
      <c r="N86">
        <v>3</v>
      </c>
      <c r="O86">
        <v>2</v>
      </c>
      <c r="P86">
        <v>2</v>
      </c>
      <c r="Q86" s="3">
        <v>0.74305555555555558</v>
      </c>
      <c r="R86">
        <v>6.5</v>
      </c>
      <c r="S86">
        <v>5.52</v>
      </c>
      <c r="T86">
        <v>18.62</v>
      </c>
      <c r="U86">
        <v>7.58</v>
      </c>
      <c r="V86">
        <v>7.58</v>
      </c>
      <c r="W86">
        <v>100</v>
      </c>
      <c r="Y86">
        <v>58</v>
      </c>
      <c r="Z86">
        <v>2.2000000000000002</v>
      </c>
      <c r="AA86">
        <v>0</v>
      </c>
    </row>
    <row r="87" spans="1:30" x14ac:dyDescent="0.2">
      <c r="A87" t="s">
        <v>332</v>
      </c>
      <c r="C87">
        <v>0</v>
      </c>
      <c r="D87" t="s">
        <v>12</v>
      </c>
      <c r="E87">
        <v>3400</v>
      </c>
      <c r="F87" t="s">
        <v>310</v>
      </c>
      <c r="G87" t="s">
        <v>311</v>
      </c>
      <c r="H87" s="2">
        <v>0.79166666666666663</v>
      </c>
      <c r="I87" t="s">
        <v>306</v>
      </c>
      <c r="J87" s="1">
        <v>0.42</v>
      </c>
      <c r="K87">
        <v>-72.5</v>
      </c>
      <c r="L87">
        <v>6</v>
      </c>
      <c r="M87">
        <v>3.06</v>
      </c>
      <c r="N87">
        <v>3</v>
      </c>
      <c r="O87">
        <v>1</v>
      </c>
      <c r="Q87" s="3">
        <v>0.8520833333333333</v>
      </c>
      <c r="R87">
        <v>6</v>
      </c>
      <c r="S87">
        <v>4.6900000000000004</v>
      </c>
      <c r="T87">
        <v>17.149999999999999</v>
      </c>
      <c r="U87">
        <v>7.77</v>
      </c>
      <c r="V87">
        <v>7.77</v>
      </c>
      <c r="W87">
        <v>100</v>
      </c>
      <c r="Y87">
        <v>61</v>
      </c>
      <c r="Z87">
        <v>2.2999999999999998</v>
      </c>
      <c r="AA87">
        <v>0</v>
      </c>
    </row>
    <row r="88" spans="1:30" x14ac:dyDescent="0.2">
      <c r="A88" t="s">
        <v>66</v>
      </c>
      <c r="C88">
        <v>0</v>
      </c>
      <c r="D88" t="s">
        <v>9</v>
      </c>
      <c r="E88">
        <v>3400</v>
      </c>
      <c r="F88" t="s">
        <v>204</v>
      </c>
      <c r="G88" t="s">
        <v>317</v>
      </c>
      <c r="H88" s="2">
        <v>0.85416666666666663</v>
      </c>
      <c r="I88" t="s">
        <v>313</v>
      </c>
      <c r="J88" s="1">
        <v>0.39100000000000001</v>
      </c>
      <c r="K88">
        <v>156</v>
      </c>
      <c r="L88">
        <v>7</v>
      </c>
      <c r="M88">
        <v>3.5</v>
      </c>
      <c r="N88">
        <v>4.4000000000000004</v>
      </c>
      <c r="O88">
        <v>1</v>
      </c>
      <c r="P88">
        <v>2</v>
      </c>
      <c r="Q88" s="3">
        <v>0.66249999999999998</v>
      </c>
      <c r="R88">
        <v>5.4</v>
      </c>
      <c r="S88">
        <v>4.79</v>
      </c>
      <c r="T88">
        <v>16.98</v>
      </c>
      <c r="U88">
        <v>7.4</v>
      </c>
      <c r="V88">
        <v>7.4</v>
      </c>
      <c r="W88">
        <v>100</v>
      </c>
      <c r="Y88">
        <v>56</v>
      </c>
      <c r="Z88">
        <v>2.2000000000000002</v>
      </c>
      <c r="AA88">
        <v>0</v>
      </c>
      <c r="AB88" s="3">
        <v>0.8041666666666667</v>
      </c>
      <c r="AC88">
        <v>10</v>
      </c>
      <c r="AD88">
        <v>2.9</v>
      </c>
    </row>
    <row r="89" spans="1:30" x14ac:dyDescent="0.2">
      <c r="A89" t="s">
        <v>63</v>
      </c>
      <c r="C89">
        <v>0</v>
      </c>
      <c r="D89" t="s">
        <v>9</v>
      </c>
      <c r="E89">
        <v>3300</v>
      </c>
      <c r="F89" t="s">
        <v>307</v>
      </c>
      <c r="G89" t="s">
        <v>308</v>
      </c>
      <c r="H89" s="2">
        <v>0.79166666666666663</v>
      </c>
      <c r="I89" t="s">
        <v>306</v>
      </c>
      <c r="J89" s="1">
        <v>0.49399999999999999</v>
      </c>
      <c r="K89">
        <v>-97.5</v>
      </c>
      <c r="L89">
        <v>6</v>
      </c>
      <c r="M89">
        <v>3.37</v>
      </c>
      <c r="N89">
        <v>3</v>
      </c>
      <c r="O89">
        <v>4</v>
      </c>
      <c r="P89">
        <v>1</v>
      </c>
      <c r="Q89" s="3">
        <v>0.58819444444444446</v>
      </c>
      <c r="R89">
        <v>6.1</v>
      </c>
      <c r="S89">
        <v>5.98</v>
      </c>
      <c r="T89">
        <v>20</v>
      </c>
      <c r="U89">
        <v>8.0399999999999991</v>
      </c>
      <c r="V89">
        <v>8.0399999999999991</v>
      </c>
      <c r="W89">
        <v>100</v>
      </c>
      <c r="Y89">
        <v>51</v>
      </c>
      <c r="Z89">
        <v>2.4</v>
      </c>
      <c r="AA89">
        <v>0</v>
      </c>
      <c r="AB89" s="3">
        <v>0.53055555555555556</v>
      </c>
      <c r="AC89">
        <v>1.5</v>
      </c>
      <c r="AD89">
        <v>0.5</v>
      </c>
    </row>
    <row r="90" spans="1:30" x14ac:dyDescent="0.2">
      <c r="A90" t="s">
        <v>99</v>
      </c>
      <c r="C90">
        <v>0</v>
      </c>
      <c r="D90" t="s">
        <v>12</v>
      </c>
      <c r="E90">
        <v>3200</v>
      </c>
      <c r="F90" t="s">
        <v>206</v>
      </c>
      <c r="G90" t="s">
        <v>314</v>
      </c>
      <c r="H90" s="2">
        <v>0.79166666666666663</v>
      </c>
      <c r="I90" t="s">
        <v>313</v>
      </c>
      <c r="J90" s="1">
        <v>0.56699999999999995</v>
      </c>
      <c r="K90">
        <v>76.5</v>
      </c>
      <c r="L90">
        <v>6</v>
      </c>
      <c r="M90">
        <v>3</v>
      </c>
      <c r="N90">
        <v>3.09</v>
      </c>
      <c r="O90">
        <v>2</v>
      </c>
      <c r="Q90" s="3">
        <v>0.86319444444444449</v>
      </c>
      <c r="R90">
        <v>6.5</v>
      </c>
      <c r="S90">
        <v>3.98</v>
      </c>
      <c r="T90">
        <v>16.16</v>
      </c>
      <c r="U90">
        <v>8.1999999999999993</v>
      </c>
      <c r="V90">
        <v>8.1999999999999993</v>
      </c>
      <c r="W90">
        <v>100</v>
      </c>
      <c r="Y90">
        <v>69</v>
      </c>
      <c r="Z90">
        <v>2.6</v>
      </c>
      <c r="AA90">
        <v>0</v>
      </c>
      <c r="AB90" s="4">
        <v>1.0062500000000001</v>
      </c>
      <c r="AC90">
        <v>6.3</v>
      </c>
      <c r="AD90">
        <v>2</v>
      </c>
    </row>
    <row r="91" spans="1:30" x14ac:dyDescent="0.2">
      <c r="A91" t="s">
        <v>102</v>
      </c>
      <c r="C91">
        <v>0</v>
      </c>
      <c r="D91" t="s">
        <v>12</v>
      </c>
      <c r="E91">
        <v>3200</v>
      </c>
      <c r="F91" t="s">
        <v>214</v>
      </c>
      <c r="G91" t="s">
        <v>322</v>
      </c>
      <c r="H91" s="2">
        <v>0.79166666666666663</v>
      </c>
      <c r="I91" t="s">
        <v>306</v>
      </c>
      <c r="J91" s="1">
        <v>0.433</v>
      </c>
      <c r="K91">
        <v>-76.5</v>
      </c>
      <c r="L91">
        <v>6</v>
      </c>
      <c r="M91">
        <v>3.09</v>
      </c>
      <c r="N91">
        <v>3</v>
      </c>
      <c r="O91">
        <v>2</v>
      </c>
      <c r="Q91" s="3">
        <v>0.7895833333333333</v>
      </c>
      <c r="R91">
        <v>6.5</v>
      </c>
      <c r="S91">
        <v>4.79</v>
      </c>
      <c r="T91">
        <v>17.71</v>
      </c>
      <c r="U91">
        <v>8.1300000000000008</v>
      </c>
      <c r="V91">
        <v>8.1300000000000008</v>
      </c>
      <c r="W91">
        <v>100</v>
      </c>
      <c r="Y91">
        <v>63</v>
      </c>
      <c r="Z91">
        <v>2.5</v>
      </c>
      <c r="AA91">
        <v>0</v>
      </c>
      <c r="AB91" s="3">
        <v>0.86111111111111116</v>
      </c>
      <c r="AC91">
        <v>2.6</v>
      </c>
      <c r="AD91">
        <v>0.8</v>
      </c>
    </row>
    <row r="92" spans="1:30" x14ac:dyDescent="0.2">
      <c r="A92" t="s">
        <v>80</v>
      </c>
      <c r="C92">
        <v>0</v>
      </c>
      <c r="D92" t="s">
        <v>12</v>
      </c>
      <c r="E92">
        <v>3300</v>
      </c>
      <c r="F92" t="s">
        <v>207</v>
      </c>
      <c r="G92" t="s">
        <v>312</v>
      </c>
      <c r="H92" s="2">
        <v>0.79166666666666663</v>
      </c>
      <c r="I92" t="s">
        <v>313</v>
      </c>
      <c r="J92" s="1">
        <v>0.54500000000000004</v>
      </c>
      <c r="K92">
        <v>83.5</v>
      </c>
      <c r="L92">
        <v>6.5</v>
      </c>
      <c r="M92">
        <v>3.2</v>
      </c>
      <c r="N92">
        <v>3.25</v>
      </c>
      <c r="O92">
        <v>1</v>
      </c>
      <c r="Q92" s="3">
        <v>0.84027777777777779</v>
      </c>
      <c r="R92">
        <v>5.7</v>
      </c>
      <c r="S92">
        <v>4.09</v>
      </c>
      <c r="T92">
        <v>15</v>
      </c>
      <c r="U92">
        <v>6.82</v>
      </c>
      <c r="V92">
        <v>6.82</v>
      </c>
      <c r="W92">
        <v>100</v>
      </c>
      <c r="Y92">
        <v>64</v>
      </c>
      <c r="Z92">
        <v>2.1</v>
      </c>
      <c r="AA92">
        <v>0</v>
      </c>
      <c r="AB92" s="3">
        <v>0.88055555555555554</v>
      </c>
      <c r="AC92">
        <v>11</v>
      </c>
      <c r="AD92">
        <v>3.3</v>
      </c>
    </row>
    <row r="93" spans="1:30" x14ac:dyDescent="0.2">
      <c r="A93" t="s">
        <v>333</v>
      </c>
      <c r="C93">
        <v>0</v>
      </c>
      <c r="D93" t="s">
        <v>9</v>
      </c>
      <c r="E93">
        <v>3100</v>
      </c>
      <c r="F93" t="s">
        <v>310</v>
      </c>
      <c r="G93" t="s">
        <v>311</v>
      </c>
      <c r="H93" s="2">
        <v>0.79166666666666663</v>
      </c>
      <c r="I93" t="s">
        <v>306</v>
      </c>
      <c r="J93" s="1">
        <v>0.42</v>
      </c>
      <c r="K93">
        <v>-72.5</v>
      </c>
      <c r="L93">
        <v>6</v>
      </c>
      <c r="M93">
        <v>3.06</v>
      </c>
      <c r="N93">
        <v>3</v>
      </c>
      <c r="O93">
        <v>4</v>
      </c>
      <c r="Q93" s="3">
        <v>0.62430555555555556</v>
      </c>
      <c r="R93">
        <v>7.9</v>
      </c>
      <c r="S93">
        <v>7.22</v>
      </c>
      <c r="T93">
        <v>22.05</v>
      </c>
      <c r="U93">
        <v>7.61</v>
      </c>
      <c r="V93">
        <v>7.61</v>
      </c>
      <c r="W93">
        <v>100</v>
      </c>
      <c r="Y93">
        <v>54</v>
      </c>
      <c r="Z93">
        <v>2.5</v>
      </c>
      <c r="AA93">
        <v>0</v>
      </c>
    </row>
    <row r="94" spans="1:30" x14ac:dyDescent="0.2">
      <c r="A94" t="s">
        <v>75</v>
      </c>
      <c r="C94">
        <v>0</v>
      </c>
      <c r="D94" t="s">
        <v>5</v>
      </c>
      <c r="E94">
        <v>3100</v>
      </c>
      <c r="F94" t="s">
        <v>204</v>
      </c>
      <c r="G94" t="s">
        <v>317</v>
      </c>
      <c r="H94" s="2">
        <v>0.85416666666666663</v>
      </c>
      <c r="I94" t="s">
        <v>313</v>
      </c>
      <c r="J94" s="1">
        <v>0.39100000000000001</v>
      </c>
      <c r="K94">
        <v>156</v>
      </c>
      <c r="L94">
        <v>7</v>
      </c>
      <c r="M94">
        <v>3.5</v>
      </c>
      <c r="N94">
        <v>4.4000000000000004</v>
      </c>
      <c r="O94">
        <v>2</v>
      </c>
      <c r="Q94" s="3">
        <v>0.58263888888888893</v>
      </c>
      <c r="R94">
        <v>5.8</v>
      </c>
      <c r="S94">
        <v>5.09</v>
      </c>
      <c r="T94">
        <v>18.55</v>
      </c>
      <c r="U94">
        <v>8.3699999999999992</v>
      </c>
      <c r="V94">
        <v>8.3699999999999992</v>
      </c>
      <c r="W94">
        <v>100</v>
      </c>
      <c r="Y94">
        <v>56</v>
      </c>
      <c r="Z94">
        <v>2.7</v>
      </c>
      <c r="AA94">
        <v>0</v>
      </c>
      <c r="AB94" s="3">
        <v>0.78680555555555554</v>
      </c>
      <c r="AC94">
        <v>9.1</v>
      </c>
      <c r="AD94">
        <v>2.9</v>
      </c>
    </row>
    <row r="95" spans="1:30" x14ac:dyDescent="0.2">
      <c r="A95" t="s">
        <v>143</v>
      </c>
      <c r="C95">
        <v>0</v>
      </c>
      <c r="D95" t="s">
        <v>9</v>
      </c>
      <c r="E95">
        <v>3800</v>
      </c>
      <c r="F95" t="s">
        <v>319</v>
      </c>
      <c r="G95" t="s">
        <v>320</v>
      </c>
      <c r="H95" s="2">
        <v>0.79166666666666663</v>
      </c>
      <c r="I95" t="s">
        <v>313</v>
      </c>
      <c r="J95" s="1">
        <v>0.57999999999999996</v>
      </c>
      <c r="K95">
        <v>72.5</v>
      </c>
      <c r="L95">
        <v>6</v>
      </c>
      <c r="M95">
        <v>3</v>
      </c>
      <c r="N95">
        <v>3.06</v>
      </c>
      <c r="O95">
        <v>1</v>
      </c>
      <c r="P95">
        <v>1</v>
      </c>
      <c r="Q95" s="3">
        <v>0.58125000000000004</v>
      </c>
      <c r="R95">
        <v>7.1</v>
      </c>
      <c r="S95">
        <v>5.28</v>
      </c>
      <c r="T95">
        <v>17.34</v>
      </c>
      <c r="U95">
        <v>6.78</v>
      </c>
      <c r="V95">
        <v>6.78</v>
      </c>
      <c r="W95">
        <v>100</v>
      </c>
      <c r="Y95">
        <v>63</v>
      </c>
      <c r="Z95">
        <v>1.8</v>
      </c>
      <c r="AA95">
        <v>0</v>
      </c>
    </row>
    <row r="96" spans="1:30" x14ac:dyDescent="0.2">
      <c r="A96" t="s">
        <v>87</v>
      </c>
      <c r="C96">
        <v>0</v>
      </c>
      <c r="D96" t="s">
        <v>5</v>
      </c>
      <c r="E96">
        <v>3300</v>
      </c>
      <c r="F96" t="s">
        <v>214</v>
      </c>
      <c r="G96" t="s">
        <v>322</v>
      </c>
      <c r="H96" s="2">
        <v>0.79166666666666663</v>
      </c>
      <c r="I96" t="s">
        <v>306</v>
      </c>
      <c r="J96" s="1">
        <v>0.433</v>
      </c>
      <c r="K96">
        <v>-76.5</v>
      </c>
      <c r="L96">
        <v>6</v>
      </c>
      <c r="M96">
        <v>3.09</v>
      </c>
      <c r="N96">
        <v>3</v>
      </c>
      <c r="O96">
        <v>2</v>
      </c>
      <c r="Q96" s="3">
        <v>0.72013888888888888</v>
      </c>
      <c r="R96">
        <v>6.3</v>
      </c>
      <c r="S96">
        <v>6.49</v>
      </c>
      <c r="T96">
        <v>19.88</v>
      </c>
      <c r="U96">
        <v>6.9</v>
      </c>
      <c r="V96">
        <v>6.9</v>
      </c>
      <c r="W96">
        <v>100</v>
      </c>
      <c r="Y96">
        <v>48</v>
      </c>
      <c r="Z96">
        <v>2.1</v>
      </c>
      <c r="AA96">
        <v>0</v>
      </c>
      <c r="AB96" s="3">
        <v>0.71805555555555556</v>
      </c>
      <c r="AC96">
        <v>0</v>
      </c>
    </row>
    <row r="97" spans="1:30" x14ac:dyDescent="0.2">
      <c r="A97" t="s">
        <v>60</v>
      </c>
      <c r="C97">
        <v>0</v>
      </c>
      <c r="D97" t="s">
        <v>9</v>
      </c>
      <c r="E97">
        <v>3100</v>
      </c>
      <c r="F97" t="s">
        <v>211</v>
      </c>
      <c r="G97" t="s">
        <v>315</v>
      </c>
      <c r="H97" s="2">
        <v>0.79166666666666663</v>
      </c>
      <c r="I97" t="s">
        <v>313</v>
      </c>
      <c r="J97" s="1">
        <v>0.50600000000000001</v>
      </c>
      <c r="K97">
        <v>97.5</v>
      </c>
      <c r="L97">
        <v>6</v>
      </c>
      <c r="M97">
        <v>3</v>
      </c>
      <c r="N97">
        <v>3.37</v>
      </c>
      <c r="O97">
        <v>3</v>
      </c>
      <c r="P97">
        <v>2</v>
      </c>
      <c r="Q97" s="3">
        <v>0.5180555555555556</v>
      </c>
      <c r="R97">
        <v>5.9</v>
      </c>
      <c r="S97">
        <v>5.63</v>
      </c>
      <c r="T97">
        <v>18.3</v>
      </c>
      <c r="U97">
        <v>7.04</v>
      </c>
      <c r="V97">
        <v>7.04</v>
      </c>
      <c r="W97">
        <v>100</v>
      </c>
      <c r="Y97">
        <v>52</v>
      </c>
      <c r="Z97">
        <v>2.2999999999999998</v>
      </c>
      <c r="AA97">
        <v>0</v>
      </c>
      <c r="AB97" s="3">
        <v>0.53819444444444442</v>
      </c>
      <c r="AC97">
        <v>6</v>
      </c>
      <c r="AD97">
        <v>1.9</v>
      </c>
    </row>
    <row r="98" spans="1:30" x14ac:dyDescent="0.2">
      <c r="A98" t="s">
        <v>29</v>
      </c>
      <c r="C98">
        <v>0</v>
      </c>
      <c r="D98" t="s">
        <v>12</v>
      </c>
      <c r="E98">
        <v>3000</v>
      </c>
      <c r="F98" t="s">
        <v>307</v>
      </c>
      <c r="G98" t="s">
        <v>308</v>
      </c>
      <c r="H98" s="2">
        <v>0.79166666666666663</v>
      </c>
      <c r="I98" t="s">
        <v>306</v>
      </c>
      <c r="J98" s="1">
        <v>0.49399999999999999</v>
      </c>
      <c r="K98">
        <v>-97.5</v>
      </c>
      <c r="L98">
        <v>6</v>
      </c>
      <c r="M98">
        <v>3.37</v>
      </c>
      <c r="N98">
        <v>3</v>
      </c>
      <c r="O98">
        <v>1</v>
      </c>
      <c r="P98">
        <v>2</v>
      </c>
      <c r="Q98" s="3">
        <v>0.91111111111111109</v>
      </c>
      <c r="R98">
        <v>5.9</v>
      </c>
      <c r="S98">
        <v>4.58</v>
      </c>
      <c r="T98">
        <v>16.899999999999999</v>
      </c>
      <c r="U98">
        <v>7.74</v>
      </c>
      <c r="V98">
        <v>7.74</v>
      </c>
      <c r="W98">
        <v>100</v>
      </c>
      <c r="Y98">
        <v>61</v>
      </c>
      <c r="Z98">
        <v>2.6</v>
      </c>
      <c r="AA98">
        <v>0</v>
      </c>
      <c r="AB98" s="4">
        <v>1.0618055555555554</v>
      </c>
      <c r="AC98">
        <v>19</v>
      </c>
      <c r="AD98">
        <v>6.3</v>
      </c>
    </row>
    <row r="99" spans="1:30" x14ac:dyDescent="0.2">
      <c r="A99" t="s">
        <v>160</v>
      </c>
      <c r="C99">
        <v>0</v>
      </c>
      <c r="D99" t="s">
        <v>9</v>
      </c>
      <c r="E99">
        <v>3500</v>
      </c>
      <c r="F99" t="s">
        <v>206</v>
      </c>
      <c r="G99" t="s">
        <v>314</v>
      </c>
      <c r="H99" s="2">
        <v>0.79166666666666663</v>
      </c>
      <c r="I99" t="s">
        <v>313</v>
      </c>
      <c r="J99" s="1">
        <v>0.56699999999999995</v>
      </c>
      <c r="K99">
        <v>76.5</v>
      </c>
      <c r="L99">
        <v>6</v>
      </c>
      <c r="M99">
        <v>3</v>
      </c>
      <c r="N99">
        <v>3.09</v>
      </c>
      <c r="O99">
        <v>2</v>
      </c>
      <c r="P99">
        <v>1</v>
      </c>
      <c r="Q99" s="3">
        <v>0.68402777777777779</v>
      </c>
      <c r="R99">
        <v>6</v>
      </c>
      <c r="S99">
        <v>6.44</v>
      </c>
      <c r="T99">
        <v>19.559999999999999</v>
      </c>
      <c r="U99">
        <v>6.68</v>
      </c>
      <c r="V99">
        <v>6.68</v>
      </c>
      <c r="W99">
        <v>100</v>
      </c>
      <c r="Y99">
        <v>46</v>
      </c>
      <c r="Z99">
        <v>1.9</v>
      </c>
      <c r="AA99">
        <v>0</v>
      </c>
    </row>
    <row r="100" spans="1:30" x14ac:dyDescent="0.2">
      <c r="A100" t="s">
        <v>57</v>
      </c>
      <c r="C100">
        <v>0</v>
      </c>
      <c r="D100" t="s">
        <v>9</v>
      </c>
      <c r="E100">
        <v>3000</v>
      </c>
      <c r="F100" t="s">
        <v>200</v>
      </c>
      <c r="G100" t="s">
        <v>309</v>
      </c>
      <c r="H100" s="2">
        <v>0.79166666666666663</v>
      </c>
      <c r="I100" t="s">
        <v>306</v>
      </c>
      <c r="J100" s="1">
        <v>0.45500000000000002</v>
      </c>
      <c r="K100">
        <v>-83.5</v>
      </c>
      <c r="L100">
        <v>6.5</v>
      </c>
      <c r="M100">
        <v>3.25</v>
      </c>
      <c r="N100">
        <v>3.2</v>
      </c>
      <c r="O100">
        <v>3</v>
      </c>
      <c r="Q100" s="3">
        <v>0.58888888888888891</v>
      </c>
      <c r="R100">
        <v>5.3</v>
      </c>
      <c r="S100">
        <v>7.98</v>
      </c>
      <c r="T100">
        <v>23.15</v>
      </c>
      <c r="U100">
        <v>7.19</v>
      </c>
      <c r="V100">
        <v>7.19</v>
      </c>
      <c r="W100">
        <v>100</v>
      </c>
      <c r="Y100">
        <v>25</v>
      </c>
      <c r="Z100">
        <v>2.4</v>
      </c>
      <c r="AA100">
        <v>0</v>
      </c>
      <c r="AB100" s="3">
        <v>0.67986111111111114</v>
      </c>
      <c r="AC100">
        <v>3</v>
      </c>
      <c r="AD100">
        <v>1</v>
      </c>
    </row>
    <row r="101" spans="1:30" x14ac:dyDescent="0.2">
      <c r="A101" t="s">
        <v>334</v>
      </c>
      <c r="C101">
        <v>0</v>
      </c>
      <c r="D101" t="s">
        <v>9</v>
      </c>
      <c r="E101">
        <v>3000</v>
      </c>
      <c r="F101" t="s">
        <v>319</v>
      </c>
      <c r="G101" t="s">
        <v>320</v>
      </c>
      <c r="H101" s="2">
        <v>0.79166666666666663</v>
      </c>
      <c r="I101" t="s">
        <v>313</v>
      </c>
      <c r="J101" s="1">
        <v>0.57999999999999996</v>
      </c>
      <c r="K101">
        <v>72.5</v>
      </c>
      <c r="L101">
        <v>6</v>
      </c>
      <c r="M101">
        <v>3</v>
      </c>
      <c r="N101">
        <v>3.06</v>
      </c>
      <c r="O101">
        <v>2</v>
      </c>
      <c r="Q101" s="3">
        <v>0.66388888888888886</v>
      </c>
      <c r="R101">
        <v>6.3</v>
      </c>
      <c r="S101">
        <v>5.03</v>
      </c>
      <c r="T101">
        <v>16.940000000000001</v>
      </c>
      <c r="U101">
        <v>6.88</v>
      </c>
      <c r="V101">
        <v>6.88</v>
      </c>
      <c r="W101">
        <v>100</v>
      </c>
      <c r="Y101">
        <v>60</v>
      </c>
      <c r="Z101">
        <v>2.2999999999999998</v>
      </c>
      <c r="AA101">
        <v>0</v>
      </c>
    </row>
    <row r="102" spans="1:30" x14ac:dyDescent="0.2">
      <c r="A102" t="s">
        <v>101</v>
      </c>
      <c r="C102">
        <v>0</v>
      </c>
      <c r="D102" t="s">
        <v>12</v>
      </c>
      <c r="E102">
        <v>3000</v>
      </c>
      <c r="F102" t="s">
        <v>204</v>
      </c>
      <c r="G102" t="s">
        <v>317</v>
      </c>
      <c r="H102" s="2">
        <v>0.85416666666666663</v>
      </c>
      <c r="I102" t="s">
        <v>313</v>
      </c>
      <c r="J102" s="1">
        <v>0.39100000000000001</v>
      </c>
      <c r="K102">
        <v>156</v>
      </c>
      <c r="L102">
        <v>7</v>
      </c>
      <c r="M102">
        <v>3.5</v>
      </c>
      <c r="N102">
        <v>4.4000000000000004</v>
      </c>
      <c r="O102">
        <v>3</v>
      </c>
      <c r="Q102" s="3">
        <v>0.74027777777777781</v>
      </c>
      <c r="R102">
        <v>6.6</v>
      </c>
      <c r="S102">
        <v>5.28</v>
      </c>
      <c r="T102">
        <v>18.38</v>
      </c>
      <c r="U102">
        <v>7.82</v>
      </c>
      <c r="V102">
        <v>7.82</v>
      </c>
      <c r="W102">
        <v>100</v>
      </c>
      <c r="Y102">
        <v>60</v>
      </c>
      <c r="Z102">
        <v>2.6</v>
      </c>
      <c r="AA102">
        <v>0</v>
      </c>
      <c r="AB102" s="3">
        <v>0.63124999999999998</v>
      </c>
      <c r="AC102">
        <v>4.5</v>
      </c>
      <c r="AD102">
        <v>1.5</v>
      </c>
    </row>
    <row r="103" spans="1:30" x14ac:dyDescent="0.2">
      <c r="A103" t="s">
        <v>40</v>
      </c>
      <c r="C103">
        <v>0</v>
      </c>
      <c r="D103" t="s">
        <v>5</v>
      </c>
      <c r="E103">
        <v>2900</v>
      </c>
      <c r="F103" t="s">
        <v>200</v>
      </c>
      <c r="G103" t="s">
        <v>309</v>
      </c>
      <c r="H103" s="2">
        <v>0.79166666666666663</v>
      </c>
      <c r="I103" t="s">
        <v>306</v>
      </c>
      <c r="J103" s="1">
        <v>0.45500000000000002</v>
      </c>
      <c r="K103">
        <v>-83.5</v>
      </c>
      <c r="L103">
        <v>6.5</v>
      </c>
      <c r="M103">
        <v>3.25</v>
      </c>
      <c r="N103">
        <v>3.2</v>
      </c>
      <c r="O103">
        <v>3</v>
      </c>
      <c r="P103">
        <v>2</v>
      </c>
      <c r="Q103" s="3">
        <v>0.60833333333333328</v>
      </c>
      <c r="R103">
        <v>6.3</v>
      </c>
      <c r="S103">
        <v>7.05</v>
      </c>
      <c r="T103">
        <v>22.79</v>
      </c>
      <c r="U103">
        <v>8.69</v>
      </c>
      <c r="V103">
        <v>8.69</v>
      </c>
      <c r="W103">
        <v>100</v>
      </c>
      <c r="Y103">
        <v>44</v>
      </c>
      <c r="Z103">
        <v>3</v>
      </c>
      <c r="AA103">
        <v>0</v>
      </c>
      <c r="AB103" s="3">
        <v>0.61736111111111114</v>
      </c>
      <c r="AC103">
        <v>0</v>
      </c>
    </row>
    <row r="104" spans="1:30" x14ac:dyDescent="0.2">
      <c r="A104" t="s">
        <v>94</v>
      </c>
      <c r="C104">
        <v>0</v>
      </c>
      <c r="D104" t="s">
        <v>5</v>
      </c>
      <c r="E104">
        <v>3400</v>
      </c>
      <c r="F104" t="s">
        <v>214</v>
      </c>
      <c r="G104" t="s">
        <v>322</v>
      </c>
      <c r="H104" s="2">
        <v>0.79166666666666663</v>
      </c>
      <c r="I104" t="s">
        <v>306</v>
      </c>
      <c r="J104" s="1">
        <v>0.433</v>
      </c>
      <c r="K104">
        <v>-76.5</v>
      </c>
      <c r="L104">
        <v>6</v>
      </c>
      <c r="M104">
        <v>3.09</v>
      </c>
      <c r="N104">
        <v>3</v>
      </c>
      <c r="O104">
        <v>3</v>
      </c>
      <c r="P104">
        <v>2</v>
      </c>
      <c r="Q104" s="3">
        <v>0.67777777777777781</v>
      </c>
      <c r="R104">
        <v>6.7</v>
      </c>
      <c r="S104">
        <v>6.34</v>
      </c>
      <c r="T104">
        <v>19.399999999999999</v>
      </c>
      <c r="U104">
        <v>6.72</v>
      </c>
      <c r="V104">
        <v>6.72</v>
      </c>
      <c r="W104">
        <v>100</v>
      </c>
      <c r="Y104">
        <v>53</v>
      </c>
      <c r="Z104">
        <v>2</v>
      </c>
      <c r="AA104">
        <v>0</v>
      </c>
      <c r="AB104" s="3">
        <v>0.69652777777777775</v>
      </c>
      <c r="AC104">
        <v>4.5</v>
      </c>
      <c r="AD104">
        <v>1.3</v>
      </c>
    </row>
    <row r="105" spans="1:30" x14ac:dyDescent="0.2">
      <c r="A105" t="s">
        <v>335</v>
      </c>
      <c r="C105">
        <v>0</v>
      </c>
      <c r="D105" t="s">
        <v>12</v>
      </c>
      <c r="E105">
        <v>3400</v>
      </c>
      <c r="F105" t="s">
        <v>319</v>
      </c>
      <c r="G105" t="s">
        <v>320</v>
      </c>
      <c r="H105" s="2">
        <v>0.79166666666666663</v>
      </c>
      <c r="I105" t="s">
        <v>313</v>
      </c>
      <c r="J105" s="1">
        <v>0.57999999999999996</v>
      </c>
      <c r="K105">
        <v>72.5</v>
      </c>
      <c r="L105">
        <v>6</v>
      </c>
      <c r="M105">
        <v>3</v>
      </c>
      <c r="N105">
        <v>3.06</v>
      </c>
      <c r="O105">
        <v>1</v>
      </c>
      <c r="P105">
        <v>2</v>
      </c>
      <c r="Q105" s="3">
        <v>0.95833333333333337</v>
      </c>
      <c r="R105">
        <v>6.1</v>
      </c>
      <c r="S105">
        <v>4.71</v>
      </c>
      <c r="T105">
        <v>16.14</v>
      </c>
      <c r="U105">
        <v>6.72</v>
      </c>
      <c r="V105">
        <v>6.72</v>
      </c>
      <c r="W105">
        <v>100</v>
      </c>
      <c r="Y105">
        <v>61</v>
      </c>
      <c r="Z105">
        <v>2</v>
      </c>
      <c r="AA105">
        <v>0</v>
      </c>
    </row>
    <row r="106" spans="1:30" x14ac:dyDescent="0.2">
      <c r="A106" t="s">
        <v>47</v>
      </c>
      <c r="C106">
        <v>0</v>
      </c>
      <c r="D106" t="s">
        <v>5</v>
      </c>
      <c r="E106">
        <v>3200</v>
      </c>
      <c r="F106" t="s">
        <v>211</v>
      </c>
      <c r="G106" t="s">
        <v>315</v>
      </c>
      <c r="H106" s="2">
        <v>0.79166666666666663</v>
      </c>
      <c r="I106" t="s">
        <v>313</v>
      </c>
      <c r="J106" s="1">
        <v>0.50600000000000001</v>
      </c>
      <c r="K106">
        <v>97.5</v>
      </c>
      <c r="L106">
        <v>6</v>
      </c>
      <c r="M106">
        <v>3</v>
      </c>
      <c r="N106">
        <v>3.37</v>
      </c>
      <c r="O106">
        <v>2</v>
      </c>
      <c r="P106">
        <v>1</v>
      </c>
      <c r="Q106" s="3">
        <v>0.63611111111111107</v>
      </c>
      <c r="R106">
        <v>5.6</v>
      </c>
      <c r="S106">
        <v>5.03</v>
      </c>
      <c r="T106">
        <v>16.77</v>
      </c>
      <c r="U106">
        <v>6.71</v>
      </c>
      <c r="V106">
        <v>6.71</v>
      </c>
      <c r="W106">
        <v>100</v>
      </c>
      <c r="Y106">
        <v>55</v>
      </c>
      <c r="Z106">
        <v>2.1</v>
      </c>
      <c r="AA106">
        <v>0</v>
      </c>
      <c r="AB106" s="3">
        <v>0.64444444444444449</v>
      </c>
      <c r="AC106">
        <v>10.5</v>
      </c>
      <c r="AD106">
        <v>3.3</v>
      </c>
    </row>
    <row r="107" spans="1:30" x14ac:dyDescent="0.2">
      <c r="A107" t="s">
        <v>336</v>
      </c>
      <c r="C107">
        <v>0</v>
      </c>
      <c r="D107" t="s">
        <v>9</v>
      </c>
      <c r="E107">
        <v>2900</v>
      </c>
      <c r="F107" t="s">
        <v>310</v>
      </c>
      <c r="G107" t="s">
        <v>311</v>
      </c>
      <c r="H107" s="2">
        <v>0.79166666666666663</v>
      </c>
      <c r="I107" t="s">
        <v>306</v>
      </c>
      <c r="J107" s="1">
        <v>0.42</v>
      </c>
      <c r="K107">
        <v>-72.5</v>
      </c>
      <c r="L107">
        <v>6</v>
      </c>
      <c r="M107">
        <v>3.06</v>
      </c>
      <c r="N107">
        <v>3</v>
      </c>
      <c r="O107">
        <v>3</v>
      </c>
      <c r="Q107" s="3">
        <v>0.6479166666666667</v>
      </c>
      <c r="R107">
        <v>6.1</v>
      </c>
      <c r="S107">
        <v>5.98</v>
      </c>
      <c r="T107">
        <v>19.579999999999998</v>
      </c>
      <c r="U107">
        <v>7.62</v>
      </c>
      <c r="V107">
        <v>7.62</v>
      </c>
      <c r="W107">
        <v>100</v>
      </c>
      <c r="Y107">
        <v>51</v>
      </c>
      <c r="Z107">
        <v>2.6</v>
      </c>
      <c r="AA107">
        <v>0</v>
      </c>
    </row>
    <row r="108" spans="1:30" x14ac:dyDescent="0.2">
      <c r="A108" t="s">
        <v>70</v>
      </c>
      <c r="C108">
        <v>0</v>
      </c>
      <c r="D108" t="s">
        <v>9</v>
      </c>
      <c r="E108">
        <v>2700</v>
      </c>
      <c r="F108" t="s">
        <v>214</v>
      </c>
      <c r="G108" t="s">
        <v>322</v>
      </c>
      <c r="H108" s="2">
        <v>0.79166666666666663</v>
      </c>
      <c r="I108" t="s">
        <v>306</v>
      </c>
      <c r="J108" s="1">
        <v>0.433</v>
      </c>
      <c r="K108">
        <v>-76.5</v>
      </c>
      <c r="L108">
        <v>6</v>
      </c>
      <c r="M108">
        <v>3.09</v>
      </c>
      <c r="N108">
        <v>3</v>
      </c>
      <c r="O108">
        <v>2</v>
      </c>
      <c r="P108">
        <v>2</v>
      </c>
      <c r="Q108" s="3">
        <v>0.56944444444444442</v>
      </c>
      <c r="R108">
        <v>5.5</v>
      </c>
      <c r="S108">
        <v>5.62</v>
      </c>
      <c r="T108">
        <v>18.989999999999998</v>
      </c>
      <c r="U108">
        <v>7.75</v>
      </c>
      <c r="V108">
        <v>7.75</v>
      </c>
      <c r="W108">
        <v>100</v>
      </c>
      <c r="Y108">
        <v>49</v>
      </c>
      <c r="Z108">
        <v>2.9</v>
      </c>
      <c r="AA108">
        <v>0</v>
      </c>
      <c r="AB108" s="3">
        <v>0.6118055555555556</v>
      </c>
      <c r="AC108">
        <v>1.5</v>
      </c>
      <c r="AD108">
        <v>0.6</v>
      </c>
    </row>
    <row r="109" spans="1:30" x14ac:dyDescent="0.2">
      <c r="A109" t="s">
        <v>69</v>
      </c>
      <c r="C109">
        <v>0</v>
      </c>
      <c r="D109" t="s">
        <v>12</v>
      </c>
      <c r="E109">
        <v>2700</v>
      </c>
      <c r="F109" t="s">
        <v>204</v>
      </c>
      <c r="G109" t="s">
        <v>317</v>
      </c>
      <c r="H109" s="2">
        <v>0.85416666666666663</v>
      </c>
      <c r="I109" t="s">
        <v>313</v>
      </c>
      <c r="J109" s="1">
        <v>0.39100000000000001</v>
      </c>
      <c r="K109">
        <v>156</v>
      </c>
      <c r="L109">
        <v>7</v>
      </c>
      <c r="M109">
        <v>3.5</v>
      </c>
      <c r="N109">
        <v>4.4000000000000004</v>
      </c>
      <c r="O109">
        <v>3</v>
      </c>
      <c r="Q109" s="3">
        <v>0.70833333333333337</v>
      </c>
      <c r="R109">
        <v>6.2</v>
      </c>
      <c r="S109">
        <v>4.21</v>
      </c>
      <c r="T109">
        <v>16.46</v>
      </c>
      <c r="U109">
        <v>8.0399999999999991</v>
      </c>
      <c r="V109">
        <v>8.0399999999999991</v>
      </c>
      <c r="W109">
        <v>100</v>
      </c>
      <c r="Y109">
        <v>66</v>
      </c>
      <c r="Z109">
        <v>3</v>
      </c>
      <c r="AA109">
        <v>0</v>
      </c>
      <c r="AB109" s="3">
        <v>0.62430555555555556</v>
      </c>
      <c r="AC109">
        <v>1.3</v>
      </c>
      <c r="AD109">
        <v>0.5</v>
      </c>
    </row>
    <row r="110" spans="1:30" x14ac:dyDescent="0.2">
      <c r="A110" t="s">
        <v>107</v>
      </c>
      <c r="C110">
        <v>0</v>
      </c>
      <c r="D110" t="s">
        <v>12</v>
      </c>
      <c r="E110">
        <v>2500</v>
      </c>
      <c r="F110" t="s">
        <v>203</v>
      </c>
      <c r="G110" t="s">
        <v>305</v>
      </c>
      <c r="H110" s="2">
        <v>0.85416666666666663</v>
      </c>
      <c r="I110" t="s">
        <v>306</v>
      </c>
      <c r="J110" s="1">
        <v>0.60899999999999999</v>
      </c>
      <c r="K110">
        <v>-156</v>
      </c>
      <c r="L110">
        <v>7</v>
      </c>
      <c r="M110">
        <v>4.4000000000000004</v>
      </c>
      <c r="N110">
        <v>3.5</v>
      </c>
      <c r="O110">
        <v>3</v>
      </c>
      <c r="Q110" s="3">
        <v>0.67152777777777772</v>
      </c>
      <c r="R110">
        <v>5.0999999999999996</v>
      </c>
      <c r="S110">
        <v>3.68</v>
      </c>
      <c r="T110">
        <v>15.7</v>
      </c>
      <c r="U110">
        <v>8.34</v>
      </c>
      <c r="V110">
        <v>8.34</v>
      </c>
      <c r="W110">
        <v>100</v>
      </c>
      <c r="Y110">
        <v>64</v>
      </c>
      <c r="Z110">
        <v>3.3</v>
      </c>
      <c r="AA110">
        <v>0</v>
      </c>
      <c r="AB110" s="3">
        <v>0.61944444444444446</v>
      </c>
      <c r="AC110">
        <v>9.1</v>
      </c>
      <c r="AD110">
        <v>3.6</v>
      </c>
    </row>
    <row r="111" spans="1:30" x14ac:dyDescent="0.2">
      <c r="A111" t="s">
        <v>228</v>
      </c>
      <c r="C111">
        <v>0</v>
      </c>
      <c r="D111" t="s">
        <v>12</v>
      </c>
      <c r="E111">
        <v>2500</v>
      </c>
      <c r="F111" t="s">
        <v>204</v>
      </c>
      <c r="G111" t="s">
        <v>317</v>
      </c>
      <c r="H111" s="2">
        <v>0.85416666666666663</v>
      </c>
      <c r="I111" t="s">
        <v>313</v>
      </c>
      <c r="J111" s="1">
        <v>0.39100000000000001</v>
      </c>
      <c r="K111">
        <v>156</v>
      </c>
      <c r="L111">
        <v>7</v>
      </c>
      <c r="M111">
        <v>3.5</v>
      </c>
      <c r="N111">
        <v>4.4000000000000004</v>
      </c>
      <c r="O111">
        <v>4</v>
      </c>
      <c r="Q111" s="3">
        <v>0.59166666666666667</v>
      </c>
      <c r="R111">
        <v>5.4</v>
      </c>
      <c r="S111">
        <v>4.16</v>
      </c>
      <c r="T111">
        <v>16.260000000000002</v>
      </c>
      <c r="U111">
        <v>7.94</v>
      </c>
      <c r="V111">
        <v>7.94</v>
      </c>
      <c r="W111">
        <v>100</v>
      </c>
      <c r="Y111">
        <v>61</v>
      </c>
      <c r="Z111">
        <v>3.2</v>
      </c>
      <c r="AA111">
        <v>0</v>
      </c>
      <c r="AB111" s="3">
        <v>0.53680555555555554</v>
      </c>
      <c r="AC111">
        <v>3</v>
      </c>
      <c r="AD111">
        <v>1.2</v>
      </c>
    </row>
    <row r="112" spans="1:30" x14ac:dyDescent="0.2">
      <c r="A112" t="s">
        <v>59</v>
      </c>
      <c r="C112">
        <v>0</v>
      </c>
      <c r="D112" t="s">
        <v>7</v>
      </c>
      <c r="E112">
        <v>8000</v>
      </c>
      <c r="F112" t="s">
        <v>214</v>
      </c>
      <c r="G112" t="s">
        <v>322</v>
      </c>
      <c r="H112" s="2">
        <v>0.79166666666666663</v>
      </c>
      <c r="I112" t="s">
        <v>306</v>
      </c>
      <c r="J112" s="1">
        <v>0.433</v>
      </c>
      <c r="K112">
        <v>-76.5</v>
      </c>
      <c r="L112">
        <v>6</v>
      </c>
      <c r="M112">
        <v>3.09</v>
      </c>
      <c r="N112">
        <v>3</v>
      </c>
      <c r="O112" t="s">
        <v>316</v>
      </c>
      <c r="Q112" s="4">
        <v>2.4298611111111112</v>
      </c>
      <c r="R112">
        <v>5.2</v>
      </c>
      <c r="S112">
        <v>8.94</v>
      </c>
      <c r="T112">
        <v>24.4</v>
      </c>
      <c r="U112">
        <v>6.52</v>
      </c>
      <c r="V112">
        <v>6.52</v>
      </c>
      <c r="W112">
        <v>100</v>
      </c>
      <c r="Y112">
        <v>14</v>
      </c>
      <c r="Z112">
        <v>0.8</v>
      </c>
      <c r="AA112">
        <v>0</v>
      </c>
      <c r="AB112" s="4">
        <v>2.5</v>
      </c>
      <c r="AC112">
        <v>-0.7</v>
      </c>
    </row>
    <row r="113" spans="1:30" x14ac:dyDescent="0.2">
      <c r="A113" t="s">
        <v>115</v>
      </c>
      <c r="C113">
        <v>0</v>
      </c>
      <c r="D113" t="s">
        <v>5</v>
      </c>
      <c r="E113">
        <v>3600</v>
      </c>
      <c r="F113" t="s">
        <v>206</v>
      </c>
      <c r="G113" t="s">
        <v>314</v>
      </c>
      <c r="H113" s="2">
        <v>0.79166666666666663</v>
      </c>
      <c r="I113" t="s">
        <v>313</v>
      </c>
      <c r="J113" s="1">
        <v>0.56699999999999995</v>
      </c>
      <c r="K113">
        <v>76.5</v>
      </c>
      <c r="L113">
        <v>6</v>
      </c>
      <c r="M113">
        <v>3</v>
      </c>
      <c r="N113">
        <v>3.09</v>
      </c>
      <c r="O113">
        <v>3</v>
      </c>
      <c r="Q113" s="3">
        <v>0.6479166666666667</v>
      </c>
      <c r="R113">
        <v>5.8</v>
      </c>
      <c r="S113">
        <v>5.35</v>
      </c>
      <c r="T113">
        <v>16.93</v>
      </c>
      <c r="U113">
        <v>6.23</v>
      </c>
      <c r="V113">
        <v>6.23</v>
      </c>
      <c r="W113">
        <v>100</v>
      </c>
      <c r="Y113">
        <v>54</v>
      </c>
      <c r="Z113">
        <v>1.7</v>
      </c>
      <c r="AA113">
        <v>0</v>
      </c>
      <c r="AB113" s="3">
        <v>0.5625</v>
      </c>
      <c r="AC113">
        <v>21.3</v>
      </c>
      <c r="AD113">
        <v>5.9</v>
      </c>
    </row>
    <row r="114" spans="1:30" x14ac:dyDescent="0.2">
      <c r="A114" t="s">
        <v>154</v>
      </c>
      <c r="C114">
        <v>0</v>
      </c>
      <c r="D114" t="s">
        <v>9</v>
      </c>
      <c r="E114">
        <v>3600</v>
      </c>
      <c r="F114" t="s">
        <v>319</v>
      </c>
      <c r="G114" t="s">
        <v>320</v>
      </c>
      <c r="H114" s="2">
        <v>0.79166666666666663</v>
      </c>
      <c r="I114" t="s">
        <v>313</v>
      </c>
      <c r="J114" s="1">
        <v>0.57999999999999996</v>
      </c>
      <c r="K114">
        <v>72.5</v>
      </c>
      <c r="L114">
        <v>6</v>
      </c>
      <c r="M114">
        <v>3</v>
      </c>
      <c r="N114">
        <v>3.06</v>
      </c>
      <c r="O114">
        <v>3</v>
      </c>
      <c r="P114">
        <v>1</v>
      </c>
      <c r="Q114" s="3">
        <v>0.6333333333333333</v>
      </c>
      <c r="R114">
        <v>5.3</v>
      </c>
      <c r="S114">
        <v>4.8600000000000003</v>
      </c>
      <c r="T114">
        <v>15.55</v>
      </c>
      <c r="U114">
        <v>5.83</v>
      </c>
      <c r="V114">
        <v>5.83</v>
      </c>
      <c r="W114">
        <v>100</v>
      </c>
      <c r="Y114">
        <v>54</v>
      </c>
      <c r="Z114">
        <v>1.6</v>
      </c>
      <c r="AA114">
        <v>0</v>
      </c>
    </row>
    <row r="115" spans="1:30" x14ac:dyDescent="0.2">
      <c r="A115" t="s">
        <v>337</v>
      </c>
      <c r="C115">
        <v>0</v>
      </c>
      <c r="D115" t="s">
        <v>9</v>
      </c>
      <c r="E115">
        <v>3300</v>
      </c>
      <c r="F115" t="s">
        <v>319</v>
      </c>
      <c r="G115" t="s">
        <v>320</v>
      </c>
      <c r="H115" s="2">
        <v>0.79166666666666663</v>
      </c>
      <c r="I115" t="s">
        <v>313</v>
      </c>
      <c r="J115" s="1">
        <v>0.57999999999999996</v>
      </c>
      <c r="K115">
        <v>72.5</v>
      </c>
      <c r="L115">
        <v>6</v>
      </c>
      <c r="M115">
        <v>3</v>
      </c>
      <c r="N115">
        <v>3.06</v>
      </c>
      <c r="O115">
        <v>2</v>
      </c>
      <c r="Q115" s="3">
        <v>0.60416666666666663</v>
      </c>
      <c r="R115">
        <v>5.6</v>
      </c>
      <c r="S115">
        <v>5.95</v>
      </c>
      <c r="T115">
        <v>18.420000000000002</v>
      </c>
      <c r="U115">
        <v>6.52</v>
      </c>
      <c r="V115">
        <v>6.52</v>
      </c>
      <c r="W115">
        <v>100</v>
      </c>
      <c r="Y115">
        <v>47</v>
      </c>
      <c r="Z115">
        <v>2</v>
      </c>
      <c r="AA115">
        <v>0</v>
      </c>
    </row>
    <row r="116" spans="1:30" x14ac:dyDescent="0.2">
      <c r="A116" t="s">
        <v>54</v>
      </c>
      <c r="C116">
        <v>0</v>
      </c>
      <c r="D116" t="s">
        <v>12</v>
      </c>
      <c r="E116">
        <v>3100</v>
      </c>
      <c r="F116" t="s">
        <v>214</v>
      </c>
      <c r="G116" t="s">
        <v>322</v>
      </c>
      <c r="H116" s="2">
        <v>0.79166666666666663</v>
      </c>
      <c r="I116" t="s">
        <v>306</v>
      </c>
      <c r="J116" s="1">
        <v>0.433</v>
      </c>
      <c r="K116">
        <v>-76.5</v>
      </c>
      <c r="L116">
        <v>6</v>
      </c>
      <c r="M116">
        <v>3.09</v>
      </c>
      <c r="N116">
        <v>3</v>
      </c>
      <c r="O116">
        <v>2</v>
      </c>
      <c r="P116">
        <v>1</v>
      </c>
      <c r="Q116" s="3">
        <v>0.89027777777777772</v>
      </c>
      <c r="R116">
        <v>5.9</v>
      </c>
      <c r="S116">
        <v>4.5</v>
      </c>
      <c r="T116">
        <v>15.43</v>
      </c>
      <c r="U116">
        <v>6.43</v>
      </c>
      <c r="V116">
        <v>6.43</v>
      </c>
      <c r="W116">
        <v>100</v>
      </c>
      <c r="Y116">
        <v>62</v>
      </c>
      <c r="Z116">
        <v>2.1</v>
      </c>
      <c r="AA116">
        <v>0</v>
      </c>
      <c r="AB116" s="3">
        <v>0.80833333333333335</v>
      </c>
      <c r="AC116">
        <v>2.8</v>
      </c>
      <c r="AD116">
        <v>0.9</v>
      </c>
    </row>
    <row r="117" spans="1:30" x14ac:dyDescent="0.2">
      <c r="A117" t="s">
        <v>124</v>
      </c>
      <c r="C117">
        <v>0</v>
      </c>
      <c r="D117" t="s">
        <v>12</v>
      </c>
      <c r="E117">
        <v>2900</v>
      </c>
      <c r="F117" t="s">
        <v>211</v>
      </c>
      <c r="G117" t="s">
        <v>315</v>
      </c>
      <c r="H117" s="2">
        <v>0.79166666666666663</v>
      </c>
      <c r="I117" t="s">
        <v>313</v>
      </c>
      <c r="J117" s="1">
        <v>0.50600000000000001</v>
      </c>
      <c r="K117">
        <v>97.5</v>
      </c>
      <c r="L117">
        <v>6</v>
      </c>
      <c r="M117">
        <v>3</v>
      </c>
      <c r="N117">
        <v>3.37</v>
      </c>
      <c r="O117">
        <v>2</v>
      </c>
      <c r="Q117" s="3">
        <v>0.85277777777777775</v>
      </c>
      <c r="R117">
        <v>5.3</v>
      </c>
      <c r="S117">
        <v>5.03</v>
      </c>
      <c r="T117">
        <v>15.84</v>
      </c>
      <c r="U117">
        <v>5.78</v>
      </c>
      <c r="V117">
        <v>5.78</v>
      </c>
      <c r="W117">
        <v>100</v>
      </c>
      <c r="Y117">
        <v>53</v>
      </c>
      <c r="Z117">
        <v>2</v>
      </c>
      <c r="AA117">
        <v>0</v>
      </c>
      <c r="AB117" s="3">
        <v>0.84375</v>
      </c>
      <c r="AC117">
        <v>1.3</v>
      </c>
      <c r="AD117">
        <v>0.4</v>
      </c>
    </row>
    <row r="118" spans="1:30" x14ac:dyDescent="0.2">
      <c r="A118" t="s">
        <v>105</v>
      </c>
      <c r="C118">
        <v>0</v>
      </c>
      <c r="D118" t="s">
        <v>5</v>
      </c>
      <c r="E118">
        <v>2900</v>
      </c>
      <c r="F118" t="s">
        <v>307</v>
      </c>
      <c r="G118" t="s">
        <v>308</v>
      </c>
      <c r="H118" s="2">
        <v>0.79166666666666663</v>
      </c>
      <c r="I118" t="s">
        <v>306</v>
      </c>
      <c r="J118" s="1">
        <v>0.49399999999999999</v>
      </c>
      <c r="K118">
        <v>-97.5</v>
      </c>
      <c r="L118">
        <v>6</v>
      </c>
      <c r="M118">
        <v>3.37</v>
      </c>
      <c r="N118">
        <v>3</v>
      </c>
      <c r="O118">
        <v>4</v>
      </c>
      <c r="P118">
        <v>2</v>
      </c>
      <c r="Q118" s="3">
        <v>0.60624999999999996</v>
      </c>
      <c r="R118">
        <v>5</v>
      </c>
      <c r="S118">
        <v>4.33</v>
      </c>
      <c r="T118">
        <v>14.58</v>
      </c>
      <c r="U118">
        <v>5.92</v>
      </c>
      <c r="V118">
        <v>5.92</v>
      </c>
      <c r="W118">
        <v>100</v>
      </c>
      <c r="Y118">
        <v>57</v>
      </c>
      <c r="Z118">
        <v>2</v>
      </c>
      <c r="AA118">
        <v>0</v>
      </c>
      <c r="AB118" s="3">
        <v>0.36180555555555555</v>
      </c>
      <c r="AC118">
        <v>2.8</v>
      </c>
      <c r="AD118">
        <v>1</v>
      </c>
    </row>
    <row r="119" spans="1:30" x14ac:dyDescent="0.2">
      <c r="A119" t="s">
        <v>129</v>
      </c>
      <c r="C119">
        <v>0</v>
      </c>
      <c r="D119" t="s">
        <v>9</v>
      </c>
      <c r="E119">
        <v>2800</v>
      </c>
      <c r="F119" t="s">
        <v>307</v>
      </c>
      <c r="G119" t="s">
        <v>308</v>
      </c>
      <c r="H119" s="2">
        <v>0.79166666666666663</v>
      </c>
      <c r="I119" t="s">
        <v>306</v>
      </c>
      <c r="J119" s="1">
        <v>0.49399999999999999</v>
      </c>
      <c r="K119">
        <v>-97.5</v>
      </c>
      <c r="L119">
        <v>6</v>
      </c>
      <c r="M119">
        <v>3.37</v>
      </c>
      <c r="N119">
        <v>3</v>
      </c>
      <c r="O119">
        <v>3</v>
      </c>
      <c r="Q119" s="3">
        <v>0.55833333333333335</v>
      </c>
      <c r="R119">
        <v>5</v>
      </c>
      <c r="S119">
        <v>4.6900000000000004</v>
      </c>
      <c r="T119">
        <v>16.100000000000001</v>
      </c>
      <c r="U119">
        <v>6.72</v>
      </c>
      <c r="V119">
        <v>6.72</v>
      </c>
      <c r="W119">
        <v>100</v>
      </c>
      <c r="Y119">
        <v>53</v>
      </c>
      <c r="Z119">
        <v>2.4</v>
      </c>
      <c r="AA119">
        <v>0</v>
      </c>
      <c r="AB119" s="3">
        <v>0.60972222222222228</v>
      </c>
      <c r="AC119">
        <v>1.5</v>
      </c>
      <c r="AD119">
        <v>0.5</v>
      </c>
    </row>
    <row r="120" spans="1:30" x14ac:dyDescent="0.2">
      <c r="A120" t="s">
        <v>338</v>
      </c>
      <c r="C120">
        <v>0</v>
      </c>
      <c r="D120" t="s">
        <v>12</v>
      </c>
      <c r="E120">
        <v>2800</v>
      </c>
      <c r="F120" t="s">
        <v>200</v>
      </c>
      <c r="G120" t="s">
        <v>309</v>
      </c>
      <c r="H120" s="2">
        <v>0.79166666666666663</v>
      </c>
      <c r="I120" t="s">
        <v>306</v>
      </c>
      <c r="J120" s="1">
        <v>0.45500000000000002</v>
      </c>
      <c r="K120">
        <v>-83.5</v>
      </c>
      <c r="L120">
        <v>6.5</v>
      </c>
      <c r="M120">
        <v>3.25</v>
      </c>
      <c r="N120">
        <v>3.2</v>
      </c>
      <c r="O120">
        <v>3</v>
      </c>
      <c r="Q120" s="3">
        <v>0.90208333333333335</v>
      </c>
      <c r="R120">
        <v>6.5</v>
      </c>
      <c r="S120">
        <v>5.13</v>
      </c>
      <c r="T120">
        <v>17.59</v>
      </c>
      <c r="U120">
        <v>7.33</v>
      </c>
      <c r="V120">
        <v>7.33</v>
      </c>
      <c r="W120">
        <v>100</v>
      </c>
      <c r="Y120">
        <v>61</v>
      </c>
      <c r="Z120">
        <v>2.6</v>
      </c>
      <c r="AA120">
        <v>0</v>
      </c>
    </row>
    <row r="121" spans="1:30" x14ac:dyDescent="0.2">
      <c r="A121" t="s">
        <v>100</v>
      </c>
      <c r="C121">
        <v>0</v>
      </c>
      <c r="D121" t="s">
        <v>9</v>
      </c>
      <c r="E121">
        <v>2800</v>
      </c>
      <c r="F121" t="s">
        <v>200</v>
      </c>
      <c r="G121" t="s">
        <v>309</v>
      </c>
      <c r="H121" s="2">
        <v>0.79166666666666663</v>
      </c>
      <c r="I121" t="s">
        <v>306</v>
      </c>
      <c r="J121" s="1">
        <v>0.45500000000000002</v>
      </c>
      <c r="K121">
        <v>-83.5</v>
      </c>
      <c r="L121">
        <v>6.5</v>
      </c>
      <c r="M121">
        <v>3.25</v>
      </c>
      <c r="N121">
        <v>3.2</v>
      </c>
      <c r="O121">
        <v>3</v>
      </c>
      <c r="P121">
        <v>2</v>
      </c>
      <c r="Q121" s="3">
        <v>0.51249999999999996</v>
      </c>
      <c r="R121">
        <v>5.6</v>
      </c>
      <c r="S121">
        <v>5.94</v>
      </c>
      <c r="T121">
        <v>18.829999999999998</v>
      </c>
      <c r="U121">
        <v>6.95</v>
      </c>
      <c r="V121">
        <v>6.95</v>
      </c>
      <c r="W121">
        <v>100</v>
      </c>
      <c r="Y121">
        <v>47</v>
      </c>
      <c r="Z121">
        <v>2.5</v>
      </c>
      <c r="AA121">
        <v>0</v>
      </c>
      <c r="AB121" s="3">
        <v>0.47569444444444442</v>
      </c>
      <c r="AC121">
        <v>2.8</v>
      </c>
      <c r="AD121">
        <v>1</v>
      </c>
    </row>
    <row r="122" spans="1:30" x14ac:dyDescent="0.2">
      <c r="A122" t="s">
        <v>22</v>
      </c>
      <c r="C122">
        <v>0</v>
      </c>
      <c r="D122" t="s">
        <v>9</v>
      </c>
      <c r="E122">
        <v>2600</v>
      </c>
      <c r="F122" t="s">
        <v>200</v>
      </c>
      <c r="G122" t="s">
        <v>309</v>
      </c>
      <c r="H122" s="2">
        <v>0.79166666666666663</v>
      </c>
      <c r="I122" t="s">
        <v>306</v>
      </c>
      <c r="J122" s="1">
        <v>0.45500000000000002</v>
      </c>
      <c r="K122">
        <v>-83.5</v>
      </c>
      <c r="L122">
        <v>6.5</v>
      </c>
      <c r="M122">
        <v>3.25</v>
      </c>
      <c r="N122">
        <v>3.2</v>
      </c>
      <c r="O122">
        <v>2</v>
      </c>
      <c r="P122">
        <v>2</v>
      </c>
      <c r="Q122" s="3">
        <v>0.62430555555555556</v>
      </c>
      <c r="R122">
        <v>5.9</v>
      </c>
      <c r="S122">
        <v>4.67</v>
      </c>
      <c r="T122">
        <v>16.71</v>
      </c>
      <c r="U122">
        <v>7.37</v>
      </c>
      <c r="V122">
        <v>7.37</v>
      </c>
      <c r="W122">
        <v>100</v>
      </c>
      <c r="Y122">
        <v>60</v>
      </c>
      <c r="Z122">
        <v>2.8</v>
      </c>
      <c r="AA122">
        <v>0</v>
      </c>
      <c r="AB122" s="3">
        <v>0.57291666666666663</v>
      </c>
      <c r="AC122">
        <v>1.5</v>
      </c>
      <c r="AD122">
        <v>0.6</v>
      </c>
    </row>
    <row r="123" spans="1:30" x14ac:dyDescent="0.2">
      <c r="A123" t="s">
        <v>339</v>
      </c>
      <c r="C123">
        <v>0</v>
      </c>
      <c r="D123" t="s">
        <v>5</v>
      </c>
      <c r="E123">
        <v>3000</v>
      </c>
      <c r="F123" t="s">
        <v>319</v>
      </c>
      <c r="G123" t="s">
        <v>320</v>
      </c>
      <c r="H123" s="2">
        <v>0.79166666666666663</v>
      </c>
      <c r="I123" t="s">
        <v>313</v>
      </c>
      <c r="J123" s="1">
        <v>0.57999999999999996</v>
      </c>
      <c r="K123">
        <v>72.5</v>
      </c>
      <c r="L123">
        <v>6</v>
      </c>
      <c r="M123">
        <v>3</v>
      </c>
      <c r="N123">
        <v>3.06</v>
      </c>
      <c r="O123">
        <v>3</v>
      </c>
      <c r="P123">
        <v>2</v>
      </c>
      <c r="Q123" s="3">
        <v>0.4548611111111111</v>
      </c>
      <c r="R123">
        <v>4</v>
      </c>
      <c r="S123">
        <v>4.6500000000000004</v>
      </c>
      <c r="T123">
        <v>14.7</v>
      </c>
      <c r="U123">
        <v>5.4</v>
      </c>
      <c r="V123">
        <v>5.4</v>
      </c>
      <c r="W123">
        <v>100</v>
      </c>
      <c r="Y123">
        <v>42</v>
      </c>
      <c r="Z123">
        <v>1.8</v>
      </c>
      <c r="AA123">
        <v>0</v>
      </c>
    </row>
    <row r="124" spans="1:30" x14ac:dyDescent="0.2">
      <c r="A124" t="s">
        <v>103</v>
      </c>
      <c r="C124">
        <v>0</v>
      </c>
      <c r="D124" t="s">
        <v>12</v>
      </c>
      <c r="E124">
        <v>2900</v>
      </c>
      <c r="F124" t="s">
        <v>207</v>
      </c>
      <c r="G124" t="s">
        <v>312</v>
      </c>
      <c r="H124" s="2">
        <v>0.79166666666666663</v>
      </c>
      <c r="I124" t="s">
        <v>313</v>
      </c>
      <c r="J124" s="1">
        <v>0.54500000000000004</v>
      </c>
      <c r="K124">
        <v>83.5</v>
      </c>
      <c r="L124">
        <v>6.5</v>
      </c>
      <c r="M124">
        <v>3.2</v>
      </c>
      <c r="N124">
        <v>3.25</v>
      </c>
      <c r="O124">
        <v>3</v>
      </c>
      <c r="P124">
        <v>2</v>
      </c>
      <c r="Q124" s="3">
        <v>0.65833333333333333</v>
      </c>
      <c r="R124">
        <v>4.5</v>
      </c>
      <c r="S124">
        <v>3.68</v>
      </c>
      <c r="T124">
        <v>12.99</v>
      </c>
      <c r="U124">
        <v>5.63</v>
      </c>
      <c r="V124">
        <v>5.63</v>
      </c>
      <c r="W124">
        <v>100</v>
      </c>
      <c r="Y124">
        <v>59</v>
      </c>
      <c r="Z124">
        <v>1.9</v>
      </c>
      <c r="AA124">
        <v>0</v>
      </c>
      <c r="AB124" s="3">
        <v>0.66041666666666665</v>
      </c>
      <c r="AC124">
        <v>1.5</v>
      </c>
      <c r="AD124">
        <v>0.5</v>
      </c>
    </row>
    <row r="125" spans="1:30" x14ac:dyDescent="0.2">
      <c r="A125" t="s">
        <v>340</v>
      </c>
      <c r="C125">
        <v>0</v>
      </c>
      <c r="D125" t="s">
        <v>12</v>
      </c>
      <c r="E125">
        <v>2900</v>
      </c>
      <c r="F125" t="s">
        <v>310</v>
      </c>
      <c r="G125" t="s">
        <v>311</v>
      </c>
      <c r="H125" s="2">
        <v>0.79166666666666663</v>
      </c>
      <c r="I125" t="s">
        <v>306</v>
      </c>
      <c r="J125" s="1">
        <v>0.42</v>
      </c>
      <c r="K125">
        <v>-72.5</v>
      </c>
      <c r="L125">
        <v>6</v>
      </c>
      <c r="M125">
        <v>3.06</v>
      </c>
      <c r="N125">
        <v>3</v>
      </c>
      <c r="O125">
        <v>2</v>
      </c>
      <c r="Q125" s="3">
        <v>0.74444444444444446</v>
      </c>
      <c r="R125">
        <v>4.9000000000000004</v>
      </c>
      <c r="S125">
        <v>3.83</v>
      </c>
      <c r="T125">
        <v>13.01</v>
      </c>
      <c r="U125">
        <v>5.35</v>
      </c>
      <c r="V125">
        <v>5.35</v>
      </c>
      <c r="W125">
        <v>100</v>
      </c>
      <c r="Y125">
        <v>61</v>
      </c>
      <c r="Z125">
        <v>1.8</v>
      </c>
      <c r="AA125">
        <v>0</v>
      </c>
    </row>
    <row r="126" spans="1:30" x14ac:dyDescent="0.2">
      <c r="A126" t="s">
        <v>111</v>
      </c>
      <c r="C126">
        <v>0</v>
      </c>
      <c r="D126" t="s">
        <v>5</v>
      </c>
      <c r="E126">
        <v>2800</v>
      </c>
      <c r="F126" t="s">
        <v>307</v>
      </c>
      <c r="G126" t="s">
        <v>308</v>
      </c>
      <c r="H126" s="2">
        <v>0.79166666666666663</v>
      </c>
      <c r="I126" t="s">
        <v>306</v>
      </c>
      <c r="J126" s="1">
        <v>0.49399999999999999</v>
      </c>
      <c r="K126">
        <v>-97.5</v>
      </c>
      <c r="L126">
        <v>6</v>
      </c>
      <c r="M126">
        <v>3.37</v>
      </c>
      <c r="N126">
        <v>3</v>
      </c>
      <c r="O126">
        <v>3</v>
      </c>
      <c r="Q126" s="3">
        <v>0.67777777777777781</v>
      </c>
      <c r="R126">
        <v>5.0999999999999996</v>
      </c>
      <c r="S126">
        <v>5</v>
      </c>
      <c r="T126">
        <v>16.14</v>
      </c>
      <c r="U126">
        <v>6.14</v>
      </c>
      <c r="V126">
        <v>6.14</v>
      </c>
      <c r="W126">
        <v>100</v>
      </c>
      <c r="Y126">
        <v>51</v>
      </c>
      <c r="Z126">
        <v>2.2000000000000002</v>
      </c>
      <c r="AA126">
        <v>0</v>
      </c>
      <c r="AB126" s="3">
        <v>0.79652777777777772</v>
      </c>
      <c r="AC126">
        <v>1.5</v>
      </c>
      <c r="AD126">
        <v>0.5</v>
      </c>
    </row>
    <row r="127" spans="1:30" x14ac:dyDescent="0.2">
      <c r="A127" t="s">
        <v>165</v>
      </c>
      <c r="C127">
        <v>0</v>
      </c>
      <c r="D127" t="s">
        <v>9</v>
      </c>
      <c r="E127">
        <v>2800</v>
      </c>
      <c r="F127" t="s">
        <v>214</v>
      </c>
      <c r="G127" t="s">
        <v>322</v>
      </c>
      <c r="H127" s="2">
        <v>0.79166666666666663</v>
      </c>
      <c r="I127" t="s">
        <v>306</v>
      </c>
      <c r="J127" s="1">
        <v>0.433</v>
      </c>
      <c r="K127">
        <v>-76.5</v>
      </c>
      <c r="L127">
        <v>6</v>
      </c>
      <c r="M127">
        <v>3.09</v>
      </c>
      <c r="N127">
        <v>3</v>
      </c>
      <c r="O127">
        <v>4</v>
      </c>
      <c r="Q127" s="3">
        <v>0.53194444444444444</v>
      </c>
      <c r="R127">
        <v>5.4</v>
      </c>
      <c r="S127">
        <v>5.54</v>
      </c>
      <c r="T127">
        <v>16.55</v>
      </c>
      <c r="U127">
        <v>5.47</v>
      </c>
      <c r="V127">
        <v>5.47</v>
      </c>
      <c r="W127">
        <v>100</v>
      </c>
      <c r="Y127">
        <v>49</v>
      </c>
      <c r="Z127">
        <v>2</v>
      </c>
      <c r="AA127">
        <v>0</v>
      </c>
      <c r="AB127" s="3">
        <v>0.43888888888888888</v>
      </c>
      <c r="AC127">
        <v>1.5</v>
      </c>
      <c r="AD127">
        <v>0.5</v>
      </c>
    </row>
    <row r="128" spans="1:30" x14ac:dyDescent="0.2">
      <c r="A128" t="s">
        <v>110</v>
      </c>
      <c r="C128">
        <v>0</v>
      </c>
      <c r="D128" t="s">
        <v>12</v>
      </c>
      <c r="E128">
        <v>2700</v>
      </c>
      <c r="F128" t="s">
        <v>211</v>
      </c>
      <c r="G128" t="s">
        <v>315</v>
      </c>
      <c r="H128" s="2">
        <v>0.79166666666666663</v>
      </c>
      <c r="I128" t="s">
        <v>313</v>
      </c>
      <c r="J128" s="1">
        <v>0.50600000000000001</v>
      </c>
      <c r="K128">
        <v>97.5</v>
      </c>
      <c r="L128">
        <v>6</v>
      </c>
      <c r="M128">
        <v>3</v>
      </c>
      <c r="N128">
        <v>3.37</v>
      </c>
      <c r="O128">
        <v>2</v>
      </c>
      <c r="Q128" s="3">
        <v>0.83958333333333335</v>
      </c>
      <c r="R128">
        <v>5.5</v>
      </c>
      <c r="S128">
        <v>6.18</v>
      </c>
      <c r="T128">
        <v>18.690000000000001</v>
      </c>
      <c r="U128">
        <v>6.33</v>
      </c>
      <c r="V128">
        <v>6.33</v>
      </c>
      <c r="W128">
        <v>100</v>
      </c>
      <c r="Y128">
        <v>44</v>
      </c>
      <c r="Z128">
        <v>2.2999999999999998</v>
      </c>
      <c r="AA128">
        <v>0</v>
      </c>
      <c r="AB128" s="3">
        <v>0.87708333333333333</v>
      </c>
      <c r="AC128">
        <v>2.6</v>
      </c>
      <c r="AD128">
        <v>1</v>
      </c>
    </row>
    <row r="129" spans="1:30" x14ac:dyDescent="0.2">
      <c r="A129" t="s">
        <v>137</v>
      </c>
      <c r="C129">
        <v>0</v>
      </c>
      <c r="D129" t="s">
        <v>12</v>
      </c>
      <c r="E129">
        <v>2600</v>
      </c>
      <c r="F129" t="s">
        <v>307</v>
      </c>
      <c r="G129" t="s">
        <v>308</v>
      </c>
      <c r="H129" s="2">
        <v>0.79166666666666663</v>
      </c>
      <c r="I129" t="s">
        <v>306</v>
      </c>
      <c r="J129" s="1">
        <v>0.49399999999999999</v>
      </c>
      <c r="K129">
        <v>-97.5</v>
      </c>
      <c r="L129">
        <v>6</v>
      </c>
      <c r="M129">
        <v>3.37</v>
      </c>
      <c r="N129">
        <v>3</v>
      </c>
      <c r="O129">
        <v>2</v>
      </c>
      <c r="Q129" s="3">
        <v>0.76458333333333328</v>
      </c>
      <c r="R129">
        <v>5.6</v>
      </c>
      <c r="S129">
        <v>3.79</v>
      </c>
      <c r="T129">
        <v>14.3</v>
      </c>
      <c r="U129">
        <v>6.72</v>
      </c>
      <c r="V129">
        <v>6.72</v>
      </c>
      <c r="W129">
        <v>100</v>
      </c>
      <c r="Y129">
        <v>66</v>
      </c>
      <c r="Z129">
        <v>2.6</v>
      </c>
      <c r="AA129">
        <v>0</v>
      </c>
      <c r="AB129" s="3">
        <v>0.63541666666666663</v>
      </c>
      <c r="AC129">
        <v>4.3</v>
      </c>
      <c r="AD129">
        <v>1.7</v>
      </c>
    </row>
    <row r="130" spans="1:30" x14ac:dyDescent="0.2">
      <c r="A130" t="s">
        <v>97</v>
      </c>
      <c r="C130">
        <v>0</v>
      </c>
      <c r="D130" t="s">
        <v>5</v>
      </c>
      <c r="E130">
        <v>2600</v>
      </c>
      <c r="F130" t="s">
        <v>211</v>
      </c>
      <c r="G130" t="s">
        <v>315</v>
      </c>
      <c r="H130" s="2">
        <v>0.79166666666666663</v>
      </c>
      <c r="I130" t="s">
        <v>313</v>
      </c>
      <c r="J130" s="1">
        <v>0.50600000000000001</v>
      </c>
      <c r="K130">
        <v>97.5</v>
      </c>
      <c r="L130">
        <v>6</v>
      </c>
      <c r="M130">
        <v>3</v>
      </c>
      <c r="N130">
        <v>3.37</v>
      </c>
      <c r="O130">
        <v>3</v>
      </c>
      <c r="Q130" s="3">
        <v>0.58680555555555558</v>
      </c>
      <c r="R130">
        <v>5.3</v>
      </c>
      <c r="S130">
        <v>6.1</v>
      </c>
      <c r="T130">
        <v>19.28</v>
      </c>
      <c r="U130">
        <v>7.08</v>
      </c>
      <c r="V130">
        <v>7.08</v>
      </c>
      <c r="W130">
        <v>100</v>
      </c>
      <c r="Y130">
        <v>42</v>
      </c>
      <c r="Z130">
        <v>2.7</v>
      </c>
      <c r="AA130">
        <v>0</v>
      </c>
      <c r="AB130" s="3">
        <v>0.55069444444444449</v>
      </c>
      <c r="AC130">
        <v>4.5</v>
      </c>
      <c r="AD130">
        <v>1.7</v>
      </c>
    </row>
    <row r="131" spans="1:30" x14ac:dyDescent="0.2">
      <c r="A131" t="s">
        <v>44</v>
      </c>
      <c r="C131">
        <v>0</v>
      </c>
      <c r="D131" t="s">
        <v>12</v>
      </c>
      <c r="E131">
        <v>2600</v>
      </c>
      <c r="F131" t="s">
        <v>200</v>
      </c>
      <c r="G131" t="s">
        <v>309</v>
      </c>
      <c r="H131" s="2">
        <v>0.79166666666666663</v>
      </c>
      <c r="I131" t="s">
        <v>306</v>
      </c>
      <c r="J131" s="1">
        <v>0.45500000000000002</v>
      </c>
      <c r="K131">
        <v>-83.5</v>
      </c>
      <c r="L131">
        <v>6.5</v>
      </c>
      <c r="M131">
        <v>3.25</v>
      </c>
      <c r="N131">
        <v>3.2</v>
      </c>
      <c r="O131">
        <v>2</v>
      </c>
      <c r="P131">
        <v>2</v>
      </c>
      <c r="Q131" s="3">
        <v>0.69861111111111107</v>
      </c>
      <c r="R131">
        <v>6.2</v>
      </c>
      <c r="S131">
        <v>5.12</v>
      </c>
      <c r="T131">
        <v>17.53</v>
      </c>
      <c r="U131">
        <v>7.29</v>
      </c>
      <c r="V131">
        <v>7.29</v>
      </c>
      <c r="W131">
        <v>100</v>
      </c>
      <c r="Y131">
        <v>59</v>
      </c>
      <c r="Z131">
        <v>2.8</v>
      </c>
      <c r="AA131">
        <v>0</v>
      </c>
      <c r="AB131" s="3">
        <v>0.61736111111111114</v>
      </c>
      <c r="AC131">
        <v>9.1</v>
      </c>
      <c r="AD131">
        <v>3.5</v>
      </c>
    </row>
    <row r="132" spans="1:30" x14ac:dyDescent="0.2">
      <c r="A132" t="s">
        <v>50</v>
      </c>
      <c r="C132">
        <v>0</v>
      </c>
      <c r="D132" t="s">
        <v>12</v>
      </c>
      <c r="E132">
        <v>2600</v>
      </c>
      <c r="F132" t="s">
        <v>200</v>
      </c>
      <c r="G132" t="s">
        <v>309</v>
      </c>
      <c r="H132" s="2">
        <v>0.79166666666666663</v>
      </c>
      <c r="I132" t="s">
        <v>306</v>
      </c>
      <c r="J132" s="1">
        <v>0.45500000000000002</v>
      </c>
      <c r="K132">
        <v>-83.5</v>
      </c>
      <c r="L132">
        <v>6.5</v>
      </c>
      <c r="M132">
        <v>3.25</v>
      </c>
      <c r="N132">
        <v>3.2</v>
      </c>
      <c r="O132">
        <v>3</v>
      </c>
      <c r="Q132" s="3">
        <v>0.82638888888888884</v>
      </c>
      <c r="R132">
        <v>5.9</v>
      </c>
      <c r="S132">
        <v>4.68</v>
      </c>
      <c r="T132">
        <v>15.97</v>
      </c>
      <c r="U132">
        <v>6.61</v>
      </c>
      <c r="V132">
        <v>6.61</v>
      </c>
      <c r="W132">
        <v>100</v>
      </c>
      <c r="Y132">
        <v>60</v>
      </c>
      <c r="Z132">
        <v>2.5</v>
      </c>
      <c r="AA132">
        <v>0</v>
      </c>
      <c r="AB132" s="3">
        <v>0.73888888888888893</v>
      </c>
      <c r="AC132">
        <v>3</v>
      </c>
      <c r="AD132">
        <v>1.2</v>
      </c>
    </row>
    <row r="133" spans="1:30" x14ac:dyDescent="0.2">
      <c r="A133" t="s">
        <v>153</v>
      </c>
      <c r="C133">
        <v>0</v>
      </c>
      <c r="D133" t="s">
        <v>9</v>
      </c>
      <c r="E133">
        <v>3800</v>
      </c>
      <c r="F133" t="s">
        <v>310</v>
      </c>
      <c r="G133" t="s">
        <v>311</v>
      </c>
      <c r="H133" s="2">
        <v>0.79166666666666663</v>
      </c>
      <c r="I133" t="s">
        <v>306</v>
      </c>
      <c r="J133" s="1">
        <v>0.42</v>
      </c>
      <c r="K133">
        <v>-72.5</v>
      </c>
      <c r="L133">
        <v>6</v>
      </c>
      <c r="M133">
        <v>3.06</v>
      </c>
      <c r="N133">
        <v>3</v>
      </c>
      <c r="O133">
        <v>2</v>
      </c>
      <c r="P133">
        <v>1</v>
      </c>
      <c r="Q133" s="3">
        <v>0.57916666666666672</v>
      </c>
      <c r="R133">
        <v>4.8</v>
      </c>
      <c r="S133">
        <v>4.1900000000000004</v>
      </c>
      <c r="T133">
        <v>13.54</v>
      </c>
      <c r="U133">
        <v>5.16</v>
      </c>
      <c r="V133">
        <v>5.16</v>
      </c>
      <c r="W133">
        <v>100</v>
      </c>
      <c r="Y133">
        <v>56</v>
      </c>
      <c r="Z133">
        <v>1.4</v>
      </c>
      <c r="AA133">
        <v>0</v>
      </c>
    </row>
    <row r="134" spans="1:30" x14ac:dyDescent="0.2">
      <c r="A134" t="s">
        <v>78</v>
      </c>
      <c r="C134">
        <v>0</v>
      </c>
      <c r="D134" t="s">
        <v>9</v>
      </c>
      <c r="E134">
        <v>3200</v>
      </c>
      <c r="F134" t="s">
        <v>206</v>
      </c>
      <c r="G134" t="s">
        <v>314</v>
      </c>
      <c r="H134" s="2">
        <v>0.79166666666666663</v>
      </c>
      <c r="I134" t="s">
        <v>313</v>
      </c>
      <c r="J134" s="1">
        <v>0.56699999999999995</v>
      </c>
      <c r="K134">
        <v>76.5</v>
      </c>
      <c r="L134">
        <v>6</v>
      </c>
      <c r="M134">
        <v>3</v>
      </c>
      <c r="N134">
        <v>3.09</v>
      </c>
      <c r="O134">
        <v>3</v>
      </c>
      <c r="P134">
        <v>1</v>
      </c>
      <c r="Q134" s="3">
        <v>0.72777777777777775</v>
      </c>
      <c r="R134">
        <v>5.0999999999999996</v>
      </c>
      <c r="S134">
        <v>4.6500000000000004</v>
      </c>
      <c r="T134">
        <v>14.05</v>
      </c>
      <c r="U134">
        <v>4.75</v>
      </c>
      <c r="V134">
        <v>4.75</v>
      </c>
      <c r="W134">
        <v>100</v>
      </c>
      <c r="Y134">
        <v>54</v>
      </c>
      <c r="Z134">
        <v>1.5</v>
      </c>
      <c r="AA134">
        <v>0</v>
      </c>
      <c r="AB134" s="3">
        <v>0.6166666666666667</v>
      </c>
      <c r="AC134">
        <v>4.5</v>
      </c>
      <c r="AD134">
        <v>1.4</v>
      </c>
    </row>
    <row r="135" spans="1:30" x14ac:dyDescent="0.2">
      <c r="A135" t="s">
        <v>126</v>
      </c>
      <c r="C135">
        <v>0</v>
      </c>
      <c r="D135" t="s">
        <v>9</v>
      </c>
      <c r="E135">
        <v>2900</v>
      </c>
      <c r="F135" t="s">
        <v>307</v>
      </c>
      <c r="G135" t="s">
        <v>308</v>
      </c>
      <c r="H135" s="2">
        <v>0.79166666666666663</v>
      </c>
      <c r="I135" t="s">
        <v>306</v>
      </c>
      <c r="J135" s="1">
        <v>0.49399999999999999</v>
      </c>
      <c r="K135">
        <v>-97.5</v>
      </c>
      <c r="L135">
        <v>6</v>
      </c>
      <c r="M135">
        <v>3.37</v>
      </c>
      <c r="N135">
        <v>3</v>
      </c>
      <c r="O135">
        <v>2</v>
      </c>
      <c r="P135">
        <v>2</v>
      </c>
      <c r="Q135" s="3">
        <v>0.50624999999999998</v>
      </c>
      <c r="R135">
        <v>4</v>
      </c>
      <c r="S135">
        <v>4.59</v>
      </c>
      <c r="T135">
        <v>14.32</v>
      </c>
      <c r="U135">
        <v>5.14</v>
      </c>
      <c r="V135">
        <v>5.14</v>
      </c>
      <c r="W135">
        <v>100</v>
      </c>
      <c r="Y135">
        <v>43</v>
      </c>
      <c r="Z135">
        <v>1.8</v>
      </c>
      <c r="AA135">
        <v>0</v>
      </c>
      <c r="AB135" s="3">
        <v>0.52361111111111114</v>
      </c>
      <c r="AC135">
        <v>2.8</v>
      </c>
      <c r="AD135">
        <v>1</v>
      </c>
    </row>
    <row r="136" spans="1:30" x14ac:dyDescent="0.2">
      <c r="A136" t="s">
        <v>131</v>
      </c>
      <c r="C136">
        <v>0</v>
      </c>
      <c r="D136" t="s">
        <v>9</v>
      </c>
      <c r="E136">
        <v>2700</v>
      </c>
      <c r="F136" t="s">
        <v>211</v>
      </c>
      <c r="G136" t="s">
        <v>315</v>
      </c>
      <c r="H136" s="2">
        <v>0.79166666666666663</v>
      </c>
      <c r="I136" t="s">
        <v>313</v>
      </c>
      <c r="J136" s="1">
        <v>0.50600000000000001</v>
      </c>
      <c r="K136">
        <v>97.5</v>
      </c>
      <c r="L136">
        <v>6</v>
      </c>
      <c r="M136">
        <v>3</v>
      </c>
      <c r="N136">
        <v>3.37</v>
      </c>
      <c r="O136">
        <v>2</v>
      </c>
      <c r="P136">
        <v>2</v>
      </c>
      <c r="Q136" s="3">
        <v>0.51944444444444449</v>
      </c>
      <c r="R136">
        <v>4.8</v>
      </c>
      <c r="S136">
        <v>4.29</v>
      </c>
      <c r="T136">
        <v>14.04</v>
      </c>
      <c r="U136">
        <v>5.46</v>
      </c>
      <c r="V136">
        <v>5.46</v>
      </c>
      <c r="W136">
        <v>100</v>
      </c>
      <c r="Y136">
        <v>55</v>
      </c>
      <c r="Z136">
        <v>2</v>
      </c>
      <c r="AA136">
        <v>0</v>
      </c>
      <c r="AB136" s="3">
        <v>0.53472222222222221</v>
      </c>
      <c r="AC136">
        <v>3</v>
      </c>
      <c r="AD136">
        <v>1.1000000000000001</v>
      </c>
    </row>
    <row r="137" spans="1:30" x14ac:dyDescent="0.2">
      <c r="A137" t="s">
        <v>83</v>
      </c>
      <c r="C137">
        <v>0</v>
      </c>
      <c r="D137" t="s">
        <v>5</v>
      </c>
      <c r="E137">
        <v>2700</v>
      </c>
      <c r="F137" t="s">
        <v>307</v>
      </c>
      <c r="G137" t="s">
        <v>308</v>
      </c>
      <c r="H137" s="2">
        <v>0.79166666666666663</v>
      </c>
      <c r="I137" t="s">
        <v>306</v>
      </c>
      <c r="J137" s="1">
        <v>0.49399999999999999</v>
      </c>
      <c r="K137">
        <v>-97.5</v>
      </c>
      <c r="L137">
        <v>6</v>
      </c>
      <c r="M137">
        <v>3.37</v>
      </c>
      <c r="N137">
        <v>3</v>
      </c>
      <c r="O137">
        <v>2</v>
      </c>
      <c r="Q137" s="3">
        <v>0.51944444444444449</v>
      </c>
      <c r="R137">
        <v>4.2</v>
      </c>
      <c r="S137">
        <v>5.19</v>
      </c>
      <c r="T137">
        <v>15.66</v>
      </c>
      <c r="U137">
        <v>5.28</v>
      </c>
      <c r="V137">
        <v>5.28</v>
      </c>
      <c r="W137">
        <v>100</v>
      </c>
      <c r="Y137">
        <v>38</v>
      </c>
      <c r="Z137">
        <v>2</v>
      </c>
      <c r="AA137">
        <v>0</v>
      </c>
      <c r="AB137" s="3">
        <v>0.55138888888888893</v>
      </c>
      <c r="AC137">
        <v>6</v>
      </c>
      <c r="AD137">
        <v>2.2000000000000002</v>
      </c>
    </row>
    <row r="138" spans="1:30" x14ac:dyDescent="0.2">
      <c r="A138" t="s">
        <v>113</v>
      </c>
      <c r="C138">
        <v>0</v>
      </c>
      <c r="D138" t="s">
        <v>5</v>
      </c>
      <c r="E138">
        <v>2700</v>
      </c>
      <c r="F138" t="s">
        <v>207</v>
      </c>
      <c r="G138" t="s">
        <v>312</v>
      </c>
      <c r="H138" s="2">
        <v>0.79166666666666663</v>
      </c>
      <c r="I138" t="s">
        <v>313</v>
      </c>
      <c r="J138" s="1">
        <v>0.54500000000000004</v>
      </c>
      <c r="K138">
        <v>83.5</v>
      </c>
      <c r="L138">
        <v>6.5</v>
      </c>
      <c r="M138">
        <v>3.2</v>
      </c>
      <c r="N138">
        <v>3.25</v>
      </c>
      <c r="O138">
        <v>3</v>
      </c>
      <c r="P138">
        <v>2</v>
      </c>
      <c r="Q138" s="3">
        <v>0.56180555555555556</v>
      </c>
      <c r="R138">
        <v>4.5</v>
      </c>
      <c r="S138">
        <v>4.6100000000000003</v>
      </c>
      <c r="T138">
        <v>14.47</v>
      </c>
      <c r="U138">
        <v>5.25</v>
      </c>
      <c r="V138">
        <v>5.25</v>
      </c>
      <c r="W138">
        <v>100</v>
      </c>
      <c r="Y138">
        <v>49</v>
      </c>
      <c r="Z138">
        <v>1.9</v>
      </c>
      <c r="AA138">
        <v>0</v>
      </c>
      <c r="AB138" s="3">
        <v>0.56180555555555556</v>
      </c>
      <c r="AC138">
        <v>7.8</v>
      </c>
      <c r="AD138">
        <v>2.9</v>
      </c>
    </row>
    <row r="139" spans="1:30" x14ac:dyDescent="0.2">
      <c r="A139" t="s">
        <v>341</v>
      </c>
      <c r="C139">
        <v>0</v>
      </c>
      <c r="D139" t="s">
        <v>12</v>
      </c>
      <c r="E139">
        <v>2700</v>
      </c>
      <c r="F139" t="s">
        <v>319</v>
      </c>
      <c r="G139" t="s">
        <v>320</v>
      </c>
      <c r="H139" s="2">
        <v>0.79166666666666663</v>
      </c>
      <c r="I139" t="s">
        <v>313</v>
      </c>
      <c r="J139" s="1">
        <v>0.57999999999999996</v>
      </c>
      <c r="K139">
        <v>72.5</v>
      </c>
      <c r="L139">
        <v>6</v>
      </c>
      <c r="M139">
        <v>3</v>
      </c>
      <c r="N139">
        <v>3.06</v>
      </c>
      <c r="O139">
        <v>1</v>
      </c>
      <c r="Q139" s="3">
        <v>0.84791666666666665</v>
      </c>
      <c r="R139">
        <v>4.9000000000000004</v>
      </c>
      <c r="S139">
        <v>3.69</v>
      </c>
      <c r="T139">
        <v>12.69</v>
      </c>
      <c r="U139">
        <v>5.31</v>
      </c>
      <c r="V139">
        <v>5.31</v>
      </c>
      <c r="W139">
        <v>100</v>
      </c>
      <c r="Y139">
        <v>62</v>
      </c>
      <c r="Z139">
        <v>2</v>
      </c>
      <c r="AA139">
        <v>0</v>
      </c>
    </row>
    <row r="140" spans="1:30" x14ac:dyDescent="0.2">
      <c r="A140" t="s">
        <v>342</v>
      </c>
      <c r="C140">
        <v>0</v>
      </c>
      <c r="D140" t="s">
        <v>9</v>
      </c>
      <c r="E140">
        <v>2700</v>
      </c>
      <c r="F140" t="s">
        <v>310</v>
      </c>
      <c r="G140" t="s">
        <v>311</v>
      </c>
      <c r="H140" s="2">
        <v>0.79166666666666663</v>
      </c>
      <c r="I140" t="s">
        <v>306</v>
      </c>
      <c r="J140" s="1">
        <v>0.42</v>
      </c>
      <c r="K140">
        <v>-72.5</v>
      </c>
      <c r="L140">
        <v>6</v>
      </c>
      <c r="M140">
        <v>3.06</v>
      </c>
      <c r="N140">
        <v>3</v>
      </c>
      <c r="O140">
        <v>3</v>
      </c>
      <c r="Q140" s="3">
        <v>0.60138888888888886</v>
      </c>
      <c r="R140">
        <v>5.0999999999999996</v>
      </c>
      <c r="S140">
        <v>6.92</v>
      </c>
      <c r="T140">
        <v>19.36</v>
      </c>
      <c r="U140">
        <v>5.52</v>
      </c>
      <c r="V140">
        <v>5.52</v>
      </c>
      <c r="W140">
        <v>100</v>
      </c>
      <c r="Y140">
        <v>32</v>
      </c>
      <c r="Z140">
        <v>2</v>
      </c>
      <c r="AA140">
        <v>0</v>
      </c>
    </row>
    <row r="141" spans="1:30" x14ac:dyDescent="0.2">
      <c r="A141" t="s">
        <v>93</v>
      </c>
      <c r="C141">
        <v>0</v>
      </c>
      <c r="D141" t="s">
        <v>9</v>
      </c>
      <c r="E141">
        <v>2700</v>
      </c>
      <c r="F141" t="s">
        <v>204</v>
      </c>
      <c r="G141" t="s">
        <v>317</v>
      </c>
      <c r="H141" s="2">
        <v>0.85416666666666663</v>
      </c>
      <c r="I141" t="s">
        <v>313</v>
      </c>
      <c r="J141" s="1">
        <v>0.39100000000000001</v>
      </c>
      <c r="K141">
        <v>156</v>
      </c>
      <c r="L141">
        <v>7</v>
      </c>
      <c r="M141">
        <v>3.5</v>
      </c>
      <c r="N141">
        <v>4.4000000000000004</v>
      </c>
      <c r="O141">
        <v>2</v>
      </c>
      <c r="Q141" s="3">
        <v>0.44791666666666669</v>
      </c>
      <c r="R141">
        <v>4.4000000000000004</v>
      </c>
      <c r="S141">
        <v>5.0199999999999996</v>
      </c>
      <c r="T141">
        <v>15.86</v>
      </c>
      <c r="U141">
        <v>5.82</v>
      </c>
      <c r="V141">
        <v>5.82</v>
      </c>
      <c r="W141">
        <v>100</v>
      </c>
      <c r="Y141">
        <v>43</v>
      </c>
      <c r="Z141">
        <v>2.2000000000000002</v>
      </c>
      <c r="AA141">
        <v>0</v>
      </c>
      <c r="AB141" s="3">
        <v>0.53263888888888888</v>
      </c>
      <c r="AC141">
        <v>0</v>
      </c>
    </row>
    <row r="142" spans="1:30" x14ac:dyDescent="0.2">
      <c r="A142" t="s">
        <v>91</v>
      </c>
      <c r="C142">
        <v>0</v>
      </c>
      <c r="D142" t="s">
        <v>12</v>
      </c>
      <c r="E142">
        <v>2600</v>
      </c>
      <c r="F142" t="s">
        <v>211</v>
      </c>
      <c r="G142" t="s">
        <v>315</v>
      </c>
      <c r="H142" s="2">
        <v>0.79166666666666663</v>
      </c>
      <c r="I142" t="s">
        <v>313</v>
      </c>
      <c r="J142" s="1">
        <v>0.50600000000000001</v>
      </c>
      <c r="K142">
        <v>97.5</v>
      </c>
      <c r="L142">
        <v>6</v>
      </c>
      <c r="M142">
        <v>3</v>
      </c>
      <c r="N142">
        <v>3.37</v>
      </c>
      <c r="O142">
        <v>3</v>
      </c>
      <c r="Q142" s="3">
        <v>0.76875000000000004</v>
      </c>
      <c r="R142">
        <v>6.1</v>
      </c>
      <c r="S142">
        <v>4.6500000000000004</v>
      </c>
      <c r="T142">
        <v>15.44</v>
      </c>
      <c r="U142">
        <v>6.14</v>
      </c>
      <c r="V142">
        <v>6.14</v>
      </c>
      <c r="W142">
        <v>100</v>
      </c>
      <c r="Y142">
        <v>62</v>
      </c>
      <c r="Z142">
        <v>2.4</v>
      </c>
      <c r="AA142">
        <v>0</v>
      </c>
      <c r="AB142" s="3">
        <v>0.56944444444444442</v>
      </c>
      <c r="AC142">
        <v>1.5</v>
      </c>
      <c r="AD142">
        <v>0.6</v>
      </c>
    </row>
    <row r="143" spans="1:30" x14ac:dyDescent="0.2">
      <c r="A143" t="s">
        <v>119</v>
      </c>
      <c r="C143">
        <v>0</v>
      </c>
      <c r="D143" t="s">
        <v>12</v>
      </c>
      <c r="E143">
        <v>2600</v>
      </c>
      <c r="F143" t="s">
        <v>207</v>
      </c>
      <c r="G143" t="s">
        <v>312</v>
      </c>
      <c r="H143" s="2">
        <v>0.79166666666666663</v>
      </c>
      <c r="I143" t="s">
        <v>313</v>
      </c>
      <c r="J143" s="1">
        <v>0.54500000000000004</v>
      </c>
      <c r="K143">
        <v>83.5</v>
      </c>
      <c r="L143">
        <v>6.5</v>
      </c>
      <c r="M143">
        <v>3.2</v>
      </c>
      <c r="N143">
        <v>3.25</v>
      </c>
      <c r="O143">
        <v>2</v>
      </c>
      <c r="Q143" s="3">
        <v>0.69166666666666665</v>
      </c>
      <c r="R143">
        <v>4.7</v>
      </c>
      <c r="S143">
        <v>4.66</v>
      </c>
      <c r="T143">
        <v>15.3</v>
      </c>
      <c r="U143">
        <v>5.98</v>
      </c>
      <c r="V143">
        <v>5.98</v>
      </c>
      <c r="W143">
        <v>100</v>
      </c>
      <c r="Y143">
        <v>50</v>
      </c>
      <c r="Z143">
        <v>2.2999999999999998</v>
      </c>
      <c r="AA143">
        <v>0</v>
      </c>
      <c r="AB143" s="3">
        <v>0.91736111111111107</v>
      </c>
      <c r="AC143">
        <v>12.8</v>
      </c>
      <c r="AD143">
        <v>4.9000000000000004</v>
      </c>
    </row>
    <row r="144" spans="1:30" x14ac:dyDescent="0.2">
      <c r="A144" t="s">
        <v>104</v>
      </c>
      <c r="C144">
        <v>0</v>
      </c>
      <c r="D144" t="s">
        <v>9</v>
      </c>
      <c r="E144">
        <v>2500</v>
      </c>
      <c r="F144" t="s">
        <v>200</v>
      </c>
      <c r="G144" t="s">
        <v>309</v>
      </c>
      <c r="H144" s="2">
        <v>0.79166666666666663</v>
      </c>
      <c r="I144" t="s">
        <v>306</v>
      </c>
      <c r="J144" s="1">
        <v>0.45500000000000002</v>
      </c>
      <c r="K144">
        <v>-83.5</v>
      </c>
      <c r="L144">
        <v>6.5</v>
      </c>
      <c r="M144">
        <v>3.25</v>
      </c>
      <c r="N144">
        <v>3.2</v>
      </c>
      <c r="O144">
        <v>4</v>
      </c>
      <c r="Q144" s="3">
        <v>0.55694444444444446</v>
      </c>
      <c r="R144">
        <v>5.3</v>
      </c>
      <c r="S144">
        <v>4.21</v>
      </c>
      <c r="T144">
        <v>14.64</v>
      </c>
      <c r="U144">
        <v>6.22</v>
      </c>
      <c r="V144">
        <v>6.22</v>
      </c>
      <c r="W144">
        <v>100</v>
      </c>
      <c r="Y144">
        <v>60</v>
      </c>
      <c r="Z144">
        <v>2.5</v>
      </c>
      <c r="AA144">
        <v>0</v>
      </c>
      <c r="AB144" s="3">
        <v>0.40902777777777777</v>
      </c>
      <c r="AC144">
        <v>1.5</v>
      </c>
      <c r="AD144">
        <v>0.6</v>
      </c>
    </row>
    <row r="145" spans="1:30" x14ac:dyDescent="0.2">
      <c r="A145" t="s">
        <v>161</v>
      </c>
      <c r="C145">
        <v>0</v>
      </c>
      <c r="D145" t="s">
        <v>12</v>
      </c>
      <c r="E145">
        <v>2500</v>
      </c>
      <c r="F145" t="s">
        <v>203</v>
      </c>
      <c r="G145" t="s">
        <v>305</v>
      </c>
      <c r="H145" s="2">
        <v>0.85416666666666663</v>
      </c>
      <c r="I145" t="s">
        <v>306</v>
      </c>
      <c r="J145" s="1">
        <v>0.60899999999999999</v>
      </c>
      <c r="K145">
        <v>-156</v>
      </c>
      <c r="L145">
        <v>7</v>
      </c>
      <c r="M145">
        <v>4.4000000000000004</v>
      </c>
      <c r="N145">
        <v>3.5</v>
      </c>
      <c r="O145">
        <v>3</v>
      </c>
      <c r="Q145" s="3">
        <v>0.6479166666666667</v>
      </c>
      <c r="R145">
        <v>3.9</v>
      </c>
      <c r="S145">
        <v>3.06</v>
      </c>
      <c r="T145">
        <v>12.22</v>
      </c>
      <c r="U145">
        <v>6.1</v>
      </c>
      <c r="V145">
        <v>6.1</v>
      </c>
      <c r="W145">
        <v>100</v>
      </c>
      <c r="Y145">
        <v>61</v>
      </c>
      <c r="Z145">
        <v>2.4</v>
      </c>
      <c r="AA145">
        <v>0</v>
      </c>
      <c r="AB145" s="3">
        <v>0.59930555555555554</v>
      </c>
      <c r="AC145">
        <v>10</v>
      </c>
      <c r="AD145">
        <v>4</v>
      </c>
    </row>
    <row r="146" spans="1:30" x14ac:dyDescent="0.2">
      <c r="A146" t="s">
        <v>127</v>
      </c>
      <c r="C146">
        <v>0</v>
      </c>
      <c r="D146" t="s">
        <v>12</v>
      </c>
      <c r="E146">
        <v>2700</v>
      </c>
      <c r="F146" t="s">
        <v>206</v>
      </c>
      <c r="G146" t="s">
        <v>314</v>
      </c>
      <c r="H146" s="2">
        <v>0.79166666666666663</v>
      </c>
      <c r="I146" t="s">
        <v>313</v>
      </c>
      <c r="J146" s="1">
        <v>0.56699999999999995</v>
      </c>
      <c r="K146">
        <v>76.5</v>
      </c>
      <c r="L146">
        <v>6</v>
      </c>
      <c r="M146">
        <v>3</v>
      </c>
      <c r="N146">
        <v>3.09</v>
      </c>
      <c r="O146">
        <v>1</v>
      </c>
      <c r="Q146" s="3">
        <v>0.73541666666666672</v>
      </c>
      <c r="R146">
        <v>3.9</v>
      </c>
      <c r="S146">
        <v>3.97</v>
      </c>
      <c r="T146">
        <v>12.09</v>
      </c>
      <c r="U146">
        <v>4.1500000000000004</v>
      </c>
      <c r="V146">
        <v>4.1500000000000004</v>
      </c>
      <c r="W146">
        <v>100</v>
      </c>
      <c r="Y146">
        <v>49</v>
      </c>
      <c r="Z146">
        <v>1.5</v>
      </c>
      <c r="AA146">
        <v>0</v>
      </c>
      <c r="AB146" s="3">
        <v>0.86875000000000002</v>
      </c>
      <c r="AC146">
        <v>1.3</v>
      </c>
      <c r="AD146">
        <v>0.5</v>
      </c>
    </row>
    <row r="147" spans="1:30" x14ac:dyDescent="0.2">
      <c r="A147" t="s">
        <v>122</v>
      </c>
      <c r="C147">
        <v>0</v>
      </c>
      <c r="D147" t="s">
        <v>9</v>
      </c>
      <c r="E147">
        <v>2600</v>
      </c>
      <c r="F147" t="s">
        <v>211</v>
      </c>
      <c r="G147" t="s">
        <v>315</v>
      </c>
      <c r="H147" s="2">
        <v>0.79166666666666663</v>
      </c>
      <c r="I147" t="s">
        <v>313</v>
      </c>
      <c r="J147" s="1">
        <v>0.50600000000000001</v>
      </c>
      <c r="K147">
        <v>97.5</v>
      </c>
      <c r="L147">
        <v>6</v>
      </c>
      <c r="M147">
        <v>3</v>
      </c>
      <c r="N147">
        <v>3.37</v>
      </c>
      <c r="O147">
        <v>4</v>
      </c>
      <c r="Q147" s="3">
        <v>0.49236111111111114</v>
      </c>
      <c r="R147">
        <v>4.3</v>
      </c>
      <c r="S147">
        <v>4.6900000000000004</v>
      </c>
      <c r="T147">
        <v>14.2</v>
      </c>
      <c r="U147">
        <v>4.82</v>
      </c>
      <c r="V147">
        <v>4.82</v>
      </c>
      <c r="W147">
        <v>100</v>
      </c>
      <c r="Y147">
        <v>45</v>
      </c>
      <c r="Z147">
        <v>1.9</v>
      </c>
      <c r="AA147">
        <v>0</v>
      </c>
      <c r="AB147" s="3">
        <v>0.42083333333333334</v>
      </c>
      <c r="AC147">
        <v>2.8</v>
      </c>
      <c r="AD147">
        <v>1.1000000000000001</v>
      </c>
    </row>
    <row r="148" spans="1:30" x14ac:dyDescent="0.2">
      <c r="A148" t="s">
        <v>108</v>
      </c>
      <c r="C148">
        <v>0</v>
      </c>
      <c r="D148" t="s">
        <v>9</v>
      </c>
      <c r="E148">
        <v>2600</v>
      </c>
      <c r="F148" t="s">
        <v>204</v>
      </c>
      <c r="G148" t="s">
        <v>317</v>
      </c>
      <c r="H148" s="2">
        <v>0.85416666666666663</v>
      </c>
      <c r="I148" t="s">
        <v>313</v>
      </c>
      <c r="J148" s="1">
        <v>0.39100000000000001</v>
      </c>
      <c r="K148">
        <v>156</v>
      </c>
      <c r="L148">
        <v>7</v>
      </c>
      <c r="M148">
        <v>3.5</v>
      </c>
      <c r="N148">
        <v>4.4000000000000004</v>
      </c>
      <c r="O148">
        <v>3</v>
      </c>
      <c r="P148">
        <v>2</v>
      </c>
      <c r="Q148" s="3">
        <v>0.51597222222222228</v>
      </c>
      <c r="R148">
        <v>3.7</v>
      </c>
      <c r="S148">
        <v>4.63</v>
      </c>
      <c r="T148">
        <v>13.95</v>
      </c>
      <c r="U148">
        <v>4.6900000000000004</v>
      </c>
      <c r="V148">
        <v>4.6900000000000004</v>
      </c>
      <c r="W148">
        <v>100</v>
      </c>
      <c r="Y148">
        <v>37</v>
      </c>
      <c r="Z148">
        <v>1.8</v>
      </c>
      <c r="AA148">
        <v>0</v>
      </c>
      <c r="AB148" s="3">
        <v>0.19583333333333333</v>
      </c>
      <c r="AC148">
        <v>1.3</v>
      </c>
      <c r="AD148">
        <v>0.5</v>
      </c>
    </row>
    <row r="149" spans="1:30" x14ac:dyDescent="0.2">
      <c r="A149" t="s">
        <v>123</v>
      </c>
      <c r="C149">
        <v>0</v>
      </c>
      <c r="D149" t="s">
        <v>9</v>
      </c>
      <c r="E149">
        <v>2500</v>
      </c>
      <c r="F149" t="s">
        <v>307</v>
      </c>
      <c r="G149" t="s">
        <v>308</v>
      </c>
      <c r="H149" s="2">
        <v>0.79166666666666663</v>
      </c>
      <c r="I149" t="s">
        <v>306</v>
      </c>
      <c r="J149" s="1">
        <v>0.49399999999999999</v>
      </c>
      <c r="K149">
        <v>-97.5</v>
      </c>
      <c r="L149">
        <v>6</v>
      </c>
      <c r="M149">
        <v>3.37</v>
      </c>
      <c r="N149">
        <v>3</v>
      </c>
      <c r="O149">
        <v>3</v>
      </c>
      <c r="Q149" s="3">
        <v>0.60972222222222228</v>
      </c>
      <c r="R149">
        <v>4.5</v>
      </c>
      <c r="S149">
        <v>4.46</v>
      </c>
      <c r="T149">
        <v>13.75</v>
      </c>
      <c r="U149">
        <v>4.83</v>
      </c>
      <c r="V149">
        <v>4.83</v>
      </c>
      <c r="W149">
        <v>100</v>
      </c>
      <c r="Y149">
        <v>50</v>
      </c>
      <c r="Z149">
        <v>1.9</v>
      </c>
      <c r="AA149">
        <v>0</v>
      </c>
      <c r="AB149" s="3">
        <v>0.69374999999999998</v>
      </c>
      <c r="AC149">
        <v>8.1999999999999993</v>
      </c>
      <c r="AD149">
        <v>3.3</v>
      </c>
    </row>
    <row r="150" spans="1:30" x14ac:dyDescent="0.2">
      <c r="A150" t="s">
        <v>95</v>
      </c>
      <c r="C150">
        <v>0</v>
      </c>
      <c r="D150" t="s">
        <v>12</v>
      </c>
      <c r="E150">
        <v>2500</v>
      </c>
      <c r="F150" t="s">
        <v>207</v>
      </c>
      <c r="G150" t="s">
        <v>312</v>
      </c>
      <c r="H150" s="2">
        <v>0.79166666666666663</v>
      </c>
      <c r="I150" t="s">
        <v>313</v>
      </c>
      <c r="J150" s="1">
        <v>0.54500000000000004</v>
      </c>
      <c r="K150">
        <v>83.5</v>
      </c>
      <c r="L150">
        <v>6.5</v>
      </c>
      <c r="M150">
        <v>3.2</v>
      </c>
      <c r="N150">
        <v>3.25</v>
      </c>
      <c r="O150">
        <v>2</v>
      </c>
      <c r="Q150" s="3">
        <v>0.77083333333333337</v>
      </c>
      <c r="R150">
        <v>4.5999999999999996</v>
      </c>
      <c r="S150">
        <v>3.6</v>
      </c>
      <c r="T150">
        <v>12.6</v>
      </c>
      <c r="U150">
        <v>5.4</v>
      </c>
      <c r="V150">
        <v>5.4</v>
      </c>
      <c r="W150">
        <v>100</v>
      </c>
      <c r="Y150">
        <v>61</v>
      </c>
      <c r="Z150">
        <v>2.2000000000000002</v>
      </c>
      <c r="AA150">
        <v>0</v>
      </c>
      <c r="AB150" s="3">
        <v>0.76597222222222228</v>
      </c>
      <c r="AC150">
        <v>13</v>
      </c>
      <c r="AD150">
        <v>5.2</v>
      </c>
    </row>
    <row r="151" spans="1:30" x14ac:dyDescent="0.2">
      <c r="A151" t="s">
        <v>117</v>
      </c>
      <c r="C151">
        <v>0</v>
      </c>
      <c r="D151" t="s">
        <v>12</v>
      </c>
      <c r="E151">
        <v>2500</v>
      </c>
      <c r="F151" t="s">
        <v>200</v>
      </c>
      <c r="G151" t="s">
        <v>309</v>
      </c>
      <c r="H151" s="2">
        <v>0.79166666666666663</v>
      </c>
      <c r="I151" t="s">
        <v>306</v>
      </c>
      <c r="J151" s="1">
        <v>0.45500000000000002</v>
      </c>
      <c r="K151">
        <v>-83.5</v>
      </c>
      <c r="L151">
        <v>6.5</v>
      </c>
      <c r="M151">
        <v>3.25</v>
      </c>
      <c r="N151">
        <v>3.2</v>
      </c>
      <c r="O151">
        <v>1</v>
      </c>
      <c r="Q151" s="3">
        <v>0.68611111111111112</v>
      </c>
      <c r="R151">
        <v>4.0999999999999996</v>
      </c>
      <c r="S151">
        <v>4.3</v>
      </c>
      <c r="T151">
        <v>13.67</v>
      </c>
      <c r="U151">
        <v>5.07</v>
      </c>
      <c r="V151">
        <v>5.07</v>
      </c>
      <c r="W151">
        <v>100</v>
      </c>
      <c r="Y151">
        <v>48</v>
      </c>
      <c r="Z151">
        <v>2</v>
      </c>
      <c r="AA151">
        <v>0</v>
      </c>
      <c r="AB151" s="3">
        <v>0.85833333333333328</v>
      </c>
      <c r="AC151">
        <v>0</v>
      </c>
    </row>
    <row r="152" spans="1:30" x14ac:dyDescent="0.2">
      <c r="A152" t="s">
        <v>112</v>
      </c>
      <c r="C152">
        <v>0</v>
      </c>
      <c r="D152" t="s">
        <v>9</v>
      </c>
      <c r="E152">
        <v>2500</v>
      </c>
      <c r="F152" t="s">
        <v>200</v>
      </c>
      <c r="G152" t="s">
        <v>309</v>
      </c>
      <c r="H152" s="2">
        <v>0.79166666666666663</v>
      </c>
      <c r="I152" t="s">
        <v>306</v>
      </c>
      <c r="J152" s="1">
        <v>0.45500000000000002</v>
      </c>
      <c r="K152">
        <v>-83.5</v>
      </c>
      <c r="L152">
        <v>6.5</v>
      </c>
      <c r="M152">
        <v>3.25</v>
      </c>
      <c r="N152">
        <v>3.2</v>
      </c>
      <c r="O152">
        <v>4</v>
      </c>
      <c r="Q152" s="3">
        <v>0.55347222222222225</v>
      </c>
      <c r="R152">
        <v>5.2</v>
      </c>
      <c r="S152">
        <v>5.62</v>
      </c>
      <c r="T152">
        <v>16.98</v>
      </c>
      <c r="U152">
        <v>5.74</v>
      </c>
      <c r="V152">
        <v>5.74</v>
      </c>
      <c r="W152">
        <v>100</v>
      </c>
      <c r="Y152">
        <v>46</v>
      </c>
      <c r="Z152">
        <v>2.2999999999999998</v>
      </c>
      <c r="AA152">
        <v>0</v>
      </c>
      <c r="AB152" s="3">
        <v>0.47986111111111113</v>
      </c>
      <c r="AC152">
        <v>0</v>
      </c>
    </row>
    <row r="153" spans="1:30" x14ac:dyDescent="0.2">
      <c r="A153" t="s">
        <v>109</v>
      </c>
      <c r="C153">
        <v>0</v>
      </c>
      <c r="D153" t="s">
        <v>5</v>
      </c>
      <c r="E153">
        <v>2500</v>
      </c>
      <c r="F153" t="s">
        <v>200</v>
      </c>
      <c r="G153" t="s">
        <v>309</v>
      </c>
      <c r="H153" s="2">
        <v>0.79166666666666663</v>
      </c>
      <c r="I153" t="s">
        <v>306</v>
      </c>
      <c r="J153" s="1">
        <v>0.45500000000000002</v>
      </c>
      <c r="K153">
        <v>-83.5</v>
      </c>
      <c r="L153">
        <v>6.5</v>
      </c>
      <c r="M153">
        <v>3.25</v>
      </c>
      <c r="N153">
        <v>3.2</v>
      </c>
      <c r="O153">
        <v>4</v>
      </c>
      <c r="Q153" s="3">
        <v>0.58402777777777781</v>
      </c>
      <c r="R153">
        <v>4.5999999999999996</v>
      </c>
      <c r="S153">
        <v>4.1399999999999997</v>
      </c>
      <c r="T153">
        <v>14.06</v>
      </c>
      <c r="U153">
        <v>5.78</v>
      </c>
      <c r="V153">
        <v>5.78</v>
      </c>
      <c r="W153">
        <v>100</v>
      </c>
      <c r="Y153">
        <v>55</v>
      </c>
      <c r="Z153">
        <v>2.2999999999999998</v>
      </c>
      <c r="AA153">
        <v>0</v>
      </c>
      <c r="AB153" s="3">
        <v>0.46319444444444446</v>
      </c>
      <c r="AC153">
        <v>1.3</v>
      </c>
      <c r="AD153">
        <v>0.5</v>
      </c>
    </row>
    <row r="154" spans="1:30" x14ac:dyDescent="0.2">
      <c r="A154" t="s">
        <v>343</v>
      </c>
      <c r="C154">
        <v>0</v>
      </c>
      <c r="D154" t="s">
        <v>12</v>
      </c>
      <c r="E154">
        <v>2500</v>
      </c>
      <c r="F154" t="s">
        <v>319</v>
      </c>
      <c r="G154" t="s">
        <v>320</v>
      </c>
      <c r="H154" s="2">
        <v>0.79166666666666663</v>
      </c>
      <c r="I154" t="s">
        <v>313</v>
      </c>
      <c r="J154" s="1">
        <v>0.57999999999999996</v>
      </c>
      <c r="K154">
        <v>72.5</v>
      </c>
      <c r="L154">
        <v>6</v>
      </c>
      <c r="M154">
        <v>3</v>
      </c>
      <c r="N154">
        <v>3.06</v>
      </c>
      <c r="O154">
        <v>3</v>
      </c>
      <c r="Q154" s="3">
        <v>0.77500000000000002</v>
      </c>
      <c r="R154">
        <v>5.0999999999999996</v>
      </c>
      <c r="S154">
        <v>4.46</v>
      </c>
      <c r="T154">
        <v>14.59</v>
      </c>
      <c r="U154">
        <v>5.67</v>
      </c>
      <c r="V154">
        <v>5.67</v>
      </c>
      <c r="W154">
        <v>100</v>
      </c>
      <c r="Y154">
        <v>56</v>
      </c>
      <c r="Z154">
        <v>2.2999999999999998</v>
      </c>
      <c r="AA154">
        <v>0</v>
      </c>
    </row>
    <row r="155" spans="1:30" x14ac:dyDescent="0.2">
      <c r="A155" t="s">
        <v>344</v>
      </c>
      <c r="C155">
        <v>0</v>
      </c>
      <c r="D155" t="s">
        <v>12</v>
      </c>
      <c r="E155">
        <v>2500</v>
      </c>
      <c r="F155" t="s">
        <v>319</v>
      </c>
      <c r="G155" t="s">
        <v>320</v>
      </c>
      <c r="H155" s="2">
        <v>0.79166666666666663</v>
      </c>
      <c r="I155" t="s">
        <v>313</v>
      </c>
      <c r="J155" s="1">
        <v>0.57999999999999996</v>
      </c>
      <c r="K155">
        <v>72.5</v>
      </c>
      <c r="L155">
        <v>6</v>
      </c>
      <c r="M155">
        <v>3</v>
      </c>
      <c r="N155">
        <v>3.06</v>
      </c>
      <c r="O155">
        <v>2</v>
      </c>
      <c r="Q155" s="3">
        <v>0.76249999999999996</v>
      </c>
      <c r="R155">
        <v>5.6</v>
      </c>
      <c r="S155">
        <v>4.8</v>
      </c>
      <c r="T155">
        <v>15.27</v>
      </c>
      <c r="U155">
        <v>5.67</v>
      </c>
      <c r="V155">
        <v>5.67</v>
      </c>
      <c r="W155">
        <v>100</v>
      </c>
      <c r="Y155">
        <v>57</v>
      </c>
      <c r="Z155">
        <v>2.2999999999999998</v>
      </c>
      <c r="AA155">
        <v>0</v>
      </c>
    </row>
    <row r="156" spans="1:30" x14ac:dyDescent="0.2">
      <c r="A156" t="s">
        <v>345</v>
      </c>
      <c r="C156">
        <v>0</v>
      </c>
      <c r="D156" t="s">
        <v>9</v>
      </c>
      <c r="E156">
        <v>2500</v>
      </c>
      <c r="F156" t="s">
        <v>319</v>
      </c>
      <c r="G156" t="s">
        <v>320</v>
      </c>
      <c r="H156" s="2">
        <v>0.79166666666666663</v>
      </c>
      <c r="I156" t="s">
        <v>313</v>
      </c>
      <c r="J156" s="1">
        <v>0.57999999999999996</v>
      </c>
      <c r="K156">
        <v>72.5</v>
      </c>
      <c r="L156">
        <v>6</v>
      </c>
      <c r="M156">
        <v>3</v>
      </c>
      <c r="N156">
        <v>3.06</v>
      </c>
      <c r="O156">
        <v>4</v>
      </c>
      <c r="P156">
        <v>2</v>
      </c>
      <c r="Q156" s="3">
        <v>0.46875</v>
      </c>
      <c r="R156">
        <v>4.5999999999999996</v>
      </c>
      <c r="S156">
        <v>4.09</v>
      </c>
      <c r="T156">
        <v>13.88</v>
      </c>
      <c r="U156">
        <v>5.7</v>
      </c>
      <c r="V156">
        <v>5.7</v>
      </c>
      <c r="W156">
        <v>100</v>
      </c>
      <c r="Y156">
        <v>56</v>
      </c>
      <c r="Z156">
        <v>2.2999999999999998</v>
      </c>
      <c r="AA156">
        <v>0</v>
      </c>
    </row>
    <row r="157" spans="1:30" x14ac:dyDescent="0.2">
      <c r="A157" t="s">
        <v>128</v>
      </c>
      <c r="C157">
        <v>0</v>
      </c>
      <c r="D157" t="s">
        <v>12</v>
      </c>
      <c r="E157">
        <v>2500</v>
      </c>
      <c r="F157" t="s">
        <v>204</v>
      </c>
      <c r="G157" t="s">
        <v>317</v>
      </c>
      <c r="H157" s="2">
        <v>0.85416666666666663</v>
      </c>
      <c r="I157" t="s">
        <v>313</v>
      </c>
      <c r="J157" s="1">
        <v>0.39100000000000001</v>
      </c>
      <c r="K157">
        <v>156</v>
      </c>
      <c r="L157">
        <v>7</v>
      </c>
      <c r="M157">
        <v>3.5</v>
      </c>
      <c r="N157">
        <v>4.4000000000000004</v>
      </c>
      <c r="O157">
        <v>2</v>
      </c>
      <c r="Q157" s="3">
        <v>0.73541666666666672</v>
      </c>
      <c r="R157">
        <v>4.9000000000000004</v>
      </c>
      <c r="S157">
        <v>3.34</v>
      </c>
      <c r="T157">
        <v>12.15</v>
      </c>
      <c r="U157">
        <v>5.47</v>
      </c>
      <c r="V157">
        <v>5.47</v>
      </c>
      <c r="W157">
        <v>100</v>
      </c>
      <c r="Y157">
        <v>66</v>
      </c>
      <c r="Z157">
        <v>2.2000000000000002</v>
      </c>
      <c r="AA157">
        <v>0</v>
      </c>
      <c r="AB157" s="3">
        <v>0.62222222222222223</v>
      </c>
      <c r="AC157">
        <v>0</v>
      </c>
    </row>
    <row r="158" spans="1:30" x14ac:dyDescent="0.2">
      <c r="A158" t="s">
        <v>216</v>
      </c>
      <c r="C158">
        <v>0</v>
      </c>
      <c r="D158" t="s">
        <v>9</v>
      </c>
      <c r="E158">
        <v>2500</v>
      </c>
      <c r="F158" t="s">
        <v>203</v>
      </c>
      <c r="G158" t="s">
        <v>305</v>
      </c>
      <c r="H158" s="2">
        <v>0.85416666666666663</v>
      </c>
      <c r="I158" t="s">
        <v>306</v>
      </c>
      <c r="J158" s="1">
        <v>0.60899999999999999</v>
      </c>
      <c r="K158">
        <v>-156</v>
      </c>
      <c r="L158">
        <v>7</v>
      </c>
      <c r="M158">
        <v>4.4000000000000004</v>
      </c>
      <c r="N158">
        <v>3.5</v>
      </c>
      <c r="O158">
        <v>4</v>
      </c>
      <c r="Q158" s="3">
        <v>0.51458333333333328</v>
      </c>
      <c r="R158">
        <v>2.6</v>
      </c>
      <c r="S158">
        <v>3.36</v>
      </c>
      <c r="T158">
        <v>11.52</v>
      </c>
      <c r="U158">
        <v>4.8</v>
      </c>
      <c r="V158">
        <v>4.8</v>
      </c>
      <c r="W158">
        <v>100</v>
      </c>
      <c r="Y158">
        <v>35</v>
      </c>
      <c r="Z158">
        <v>1.9</v>
      </c>
      <c r="AA158">
        <v>0</v>
      </c>
      <c r="AB158" s="3">
        <v>0.57361111111111107</v>
      </c>
      <c r="AC158">
        <v>0</v>
      </c>
    </row>
    <row r="159" spans="1:30" x14ac:dyDescent="0.2">
      <c r="A159" t="s">
        <v>58</v>
      </c>
      <c r="C159">
        <v>0</v>
      </c>
      <c r="D159" t="s">
        <v>9</v>
      </c>
      <c r="E159">
        <v>2700</v>
      </c>
      <c r="F159" t="s">
        <v>206</v>
      </c>
      <c r="G159" t="s">
        <v>314</v>
      </c>
      <c r="H159" s="2">
        <v>0.79166666666666663</v>
      </c>
      <c r="I159" t="s">
        <v>313</v>
      </c>
      <c r="J159" s="1">
        <v>0.56699999999999995</v>
      </c>
      <c r="K159">
        <v>76.5</v>
      </c>
      <c r="L159">
        <v>6</v>
      </c>
      <c r="M159">
        <v>3</v>
      </c>
      <c r="N159">
        <v>3.09</v>
      </c>
      <c r="O159">
        <v>1</v>
      </c>
      <c r="P159">
        <v>1</v>
      </c>
      <c r="Q159" s="3">
        <v>0.59027777777777779</v>
      </c>
      <c r="R159">
        <v>3.5</v>
      </c>
      <c r="S159">
        <v>3.34</v>
      </c>
      <c r="T159">
        <v>10.47</v>
      </c>
      <c r="U159">
        <v>3.79</v>
      </c>
      <c r="V159">
        <v>3.79</v>
      </c>
      <c r="W159">
        <v>100</v>
      </c>
      <c r="Y159">
        <v>52</v>
      </c>
      <c r="Z159">
        <v>1.4</v>
      </c>
      <c r="AA159">
        <v>0</v>
      </c>
      <c r="AB159" s="3">
        <v>0.61875000000000002</v>
      </c>
      <c r="AC159">
        <v>0</v>
      </c>
    </row>
    <row r="160" spans="1:30" x14ac:dyDescent="0.2">
      <c r="A160" t="s">
        <v>346</v>
      </c>
      <c r="C160">
        <v>0</v>
      </c>
      <c r="D160" t="s">
        <v>9</v>
      </c>
      <c r="E160">
        <v>2600</v>
      </c>
      <c r="F160" t="s">
        <v>319</v>
      </c>
      <c r="G160" t="s">
        <v>320</v>
      </c>
      <c r="H160" s="2">
        <v>0.79166666666666663</v>
      </c>
      <c r="I160" t="s">
        <v>313</v>
      </c>
      <c r="J160" s="1">
        <v>0.57999999999999996</v>
      </c>
      <c r="K160">
        <v>72.5</v>
      </c>
      <c r="L160">
        <v>6</v>
      </c>
      <c r="M160">
        <v>3</v>
      </c>
      <c r="N160">
        <v>3.06</v>
      </c>
      <c r="O160">
        <v>4</v>
      </c>
      <c r="Q160" s="3">
        <v>0.37361111111111112</v>
      </c>
      <c r="R160">
        <v>3.1</v>
      </c>
      <c r="S160">
        <v>3.25</v>
      </c>
      <c r="T160">
        <v>10.02</v>
      </c>
      <c r="U160">
        <v>3.52</v>
      </c>
      <c r="V160">
        <v>3.52</v>
      </c>
      <c r="W160">
        <v>100</v>
      </c>
      <c r="Y160">
        <v>48</v>
      </c>
      <c r="Z160">
        <v>1.4</v>
      </c>
      <c r="AA160">
        <v>0</v>
      </c>
    </row>
    <row r="161" spans="1:30" x14ac:dyDescent="0.2">
      <c r="A161" t="s">
        <v>130</v>
      </c>
      <c r="C161">
        <v>0</v>
      </c>
      <c r="D161" t="s">
        <v>5</v>
      </c>
      <c r="E161">
        <v>2600</v>
      </c>
      <c r="F161" t="s">
        <v>204</v>
      </c>
      <c r="G161" t="s">
        <v>317</v>
      </c>
      <c r="H161" s="2">
        <v>0.85416666666666663</v>
      </c>
      <c r="I161" t="s">
        <v>313</v>
      </c>
      <c r="J161" s="1">
        <v>0.39100000000000001</v>
      </c>
      <c r="K161">
        <v>156</v>
      </c>
      <c r="L161">
        <v>7</v>
      </c>
      <c r="M161">
        <v>3.5</v>
      </c>
      <c r="N161">
        <v>4.4000000000000004</v>
      </c>
      <c r="O161">
        <v>3</v>
      </c>
      <c r="P161">
        <v>2</v>
      </c>
      <c r="Q161" s="3">
        <v>0.41388888888888886</v>
      </c>
      <c r="R161">
        <v>2.9</v>
      </c>
      <c r="S161">
        <v>4.28</v>
      </c>
      <c r="T161">
        <v>12.31</v>
      </c>
      <c r="U161">
        <v>3.75</v>
      </c>
      <c r="V161">
        <v>3.75</v>
      </c>
      <c r="W161">
        <v>100</v>
      </c>
      <c r="Y161">
        <v>26</v>
      </c>
      <c r="Z161">
        <v>1.4</v>
      </c>
      <c r="AA161">
        <v>0</v>
      </c>
      <c r="AB161" s="3">
        <v>0.47638888888888886</v>
      </c>
      <c r="AC161">
        <v>3</v>
      </c>
      <c r="AD161">
        <v>1.2</v>
      </c>
    </row>
    <row r="162" spans="1:30" x14ac:dyDescent="0.2">
      <c r="A162" t="s">
        <v>223</v>
      </c>
      <c r="C162">
        <v>0</v>
      </c>
      <c r="D162" t="s">
        <v>12</v>
      </c>
      <c r="E162">
        <v>2500</v>
      </c>
      <c r="F162" t="s">
        <v>211</v>
      </c>
      <c r="G162" t="s">
        <v>315</v>
      </c>
      <c r="H162" s="2">
        <v>0.79166666666666663</v>
      </c>
      <c r="I162" t="s">
        <v>313</v>
      </c>
      <c r="J162" s="1">
        <v>0.50600000000000001</v>
      </c>
      <c r="K162">
        <v>97.5</v>
      </c>
      <c r="L162">
        <v>6</v>
      </c>
      <c r="M162">
        <v>3</v>
      </c>
      <c r="N162">
        <v>3.37</v>
      </c>
      <c r="O162">
        <v>3</v>
      </c>
      <c r="Q162" s="3">
        <v>0.58125000000000004</v>
      </c>
      <c r="R162">
        <v>3.2</v>
      </c>
      <c r="S162">
        <v>3.5</v>
      </c>
      <c r="T162">
        <v>10.78</v>
      </c>
      <c r="U162">
        <v>3.78</v>
      </c>
      <c r="V162">
        <v>3.78</v>
      </c>
      <c r="W162">
        <v>100</v>
      </c>
      <c r="Y162">
        <v>45</v>
      </c>
      <c r="Z162">
        <v>1.5</v>
      </c>
      <c r="AA162">
        <v>0</v>
      </c>
      <c r="AB162" s="3">
        <v>0.55763888888888891</v>
      </c>
      <c r="AC162">
        <v>0</v>
      </c>
    </row>
    <row r="163" spans="1:30" x14ac:dyDescent="0.2">
      <c r="A163" t="s">
        <v>136</v>
      </c>
      <c r="C163">
        <v>0</v>
      </c>
      <c r="D163" t="s">
        <v>12</v>
      </c>
      <c r="E163">
        <v>2500</v>
      </c>
      <c r="F163" t="s">
        <v>307</v>
      </c>
      <c r="G163" t="s">
        <v>308</v>
      </c>
      <c r="H163" s="2">
        <v>0.79166666666666663</v>
      </c>
      <c r="I163" t="s">
        <v>306</v>
      </c>
      <c r="J163" s="1">
        <v>0.49399999999999999</v>
      </c>
      <c r="K163">
        <v>-97.5</v>
      </c>
      <c r="L163">
        <v>6</v>
      </c>
      <c r="M163">
        <v>3.37</v>
      </c>
      <c r="N163">
        <v>3</v>
      </c>
      <c r="O163">
        <v>3</v>
      </c>
      <c r="Q163" s="3">
        <v>0.61111111111111116</v>
      </c>
      <c r="R163">
        <v>3.1</v>
      </c>
      <c r="S163">
        <v>2.91</v>
      </c>
      <c r="T163">
        <v>9.65</v>
      </c>
      <c r="U163">
        <v>3.83</v>
      </c>
      <c r="V163">
        <v>3.83</v>
      </c>
      <c r="W163">
        <v>100</v>
      </c>
      <c r="Y163">
        <v>53</v>
      </c>
      <c r="Z163">
        <v>1.5</v>
      </c>
      <c r="AA163">
        <v>0</v>
      </c>
      <c r="AB163" s="3">
        <v>0.72499999999999998</v>
      </c>
      <c r="AC163">
        <v>0</v>
      </c>
    </row>
    <row r="164" spans="1:30" x14ac:dyDescent="0.2">
      <c r="A164" t="s">
        <v>166</v>
      </c>
      <c r="C164">
        <v>0</v>
      </c>
      <c r="D164" t="s">
        <v>5</v>
      </c>
      <c r="E164">
        <v>2500</v>
      </c>
      <c r="F164" t="s">
        <v>211</v>
      </c>
      <c r="G164" t="s">
        <v>315</v>
      </c>
      <c r="H164" s="2">
        <v>0.79166666666666663</v>
      </c>
      <c r="I164" t="s">
        <v>313</v>
      </c>
      <c r="J164" s="1">
        <v>0.50600000000000001</v>
      </c>
      <c r="K164">
        <v>97.5</v>
      </c>
      <c r="L164">
        <v>6</v>
      </c>
      <c r="M164">
        <v>3</v>
      </c>
      <c r="N164">
        <v>3.37</v>
      </c>
      <c r="O164">
        <v>4</v>
      </c>
      <c r="Q164" s="3">
        <v>0.61527777777777781</v>
      </c>
      <c r="R164">
        <v>3.9</v>
      </c>
      <c r="S164">
        <v>4.95</v>
      </c>
      <c r="T164">
        <v>14.27</v>
      </c>
      <c r="U164">
        <v>4.37</v>
      </c>
      <c r="V164">
        <v>4.37</v>
      </c>
      <c r="W164">
        <v>100</v>
      </c>
      <c r="Y164">
        <v>37</v>
      </c>
      <c r="Z164">
        <v>1.7</v>
      </c>
      <c r="AA164">
        <v>0</v>
      </c>
      <c r="AB164" s="3">
        <v>0.57430555555555551</v>
      </c>
      <c r="AC164">
        <v>0</v>
      </c>
    </row>
    <row r="165" spans="1:30" x14ac:dyDescent="0.2">
      <c r="A165" t="s">
        <v>139</v>
      </c>
      <c r="C165">
        <v>0</v>
      </c>
      <c r="D165" t="s">
        <v>5</v>
      </c>
      <c r="E165">
        <v>2500</v>
      </c>
      <c r="F165" t="s">
        <v>207</v>
      </c>
      <c r="G165" t="s">
        <v>312</v>
      </c>
      <c r="H165" s="2">
        <v>0.79166666666666663</v>
      </c>
      <c r="I165" t="s">
        <v>313</v>
      </c>
      <c r="J165" s="1">
        <v>0.54500000000000004</v>
      </c>
      <c r="K165">
        <v>83.5</v>
      </c>
      <c r="L165">
        <v>6.5</v>
      </c>
      <c r="M165">
        <v>3.2</v>
      </c>
      <c r="N165">
        <v>3.25</v>
      </c>
      <c r="O165">
        <v>4</v>
      </c>
      <c r="Q165" s="3">
        <v>0.46180555555555558</v>
      </c>
      <c r="R165">
        <v>3.9</v>
      </c>
      <c r="S165">
        <v>4.41</v>
      </c>
      <c r="T165">
        <v>13.59</v>
      </c>
      <c r="U165">
        <v>4.7699999999999996</v>
      </c>
      <c r="V165">
        <v>4.7699999999999996</v>
      </c>
      <c r="W165">
        <v>100</v>
      </c>
      <c r="Y165">
        <v>43</v>
      </c>
      <c r="Z165">
        <v>1.9</v>
      </c>
      <c r="AA165">
        <v>0</v>
      </c>
    </row>
    <row r="166" spans="1:30" x14ac:dyDescent="0.2">
      <c r="A166" t="s">
        <v>221</v>
      </c>
      <c r="C166">
        <v>0</v>
      </c>
      <c r="D166" t="s">
        <v>9</v>
      </c>
      <c r="E166">
        <v>2500</v>
      </c>
      <c r="F166" t="s">
        <v>207</v>
      </c>
      <c r="G166" t="s">
        <v>312</v>
      </c>
      <c r="H166" s="2">
        <v>0.79166666666666663</v>
      </c>
      <c r="I166" t="s">
        <v>313</v>
      </c>
      <c r="J166" s="1">
        <v>0.54500000000000004</v>
      </c>
      <c r="K166">
        <v>83.5</v>
      </c>
      <c r="L166">
        <v>6.5</v>
      </c>
      <c r="M166">
        <v>3.2</v>
      </c>
      <c r="N166">
        <v>3.25</v>
      </c>
      <c r="O166">
        <v>4</v>
      </c>
      <c r="Q166" s="3">
        <v>0.50138888888888888</v>
      </c>
      <c r="R166">
        <v>3.8</v>
      </c>
      <c r="S166">
        <v>7.21</v>
      </c>
      <c r="T166">
        <v>18.04</v>
      </c>
      <c r="U166">
        <v>3.62</v>
      </c>
      <c r="V166">
        <v>3.62</v>
      </c>
      <c r="W166">
        <v>100</v>
      </c>
      <c r="Y166">
        <v>5</v>
      </c>
      <c r="Z166">
        <v>1.4</v>
      </c>
      <c r="AA166">
        <v>0</v>
      </c>
      <c r="AB166" s="3">
        <v>0.39652777777777776</v>
      </c>
      <c r="AC166">
        <v>0</v>
      </c>
    </row>
    <row r="167" spans="1:30" x14ac:dyDescent="0.2">
      <c r="A167" t="s">
        <v>157</v>
      </c>
      <c r="C167">
        <v>0</v>
      </c>
      <c r="D167" t="s">
        <v>9</v>
      </c>
      <c r="E167">
        <v>2500</v>
      </c>
      <c r="F167" t="s">
        <v>207</v>
      </c>
      <c r="G167" t="s">
        <v>312</v>
      </c>
      <c r="H167" s="2">
        <v>0.79166666666666663</v>
      </c>
      <c r="I167" t="s">
        <v>313</v>
      </c>
      <c r="J167" s="1">
        <v>0.54500000000000004</v>
      </c>
      <c r="K167">
        <v>83.5</v>
      </c>
      <c r="L167">
        <v>6.5</v>
      </c>
      <c r="M167">
        <v>3.2</v>
      </c>
      <c r="N167">
        <v>3.25</v>
      </c>
      <c r="O167">
        <v>3</v>
      </c>
      <c r="Q167" s="3">
        <v>0.3972222222222222</v>
      </c>
      <c r="R167">
        <v>2.9</v>
      </c>
      <c r="S167">
        <v>2.76</v>
      </c>
      <c r="T167">
        <v>9.14</v>
      </c>
      <c r="U167">
        <v>3.62</v>
      </c>
      <c r="V167">
        <v>3.62</v>
      </c>
      <c r="W167">
        <v>100</v>
      </c>
      <c r="Y167">
        <v>52</v>
      </c>
      <c r="Z167">
        <v>1.4</v>
      </c>
      <c r="AA167">
        <v>0</v>
      </c>
      <c r="AB167" s="3">
        <v>0.41458333333333336</v>
      </c>
      <c r="AC167">
        <v>1.3</v>
      </c>
      <c r="AD167">
        <v>0.5</v>
      </c>
    </row>
    <row r="168" spans="1:30" x14ac:dyDescent="0.2">
      <c r="A168" t="s">
        <v>210</v>
      </c>
      <c r="C168">
        <v>0</v>
      </c>
      <c r="D168" t="s">
        <v>12</v>
      </c>
      <c r="E168">
        <v>2500</v>
      </c>
      <c r="F168" t="s">
        <v>206</v>
      </c>
      <c r="G168" t="s">
        <v>314</v>
      </c>
      <c r="H168" s="2">
        <v>0.79166666666666663</v>
      </c>
      <c r="I168" t="s">
        <v>313</v>
      </c>
      <c r="J168" s="1">
        <v>0.56699999999999995</v>
      </c>
      <c r="K168">
        <v>76.5</v>
      </c>
      <c r="L168">
        <v>6</v>
      </c>
      <c r="M168">
        <v>3</v>
      </c>
      <c r="N168">
        <v>3.09</v>
      </c>
      <c r="O168">
        <v>3</v>
      </c>
      <c r="Q168" s="3">
        <v>0.5805555555555556</v>
      </c>
      <c r="R168">
        <v>1.3</v>
      </c>
      <c r="S168">
        <v>0</v>
      </c>
      <c r="T168">
        <v>3.77</v>
      </c>
      <c r="U168">
        <v>3.77</v>
      </c>
      <c r="V168">
        <v>3.77</v>
      </c>
      <c r="W168">
        <v>100</v>
      </c>
      <c r="Y168">
        <v>0</v>
      </c>
      <c r="Z168">
        <v>1.5</v>
      </c>
      <c r="AA168">
        <v>0</v>
      </c>
      <c r="AB168" s="3">
        <v>0.52708333333333335</v>
      </c>
      <c r="AC168">
        <v>5</v>
      </c>
      <c r="AD168">
        <v>2</v>
      </c>
    </row>
    <row r="169" spans="1:30" x14ac:dyDescent="0.2">
      <c r="A169" t="s">
        <v>224</v>
      </c>
      <c r="C169">
        <v>0</v>
      </c>
      <c r="D169" t="s">
        <v>12</v>
      </c>
      <c r="E169">
        <v>2500</v>
      </c>
      <c r="F169" t="s">
        <v>206</v>
      </c>
      <c r="G169" t="s">
        <v>314</v>
      </c>
      <c r="H169" s="2">
        <v>0.79166666666666663</v>
      </c>
      <c r="I169" t="s">
        <v>313</v>
      </c>
      <c r="J169" s="1">
        <v>0.56699999999999995</v>
      </c>
      <c r="K169">
        <v>76.5</v>
      </c>
      <c r="L169">
        <v>6</v>
      </c>
      <c r="M169">
        <v>3</v>
      </c>
      <c r="N169">
        <v>3.09</v>
      </c>
      <c r="O169">
        <v>3</v>
      </c>
      <c r="Q169" s="3">
        <v>0.53194444444444444</v>
      </c>
      <c r="R169">
        <v>2.4</v>
      </c>
      <c r="S169">
        <v>2.83</v>
      </c>
      <c r="T169">
        <v>9.5299999999999994</v>
      </c>
      <c r="U169">
        <v>3.87</v>
      </c>
      <c r="V169">
        <v>3.87</v>
      </c>
      <c r="W169">
        <v>100</v>
      </c>
      <c r="Y169">
        <v>41</v>
      </c>
      <c r="Z169">
        <v>1.5</v>
      </c>
      <c r="AA169">
        <v>0</v>
      </c>
      <c r="AB169" s="3">
        <v>0.59513888888888888</v>
      </c>
      <c r="AC169">
        <v>1.3</v>
      </c>
      <c r="AD169">
        <v>0.5</v>
      </c>
    </row>
    <row r="170" spans="1:30" x14ac:dyDescent="0.2">
      <c r="A170" t="s">
        <v>140</v>
      </c>
      <c r="C170">
        <v>0</v>
      </c>
      <c r="D170" t="s">
        <v>12</v>
      </c>
      <c r="E170">
        <v>2500</v>
      </c>
      <c r="F170" t="s">
        <v>214</v>
      </c>
      <c r="G170" t="s">
        <v>322</v>
      </c>
      <c r="H170" s="2">
        <v>0.79166666666666663</v>
      </c>
      <c r="I170" t="s">
        <v>306</v>
      </c>
      <c r="J170" s="1">
        <v>0.433</v>
      </c>
      <c r="K170">
        <v>-76.5</v>
      </c>
      <c r="L170">
        <v>6</v>
      </c>
      <c r="M170">
        <v>3.09</v>
      </c>
      <c r="N170">
        <v>3</v>
      </c>
      <c r="O170">
        <v>3</v>
      </c>
      <c r="Q170" s="3">
        <v>0.70833333333333337</v>
      </c>
      <c r="R170">
        <v>4</v>
      </c>
      <c r="S170">
        <v>3.97</v>
      </c>
      <c r="T170">
        <v>12.54</v>
      </c>
      <c r="U170">
        <v>4.5999999999999996</v>
      </c>
      <c r="V170">
        <v>4.5999999999999996</v>
      </c>
      <c r="W170">
        <v>100</v>
      </c>
      <c r="Y170">
        <v>50</v>
      </c>
      <c r="Z170">
        <v>1.8</v>
      </c>
      <c r="AA170">
        <v>0</v>
      </c>
      <c r="AB170" s="3">
        <v>0.52986111111111112</v>
      </c>
      <c r="AC170">
        <v>0</v>
      </c>
    </row>
    <row r="171" spans="1:30" x14ac:dyDescent="0.2">
      <c r="A171" t="s">
        <v>230</v>
      </c>
      <c r="C171">
        <v>0</v>
      </c>
      <c r="D171" t="s">
        <v>9</v>
      </c>
      <c r="E171">
        <v>2500</v>
      </c>
      <c r="F171" t="s">
        <v>206</v>
      </c>
      <c r="G171" t="s">
        <v>314</v>
      </c>
      <c r="H171" s="2">
        <v>0.79166666666666663</v>
      </c>
      <c r="I171" t="s">
        <v>313</v>
      </c>
      <c r="J171" s="1">
        <v>0.56699999999999995</v>
      </c>
      <c r="K171">
        <v>76.5</v>
      </c>
      <c r="L171">
        <v>6</v>
      </c>
      <c r="M171">
        <v>3</v>
      </c>
      <c r="N171">
        <v>3.09</v>
      </c>
      <c r="O171">
        <v>4</v>
      </c>
      <c r="Q171" s="3">
        <v>0.4284722222222222</v>
      </c>
      <c r="R171">
        <v>3.4</v>
      </c>
      <c r="S171">
        <v>2.46</v>
      </c>
      <c r="T171">
        <v>9.18</v>
      </c>
      <c r="U171">
        <v>4.26</v>
      </c>
      <c r="V171">
        <v>4.26</v>
      </c>
      <c r="W171">
        <v>100</v>
      </c>
      <c r="Y171">
        <v>64</v>
      </c>
      <c r="Z171">
        <v>1.7</v>
      </c>
      <c r="AA171">
        <v>0</v>
      </c>
      <c r="AB171" s="3">
        <v>0.52708333333333335</v>
      </c>
      <c r="AC171">
        <v>1.5</v>
      </c>
      <c r="AD171">
        <v>0.6</v>
      </c>
    </row>
    <row r="172" spans="1:30" x14ac:dyDescent="0.2">
      <c r="A172" t="s">
        <v>347</v>
      </c>
      <c r="C172">
        <v>0</v>
      </c>
      <c r="D172" t="s">
        <v>12</v>
      </c>
      <c r="E172">
        <v>2500</v>
      </c>
      <c r="F172" t="s">
        <v>310</v>
      </c>
      <c r="G172" t="s">
        <v>311</v>
      </c>
      <c r="H172" s="2">
        <v>0.79166666666666663</v>
      </c>
      <c r="I172" t="s">
        <v>306</v>
      </c>
      <c r="J172" s="1">
        <v>0.42</v>
      </c>
      <c r="K172">
        <v>-72.5</v>
      </c>
      <c r="L172">
        <v>6</v>
      </c>
      <c r="M172">
        <v>3.06</v>
      </c>
      <c r="N172">
        <v>3</v>
      </c>
      <c r="O172">
        <v>3</v>
      </c>
      <c r="Q172" s="3">
        <v>0.59791666666666665</v>
      </c>
      <c r="R172">
        <v>3.3</v>
      </c>
      <c r="S172">
        <v>2.4300000000000002</v>
      </c>
      <c r="T172">
        <v>9.17</v>
      </c>
      <c r="U172">
        <v>4.3099999999999996</v>
      </c>
      <c r="V172">
        <v>4.3099999999999996</v>
      </c>
      <c r="W172">
        <v>100</v>
      </c>
      <c r="Y172">
        <v>63</v>
      </c>
      <c r="Z172">
        <v>1.7</v>
      </c>
      <c r="AA172">
        <v>0</v>
      </c>
    </row>
    <row r="173" spans="1:30" x14ac:dyDescent="0.2">
      <c r="A173" t="s">
        <v>217</v>
      </c>
      <c r="C173">
        <v>0</v>
      </c>
      <c r="D173" t="s">
        <v>5</v>
      </c>
      <c r="E173">
        <v>2500</v>
      </c>
      <c r="F173" t="s">
        <v>203</v>
      </c>
      <c r="G173" t="s">
        <v>305</v>
      </c>
      <c r="H173" s="2">
        <v>0.85416666666666663</v>
      </c>
      <c r="I173" t="s">
        <v>306</v>
      </c>
      <c r="J173" s="1">
        <v>0.60899999999999999</v>
      </c>
      <c r="K173">
        <v>-156</v>
      </c>
      <c r="L173">
        <v>7</v>
      </c>
      <c r="M173">
        <v>4.4000000000000004</v>
      </c>
      <c r="N173">
        <v>3.5</v>
      </c>
      <c r="O173">
        <v>4</v>
      </c>
      <c r="Q173" s="3">
        <v>0.38055555555555554</v>
      </c>
      <c r="R173">
        <v>2.7</v>
      </c>
      <c r="S173">
        <v>3.4</v>
      </c>
      <c r="T173">
        <v>11.32</v>
      </c>
      <c r="U173">
        <v>4.5199999999999996</v>
      </c>
      <c r="V173">
        <v>4.5199999999999996</v>
      </c>
      <c r="W173">
        <v>100</v>
      </c>
      <c r="Y173">
        <v>37</v>
      </c>
      <c r="Z173">
        <v>1.8</v>
      </c>
      <c r="AA173">
        <v>0</v>
      </c>
      <c r="AB173" s="3">
        <v>0.47499999999999998</v>
      </c>
      <c r="AC173">
        <v>1.5</v>
      </c>
      <c r="AD173">
        <v>0.6</v>
      </c>
    </row>
    <row r="174" spans="1:30" x14ac:dyDescent="0.2">
      <c r="A174" t="s">
        <v>208</v>
      </c>
      <c r="C174">
        <v>0</v>
      </c>
      <c r="D174" t="s">
        <v>12</v>
      </c>
      <c r="E174">
        <v>2500</v>
      </c>
      <c r="F174" t="s">
        <v>207</v>
      </c>
      <c r="G174" t="s">
        <v>312</v>
      </c>
      <c r="H174" s="2">
        <v>0.79166666666666663</v>
      </c>
      <c r="I174" t="s">
        <v>313</v>
      </c>
      <c r="J174" s="1">
        <v>0.54500000000000004</v>
      </c>
      <c r="K174">
        <v>83.5</v>
      </c>
      <c r="L174">
        <v>6.5</v>
      </c>
      <c r="M174">
        <v>3.2</v>
      </c>
      <c r="N174">
        <v>3.25</v>
      </c>
      <c r="O174">
        <v>3</v>
      </c>
      <c r="Q174" s="3">
        <v>0.57916666666666672</v>
      </c>
      <c r="R174">
        <v>2.6</v>
      </c>
      <c r="S174">
        <v>1.58</v>
      </c>
      <c r="T174">
        <v>6.65</v>
      </c>
      <c r="U174">
        <v>3.49</v>
      </c>
      <c r="V174">
        <v>3.49</v>
      </c>
      <c r="W174">
        <v>100</v>
      </c>
      <c r="Y174">
        <v>70</v>
      </c>
      <c r="Z174">
        <v>1.4</v>
      </c>
      <c r="AA174">
        <v>0</v>
      </c>
      <c r="AB174" s="3">
        <v>0.5229166666666667</v>
      </c>
      <c r="AC174">
        <v>7.8</v>
      </c>
      <c r="AD174">
        <v>3.1</v>
      </c>
    </row>
    <row r="175" spans="1:30" x14ac:dyDescent="0.2">
      <c r="A175" t="s">
        <v>212</v>
      </c>
      <c r="C175">
        <v>0</v>
      </c>
      <c r="D175" t="s">
        <v>5</v>
      </c>
      <c r="E175">
        <v>2500</v>
      </c>
      <c r="F175" t="s">
        <v>206</v>
      </c>
      <c r="G175" t="s">
        <v>314</v>
      </c>
      <c r="H175" s="2">
        <v>0.79166666666666663</v>
      </c>
      <c r="I175" t="s">
        <v>313</v>
      </c>
      <c r="J175" s="1">
        <v>0.56699999999999995</v>
      </c>
      <c r="K175">
        <v>76.5</v>
      </c>
      <c r="L175">
        <v>6</v>
      </c>
      <c r="M175">
        <v>3</v>
      </c>
      <c r="N175">
        <v>3.09</v>
      </c>
      <c r="O175">
        <v>4</v>
      </c>
      <c r="Q175" s="3">
        <v>0.4777777777777778</v>
      </c>
      <c r="R175">
        <v>3.5</v>
      </c>
      <c r="S175">
        <v>4.38</v>
      </c>
      <c r="T175">
        <v>13.01</v>
      </c>
      <c r="U175">
        <v>4.25</v>
      </c>
      <c r="V175">
        <v>4.25</v>
      </c>
      <c r="W175">
        <v>100</v>
      </c>
      <c r="Y175">
        <v>37</v>
      </c>
      <c r="Z175">
        <v>1.7</v>
      </c>
      <c r="AA175">
        <v>0</v>
      </c>
      <c r="AB175" s="3">
        <v>0.65</v>
      </c>
      <c r="AC175">
        <v>9.3000000000000007</v>
      </c>
      <c r="AD175">
        <v>3.7</v>
      </c>
    </row>
    <row r="176" spans="1:30" x14ac:dyDescent="0.2">
      <c r="A176" t="s">
        <v>226</v>
      </c>
      <c r="C176">
        <v>0</v>
      </c>
      <c r="D176" t="s">
        <v>5</v>
      </c>
      <c r="E176">
        <v>2500</v>
      </c>
      <c r="F176" t="s">
        <v>307</v>
      </c>
      <c r="G176" t="s">
        <v>308</v>
      </c>
      <c r="H176" s="2">
        <v>0.79166666666666663</v>
      </c>
      <c r="I176" t="s">
        <v>306</v>
      </c>
      <c r="J176" s="1">
        <v>0.49399999999999999</v>
      </c>
      <c r="K176">
        <v>-97.5</v>
      </c>
      <c r="L176">
        <v>6</v>
      </c>
      <c r="M176">
        <v>3.37</v>
      </c>
      <c r="N176">
        <v>3</v>
      </c>
      <c r="O176">
        <v>4</v>
      </c>
      <c r="Q176" s="3">
        <v>0.38472222222222224</v>
      </c>
      <c r="R176">
        <v>2.2999999999999998</v>
      </c>
      <c r="S176">
        <v>3.69</v>
      </c>
      <c r="T176">
        <v>10.17</v>
      </c>
      <c r="U176">
        <v>2.79</v>
      </c>
      <c r="V176">
        <v>2.79</v>
      </c>
      <c r="W176">
        <v>100</v>
      </c>
      <c r="Y176">
        <v>20</v>
      </c>
      <c r="Z176">
        <v>1.1000000000000001</v>
      </c>
      <c r="AA176">
        <v>0</v>
      </c>
      <c r="AB176" s="3">
        <v>0.29930555555555555</v>
      </c>
      <c r="AC176">
        <v>2.6</v>
      </c>
      <c r="AD176">
        <v>1</v>
      </c>
    </row>
    <row r="177" spans="1:30" x14ac:dyDescent="0.2">
      <c r="A177" t="s">
        <v>213</v>
      </c>
      <c r="C177">
        <v>0</v>
      </c>
      <c r="D177" t="s">
        <v>5</v>
      </c>
      <c r="E177">
        <v>2500</v>
      </c>
      <c r="F177" t="s">
        <v>207</v>
      </c>
      <c r="G177" t="s">
        <v>312</v>
      </c>
      <c r="H177" s="2">
        <v>0.79166666666666663</v>
      </c>
      <c r="I177" t="s">
        <v>313</v>
      </c>
      <c r="J177" s="1">
        <v>0.54500000000000004</v>
      </c>
      <c r="K177">
        <v>83.5</v>
      </c>
      <c r="L177">
        <v>6.5</v>
      </c>
      <c r="M177">
        <v>3.2</v>
      </c>
      <c r="N177">
        <v>3.25</v>
      </c>
      <c r="O177">
        <v>4</v>
      </c>
      <c r="Q177" s="3">
        <v>0.43819444444444444</v>
      </c>
      <c r="R177">
        <v>3.3</v>
      </c>
      <c r="S177">
        <v>3.81</v>
      </c>
      <c r="T177">
        <v>10.99</v>
      </c>
      <c r="U177">
        <v>3.37</v>
      </c>
      <c r="V177">
        <v>3.37</v>
      </c>
      <c r="W177">
        <v>100</v>
      </c>
      <c r="Y177">
        <v>42</v>
      </c>
      <c r="Z177">
        <v>1.3</v>
      </c>
      <c r="AA177">
        <v>0</v>
      </c>
      <c r="AB177" s="3">
        <v>0.36944444444444446</v>
      </c>
      <c r="AC177">
        <v>0</v>
      </c>
    </row>
    <row r="178" spans="1:30" x14ac:dyDescent="0.2">
      <c r="A178" t="s">
        <v>220</v>
      </c>
      <c r="C178">
        <v>0</v>
      </c>
      <c r="D178" t="s">
        <v>9</v>
      </c>
      <c r="E178">
        <v>2500</v>
      </c>
      <c r="F178" t="s">
        <v>211</v>
      </c>
      <c r="G178" t="s">
        <v>315</v>
      </c>
      <c r="H178" s="2">
        <v>0.79166666666666663</v>
      </c>
      <c r="I178" t="s">
        <v>313</v>
      </c>
      <c r="J178" s="1">
        <v>0.50600000000000001</v>
      </c>
      <c r="K178">
        <v>97.5</v>
      </c>
      <c r="L178">
        <v>6</v>
      </c>
      <c r="M178">
        <v>3</v>
      </c>
      <c r="N178">
        <v>3.37</v>
      </c>
      <c r="O178">
        <v>4</v>
      </c>
      <c r="Q178" s="3">
        <v>0.40972222222222221</v>
      </c>
      <c r="R178">
        <v>2.6</v>
      </c>
      <c r="S178">
        <v>2.92</v>
      </c>
      <c r="T178">
        <v>8.1999999999999993</v>
      </c>
      <c r="U178">
        <v>2.36</v>
      </c>
      <c r="V178">
        <v>2.36</v>
      </c>
      <c r="W178">
        <v>100</v>
      </c>
      <c r="Y178">
        <v>44</v>
      </c>
      <c r="Z178">
        <v>0.9</v>
      </c>
      <c r="AA178">
        <v>0</v>
      </c>
      <c r="AB178" s="3">
        <v>0.31874999999999998</v>
      </c>
      <c r="AC178">
        <v>0</v>
      </c>
    </row>
    <row r="179" spans="1:30" x14ac:dyDescent="0.2">
      <c r="A179" t="s">
        <v>225</v>
      </c>
      <c r="C179">
        <v>0</v>
      </c>
      <c r="D179" t="s">
        <v>9</v>
      </c>
      <c r="E179">
        <v>2500</v>
      </c>
      <c r="F179" t="s">
        <v>206</v>
      </c>
      <c r="G179" t="s">
        <v>314</v>
      </c>
      <c r="H179" s="2">
        <v>0.79166666666666663</v>
      </c>
      <c r="I179" t="s">
        <v>313</v>
      </c>
      <c r="J179" s="1">
        <v>0.56699999999999995</v>
      </c>
      <c r="K179">
        <v>76.5</v>
      </c>
      <c r="L179">
        <v>6</v>
      </c>
      <c r="M179">
        <v>3</v>
      </c>
      <c r="N179">
        <v>3.09</v>
      </c>
      <c r="O179">
        <v>4</v>
      </c>
      <c r="Q179" s="3">
        <v>0.4465277777777778</v>
      </c>
      <c r="R179">
        <v>2.7</v>
      </c>
      <c r="S179">
        <v>2.93</v>
      </c>
      <c r="T179">
        <v>9.09</v>
      </c>
      <c r="U179">
        <v>3.23</v>
      </c>
      <c r="V179">
        <v>3.23</v>
      </c>
      <c r="W179">
        <v>100</v>
      </c>
      <c r="Y179">
        <v>46</v>
      </c>
      <c r="Z179">
        <v>1.3</v>
      </c>
      <c r="AA179">
        <v>0</v>
      </c>
      <c r="AB179" s="3">
        <v>0.5083333333333333</v>
      </c>
      <c r="AC179">
        <v>0</v>
      </c>
    </row>
    <row r="180" spans="1:30" x14ac:dyDescent="0.2">
      <c r="A180" t="s">
        <v>231</v>
      </c>
      <c r="C180">
        <v>0</v>
      </c>
      <c r="D180" t="s">
        <v>9</v>
      </c>
      <c r="E180">
        <v>2500</v>
      </c>
      <c r="F180" t="s">
        <v>214</v>
      </c>
      <c r="G180" t="s">
        <v>322</v>
      </c>
      <c r="H180" s="2">
        <v>0.79166666666666663</v>
      </c>
      <c r="I180" t="s">
        <v>306</v>
      </c>
      <c r="J180" s="1">
        <v>0.433</v>
      </c>
      <c r="K180">
        <v>-76.5</v>
      </c>
      <c r="L180">
        <v>6</v>
      </c>
      <c r="M180">
        <v>3.09</v>
      </c>
      <c r="N180">
        <v>3</v>
      </c>
      <c r="O180">
        <v>4</v>
      </c>
      <c r="Q180" s="3">
        <v>0.47083333333333333</v>
      </c>
      <c r="R180">
        <v>3</v>
      </c>
      <c r="S180">
        <v>4.24</v>
      </c>
      <c r="T180">
        <v>12.13</v>
      </c>
      <c r="U180">
        <v>3.65</v>
      </c>
      <c r="V180">
        <v>3.65</v>
      </c>
      <c r="W180">
        <v>100</v>
      </c>
      <c r="Y180">
        <v>29</v>
      </c>
      <c r="Z180">
        <v>1.5</v>
      </c>
      <c r="AA180">
        <v>0</v>
      </c>
      <c r="AB180" s="3">
        <v>0.48958333333333331</v>
      </c>
      <c r="AC180">
        <v>0</v>
      </c>
    </row>
    <row r="181" spans="1:30" x14ac:dyDescent="0.2">
      <c r="A181" t="s">
        <v>348</v>
      </c>
      <c r="C181">
        <v>0</v>
      </c>
      <c r="D181" t="s">
        <v>12</v>
      </c>
      <c r="E181">
        <v>2500</v>
      </c>
      <c r="F181" t="s">
        <v>319</v>
      </c>
      <c r="G181" t="s">
        <v>320</v>
      </c>
      <c r="H181" s="2">
        <v>0.79166666666666663</v>
      </c>
      <c r="I181" t="s">
        <v>313</v>
      </c>
      <c r="J181" s="1">
        <v>0.57999999999999996</v>
      </c>
      <c r="K181">
        <v>72.5</v>
      </c>
      <c r="L181">
        <v>6</v>
      </c>
      <c r="M181">
        <v>3</v>
      </c>
      <c r="N181">
        <v>3.06</v>
      </c>
      <c r="O181">
        <v>3</v>
      </c>
      <c r="Q181" s="3">
        <v>0.72222222222222221</v>
      </c>
      <c r="R181">
        <v>3.9</v>
      </c>
      <c r="S181">
        <v>4.1399999999999997</v>
      </c>
      <c r="T181">
        <v>12.5</v>
      </c>
      <c r="U181">
        <v>4.22</v>
      </c>
      <c r="V181">
        <v>4.22</v>
      </c>
      <c r="W181">
        <v>100</v>
      </c>
      <c r="Y181">
        <v>47</v>
      </c>
      <c r="Z181">
        <v>1.7</v>
      </c>
      <c r="AA181">
        <v>0</v>
      </c>
    </row>
    <row r="182" spans="1:30" x14ac:dyDescent="0.2">
      <c r="A182" t="s">
        <v>349</v>
      </c>
      <c r="C182">
        <v>0</v>
      </c>
      <c r="D182" t="s">
        <v>9</v>
      </c>
      <c r="E182">
        <v>2500</v>
      </c>
      <c r="F182" t="s">
        <v>310</v>
      </c>
      <c r="G182" t="s">
        <v>311</v>
      </c>
      <c r="H182" s="2">
        <v>0.79166666666666663</v>
      </c>
      <c r="I182" t="s">
        <v>306</v>
      </c>
      <c r="J182" s="1">
        <v>0.42</v>
      </c>
      <c r="K182">
        <v>-72.5</v>
      </c>
      <c r="L182">
        <v>6</v>
      </c>
      <c r="M182">
        <v>3.06</v>
      </c>
      <c r="N182">
        <v>3</v>
      </c>
      <c r="O182">
        <v>4</v>
      </c>
      <c r="Q182" s="3">
        <v>0.44722222222222224</v>
      </c>
      <c r="R182">
        <v>3.4</v>
      </c>
      <c r="S182">
        <v>3.7</v>
      </c>
      <c r="T182">
        <v>11.58</v>
      </c>
      <c r="U182">
        <v>4.18</v>
      </c>
      <c r="V182">
        <v>4.18</v>
      </c>
      <c r="W182">
        <v>100</v>
      </c>
      <c r="Y182">
        <v>46</v>
      </c>
      <c r="Z182">
        <v>1.7</v>
      </c>
      <c r="AA182">
        <v>0</v>
      </c>
    </row>
    <row r="183" spans="1:30" x14ac:dyDescent="0.2">
      <c r="A183" t="s">
        <v>219</v>
      </c>
      <c r="C183">
        <v>0</v>
      </c>
      <c r="D183" t="s">
        <v>5</v>
      </c>
      <c r="E183">
        <v>2500</v>
      </c>
      <c r="F183" t="s">
        <v>214</v>
      </c>
      <c r="G183" t="s">
        <v>322</v>
      </c>
      <c r="H183" s="2">
        <v>0.79166666666666663</v>
      </c>
      <c r="I183" t="s">
        <v>306</v>
      </c>
      <c r="J183" s="1">
        <v>0.433</v>
      </c>
      <c r="K183">
        <v>-76.5</v>
      </c>
      <c r="L183">
        <v>6</v>
      </c>
      <c r="M183">
        <v>3.09</v>
      </c>
      <c r="N183">
        <v>3</v>
      </c>
      <c r="O183">
        <v>4</v>
      </c>
      <c r="Q183" s="3">
        <v>0.37222222222222223</v>
      </c>
      <c r="R183">
        <v>0.9</v>
      </c>
      <c r="S183">
        <v>0.61</v>
      </c>
      <c r="T183">
        <v>3.98</v>
      </c>
      <c r="U183">
        <v>2.76</v>
      </c>
      <c r="V183">
        <v>2.76</v>
      </c>
      <c r="W183">
        <v>100</v>
      </c>
      <c r="Y183">
        <v>66</v>
      </c>
      <c r="Z183">
        <v>1.1000000000000001</v>
      </c>
      <c r="AA183">
        <v>0</v>
      </c>
      <c r="AB183" s="3">
        <v>0.44513888888888886</v>
      </c>
      <c r="AC183">
        <v>0</v>
      </c>
    </row>
    <row r="184" spans="1:30" x14ac:dyDescent="0.2">
      <c r="A184" t="s">
        <v>350</v>
      </c>
      <c r="C184">
        <v>0</v>
      </c>
      <c r="D184" t="s">
        <v>5</v>
      </c>
      <c r="E184">
        <v>2500</v>
      </c>
      <c r="F184" t="s">
        <v>310</v>
      </c>
      <c r="G184" t="s">
        <v>311</v>
      </c>
      <c r="H184" s="2">
        <v>0.79166666666666663</v>
      </c>
      <c r="I184" t="s">
        <v>306</v>
      </c>
      <c r="J184" s="1">
        <v>0.42</v>
      </c>
      <c r="K184">
        <v>-72.5</v>
      </c>
      <c r="L184">
        <v>6</v>
      </c>
      <c r="M184">
        <v>3.06</v>
      </c>
      <c r="N184">
        <v>3</v>
      </c>
      <c r="O184">
        <v>4</v>
      </c>
      <c r="Q184" s="3">
        <v>0.50902777777777775</v>
      </c>
      <c r="R184">
        <v>2.8</v>
      </c>
      <c r="S184">
        <v>3.35</v>
      </c>
      <c r="T184">
        <v>10.25</v>
      </c>
      <c r="U184">
        <v>3.55</v>
      </c>
      <c r="V184">
        <v>3.55</v>
      </c>
      <c r="W184">
        <v>100</v>
      </c>
      <c r="Y184">
        <v>40</v>
      </c>
      <c r="Z184">
        <v>1.4</v>
      </c>
      <c r="AA184">
        <v>0</v>
      </c>
    </row>
    <row r="185" spans="1:30" x14ac:dyDescent="0.2">
      <c r="A185" t="s">
        <v>159</v>
      </c>
      <c r="C185">
        <v>0</v>
      </c>
      <c r="D185" t="s">
        <v>9</v>
      </c>
      <c r="E185">
        <v>2500</v>
      </c>
      <c r="F185" t="s">
        <v>203</v>
      </c>
      <c r="G185" t="s">
        <v>305</v>
      </c>
      <c r="H185" s="2">
        <v>0.85416666666666663</v>
      </c>
      <c r="I185" t="s">
        <v>306</v>
      </c>
      <c r="J185" s="1">
        <v>0.60899999999999999</v>
      </c>
      <c r="K185">
        <v>-156</v>
      </c>
      <c r="L185">
        <v>7</v>
      </c>
      <c r="M185">
        <v>4.4000000000000004</v>
      </c>
      <c r="N185">
        <v>3.5</v>
      </c>
      <c r="O185">
        <v>4</v>
      </c>
      <c r="Q185" s="3">
        <v>0.45763888888888887</v>
      </c>
      <c r="R185">
        <v>2.2000000000000002</v>
      </c>
      <c r="S185">
        <v>3.4</v>
      </c>
      <c r="T185">
        <v>10.19</v>
      </c>
      <c r="U185">
        <v>3.39</v>
      </c>
      <c r="V185">
        <v>3.39</v>
      </c>
      <c r="W185">
        <v>100</v>
      </c>
      <c r="Y185">
        <v>23</v>
      </c>
      <c r="Z185">
        <v>1.4</v>
      </c>
      <c r="AA185">
        <v>0</v>
      </c>
      <c r="AB185" s="3">
        <v>0.33263888888888887</v>
      </c>
      <c r="AC185">
        <v>4.5</v>
      </c>
      <c r="AD185">
        <v>1.8</v>
      </c>
    </row>
    <row r="186" spans="1:30" x14ac:dyDescent="0.2">
      <c r="A186" t="s">
        <v>218</v>
      </c>
      <c r="C186">
        <v>0</v>
      </c>
      <c r="D186" t="s">
        <v>9</v>
      </c>
      <c r="E186">
        <v>2500</v>
      </c>
      <c r="F186" t="s">
        <v>204</v>
      </c>
      <c r="G186" t="s">
        <v>317</v>
      </c>
      <c r="H186" s="2">
        <v>0.85416666666666663</v>
      </c>
      <c r="I186" t="s">
        <v>313</v>
      </c>
      <c r="J186" s="1">
        <v>0.39100000000000001</v>
      </c>
      <c r="K186">
        <v>156</v>
      </c>
      <c r="L186">
        <v>7</v>
      </c>
      <c r="M186">
        <v>3.5</v>
      </c>
      <c r="N186">
        <v>4.4000000000000004</v>
      </c>
      <c r="O186">
        <v>4</v>
      </c>
      <c r="Q186" s="3">
        <v>0.40763888888888888</v>
      </c>
      <c r="R186">
        <v>2.5</v>
      </c>
      <c r="S186">
        <v>4.08</v>
      </c>
      <c r="T186">
        <v>11.49</v>
      </c>
      <c r="U186">
        <v>3.33</v>
      </c>
      <c r="V186">
        <v>3.33</v>
      </c>
      <c r="W186">
        <v>100</v>
      </c>
      <c r="Y186">
        <v>18</v>
      </c>
      <c r="Z186">
        <v>1.3</v>
      </c>
      <c r="AA186">
        <v>0</v>
      </c>
      <c r="AB186" s="3">
        <v>0.40208333333333335</v>
      </c>
      <c r="AC186">
        <v>1.3</v>
      </c>
      <c r="AD186">
        <v>0.5</v>
      </c>
    </row>
    <row r="187" spans="1:30" x14ac:dyDescent="0.2">
      <c r="A187" t="s">
        <v>134</v>
      </c>
      <c r="C187">
        <v>0</v>
      </c>
      <c r="D187" t="s">
        <v>5</v>
      </c>
      <c r="E187">
        <v>2500</v>
      </c>
      <c r="F187" t="s">
        <v>204</v>
      </c>
      <c r="G187" t="s">
        <v>317</v>
      </c>
      <c r="H187" s="2">
        <v>0.85416666666666663</v>
      </c>
      <c r="I187" t="s">
        <v>313</v>
      </c>
      <c r="J187" s="1">
        <v>0.39100000000000001</v>
      </c>
      <c r="K187">
        <v>156</v>
      </c>
      <c r="L187">
        <v>7</v>
      </c>
      <c r="M187">
        <v>3.5</v>
      </c>
      <c r="N187">
        <v>4.4000000000000004</v>
      </c>
      <c r="O187">
        <v>4</v>
      </c>
      <c r="Q187" s="3">
        <v>0.53263888888888888</v>
      </c>
      <c r="R187">
        <v>2.4</v>
      </c>
      <c r="S187">
        <v>3.29</v>
      </c>
      <c r="T187">
        <v>10.32</v>
      </c>
      <c r="U187">
        <v>3.74</v>
      </c>
      <c r="V187">
        <v>3.74</v>
      </c>
      <c r="W187">
        <v>100</v>
      </c>
      <c r="Y187">
        <v>31</v>
      </c>
      <c r="Z187">
        <v>1.5</v>
      </c>
      <c r="AA187">
        <v>0</v>
      </c>
      <c r="AB187" s="3">
        <v>0.44027777777777777</v>
      </c>
      <c r="AC187">
        <v>1.5</v>
      </c>
      <c r="AD187">
        <v>0.6</v>
      </c>
    </row>
    <row r="188" spans="1:30" x14ac:dyDescent="0.2">
      <c r="A188" t="s">
        <v>351</v>
      </c>
      <c r="C188">
        <v>0</v>
      </c>
      <c r="D188" t="s">
        <v>5</v>
      </c>
      <c r="E188">
        <v>2500</v>
      </c>
      <c r="F188" t="s">
        <v>319</v>
      </c>
      <c r="G188" t="s">
        <v>320</v>
      </c>
      <c r="H188" s="2">
        <v>0.79166666666666663</v>
      </c>
      <c r="I188" t="s">
        <v>313</v>
      </c>
      <c r="J188" s="1">
        <v>0.57999999999999996</v>
      </c>
      <c r="K188">
        <v>72.5</v>
      </c>
      <c r="L188">
        <v>6</v>
      </c>
      <c r="M188">
        <v>3</v>
      </c>
      <c r="N188">
        <v>3.06</v>
      </c>
      <c r="O188">
        <v>4</v>
      </c>
      <c r="Q188" s="3">
        <v>0.31805555555555554</v>
      </c>
      <c r="R188">
        <v>2</v>
      </c>
      <c r="S188">
        <v>3.12</v>
      </c>
      <c r="T188">
        <v>8.5299999999999994</v>
      </c>
      <c r="U188">
        <v>2.29</v>
      </c>
      <c r="V188">
        <v>2.29</v>
      </c>
      <c r="W188">
        <v>100</v>
      </c>
      <c r="Y188">
        <v>22</v>
      </c>
      <c r="Z188">
        <v>0.9</v>
      </c>
      <c r="AA188">
        <v>0</v>
      </c>
    </row>
    <row r="189" spans="1:30" x14ac:dyDescent="0.2">
      <c r="A189" t="s">
        <v>271</v>
      </c>
      <c r="C189">
        <v>0</v>
      </c>
      <c r="D189" t="s">
        <v>7</v>
      </c>
      <c r="E189">
        <v>8400</v>
      </c>
      <c r="F189" t="s">
        <v>203</v>
      </c>
      <c r="G189" t="s">
        <v>305</v>
      </c>
      <c r="H189" s="2">
        <v>0.85416666666666663</v>
      </c>
      <c r="I189" t="s">
        <v>306</v>
      </c>
      <c r="J189" s="1">
        <v>0.60899999999999999</v>
      </c>
      <c r="K189">
        <v>-156</v>
      </c>
      <c r="L189">
        <v>7</v>
      </c>
      <c r="M189">
        <v>4.4000000000000004</v>
      </c>
      <c r="N189">
        <v>3.5</v>
      </c>
      <c r="O189" t="s">
        <v>352</v>
      </c>
      <c r="Q189" s="4">
        <v>2.3986111111111112</v>
      </c>
      <c r="R189">
        <v>11.9</v>
      </c>
      <c r="S189">
        <v>9.69</v>
      </c>
      <c r="T189">
        <v>0</v>
      </c>
      <c r="U189">
        <v>0</v>
      </c>
      <c r="V189">
        <v>0</v>
      </c>
      <c r="W189">
        <v>100</v>
      </c>
      <c r="Y189">
        <v>59</v>
      </c>
      <c r="Z189">
        <v>0</v>
      </c>
      <c r="AA189">
        <v>0</v>
      </c>
      <c r="AB189" s="3">
        <v>0</v>
      </c>
      <c r="AC189">
        <v>0</v>
      </c>
    </row>
    <row r="190" spans="1:30" x14ac:dyDescent="0.2">
      <c r="A190" t="s">
        <v>164</v>
      </c>
      <c r="C190">
        <v>0</v>
      </c>
      <c r="D190" t="s">
        <v>7</v>
      </c>
      <c r="E190">
        <v>8200</v>
      </c>
      <c r="F190" t="s">
        <v>307</v>
      </c>
      <c r="G190" t="s">
        <v>308</v>
      </c>
      <c r="H190" s="2">
        <v>0.79166666666666663</v>
      </c>
      <c r="I190" t="s">
        <v>306</v>
      </c>
      <c r="J190" s="1">
        <v>0.49399999999999999</v>
      </c>
      <c r="K190">
        <v>-97.5</v>
      </c>
      <c r="L190">
        <v>6</v>
      </c>
      <c r="M190">
        <v>3.37</v>
      </c>
      <c r="N190">
        <v>3</v>
      </c>
      <c r="O190" t="s">
        <v>352</v>
      </c>
      <c r="Q190" s="4">
        <v>2.3923611111111112</v>
      </c>
      <c r="R190">
        <v>9.6</v>
      </c>
      <c r="S190">
        <v>8.76</v>
      </c>
      <c r="T190">
        <v>0</v>
      </c>
      <c r="U190">
        <v>0</v>
      </c>
      <c r="V190">
        <v>0</v>
      </c>
      <c r="W190">
        <v>100</v>
      </c>
      <c r="Y190">
        <v>54</v>
      </c>
      <c r="Z190">
        <v>0</v>
      </c>
      <c r="AA190">
        <v>0</v>
      </c>
      <c r="AB190" s="3">
        <v>0</v>
      </c>
      <c r="AC190">
        <v>0</v>
      </c>
    </row>
    <row r="191" spans="1:30" x14ac:dyDescent="0.2">
      <c r="A191" t="s">
        <v>273</v>
      </c>
      <c r="C191">
        <v>0</v>
      </c>
      <c r="D191" t="s">
        <v>7</v>
      </c>
      <c r="E191">
        <v>8200</v>
      </c>
      <c r="F191" t="s">
        <v>203</v>
      </c>
      <c r="G191" t="s">
        <v>305</v>
      </c>
      <c r="H191" s="2">
        <v>0.85416666666666663</v>
      </c>
      <c r="I191" t="s">
        <v>306</v>
      </c>
      <c r="J191" s="1">
        <v>0.60899999999999999</v>
      </c>
      <c r="K191">
        <v>-156</v>
      </c>
      <c r="L191">
        <v>7</v>
      </c>
      <c r="M191">
        <v>4.4000000000000004</v>
      </c>
      <c r="N191">
        <v>3.5</v>
      </c>
      <c r="O191" t="s">
        <v>352</v>
      </c>
      <c r="Q191" s="4">
        <v>2.2743055555555554</v>
      </c>
      <c r="R191">
        <v>6</v>
      </c>
      <c r="S191">
        <v>9.3699999999999992</v>
      </c>
      <c r="T191">
        <v>0</v>
      </c>
      <c r="U191">
        <v>0</v>
      </c>
      <c r="V191">
        <v>0</v>
      </c>
      <c r="W191">
        <v>100</v>
      </c>
      <c r="Y191">
        <v>22</v>
      </c>
      <c r="Z191">
        <v>0</v>
      </c>
      <c r="AA191">
        <v>0</v>
      </c>
    </row>
    <row r="192" spans="1:30" x14ac:dyDescent="0.2">
      <c r="A192" t="s">
        <v>353</v>
      </c>
      <c r="C192">
        <v>0</v>
      </c>
      <c r="D192" t="s">
        <v>7</v>
      </c>
      <c r="E192">
        <v>8000</v>
      </c>
      <c r="F192" t="s">
        <v>214</v>
      </c>
      <c r="G192" t="s">
        <v>322</v>
      </c>
      <c r="H192" s="2">
        <v>0.79166666666666663</v>
      </c>
      <c r="I192" t="s">
        <v>306</v>
      </c>
      <c r="J192" s="1">
        <v>0.433</v>
      </c>
      <c r="K192">
        <v>-76.5</v>
      </c>
      <c r="L192">
        <v>6</v>
      </c>
      <c r="M192">
        <v>3.09</v>
      </c>
      <c r="N192">
        <v>3</v>
      </c>
      <c r="O192" t="s">
        <v>352</v>
      </c>
      <c r="Q192" s="4">
        <v>1.25</v>
      </c>
      <c r="R192">
        <v>0.8</v>
      </c>
      <c r="S192">
        <v>7.56</v>
      </c>
      <c r="T192">
        <v>0</v>
      </c>
      <c r="U192">
        <v>0</v>
      </c>
      <c r="V192">
        <v>0</v>
      </c>
      <c r="W192">
        <v>100</v>
      </c>
      <c r="Y192">
        <v>0</v>
      </c>
      <c r="Z192">
        <v>0</v>
      </c>
      <c r="AA192">
        <v>0</v>
      </c>
      <c r="AB192" s="3">
        <v>0</v>
      </c>
      <c r="AC192">
        <v>0</v>
      </c>
    </row>
    <row r="193" spans="1:30" x14ac:dyDescent="0.2">
      <c r="A193" t="s">
        <v>354</v>
      </c>
      <c r="C193">
        <v>0</v>
      </c>
      <c r="D193" t="s">
        <v>7</v>
      </c>
      <c r="E193">
        <v>7900</v>
      </c>
      <c r="F193" t="s">
        <v>319</v>
      </c>
      <c r="G193" t="s">
        <v>320</v>
      </c>
      <c r="H193" s="2">
        <v>0.79166666666666663</v>
      </c>
      <c r="I193" t="s">
        <v>313</v>
      </c>
      <c r="J193" s="1">
        <v>0.57999999999999996</v>
      </c>
      <c r="K193">
        <v>72.5</v>
      </c>
      <c r="L193">
        <v>6</v>
      </c>
      <c r="M193">
        <v>3</v>
      </c>
      <c r="N193">
        <v>3.06</v>
      </c>
      <c r="O193" t="s">
        <v>352</v>
      </c>
      <c r="Q193" s="4">
        <v>2.3680555555555554</v>
      </c>
      <c r="R193">
        <v>11.1</v>
      </c>
      <c r="S193">
        <v>7.7</v>
      </c>
      <c r="T193">
        <v>0</v>
      </c>
      <c r="U193">
        <v>0</v>
      </c>
      <c r="V193">
        <v>0</v>
      </c>
      <c r="W193">
        <v>100</v>
      </c>
      <c r="Y193">
        <v>65</v>
      </c>
      <c r="Z193">
        <v>0</v>
      </c>
      <c r="AA193">
        <v>0</v>
      </c>
    </row>
    <row r="194" spans="1:30" x14ac:dyDescent="0.2">
      <c r="A194" t="s">
        <v>132</v>
      </c>
      <c r="C194">
        <v>0</v>
      </c>
      <c r="D194" t="s">
        <v>7</v>
      </c>
      <c r="E194">
        <v>7800</v>
      </c>
      <c r="F194" t="s">
        <v>200</v>
      </c>
      <c r="G194" t="s">
        <v>309</v>
      </c>
      <c r="H194" s="2">
        <v>0.79166666666666663</v>
      </c>
      <c r="I194" t="s">
        <v>306</v>
      </c>
      <c r="J194" s="1">
        <v>0.45500000000000002</v>
      </c>
      <c r="K194">
        <v>-83.5</v>
      </c>
      <c r="L194">
        <v>6.5</v>
      </c>
      <c r="M194">
        <v>3.25</v>
      </c>
      <c r="N194">
        <v>3.2</v>
      </c>
      <c r="O194" t="s">
        <v>352</v>
      </c>
      <c r="Q194" s="4">
        <v>2.4513888888888888</v>
      </c>
      <c r="R194">
        <v>12.2</v>
      </c>
      <c r="S194">
        <v>11.2</v>
      </c>
      <c r="T194">
        <v>0</v>
      </c>
      <c r="U194">
        <v>0</v>
      </c>
      <c r="V194">
        <v>0</v>
      </c>
      <c r="W194">
        <v>100</v>
      </c>
      <c r="Y194">
        <v>54</v>
      </c>
      <c r="Z194">
        <v>0</v>
      </c>
      <c r="AA194">
        <v>0</v>
      </c>
      <c r="AB194" s="3">
        <v>0</v>
      </c>
      <c r="AC194">
        <v>2</v>
      </c>
      <c r="AD194">
        <v>0.3</v>
      </c>
    </row>
    <row r="195" spans="1:30" x14ac:dyDescent="0.2">
      <c r="A195" t="s">
        <v>355</v>
      </c>
      <c r="C195">
        <v>0</v>
      </c>
      <c r="D195" t="s">
        <v>7</v>
      </c>
      <c r="E195">
        <v>7800</v>
      </c>
      <c r="F195" t="s">
        <v>214</v>
      </c>
      <c r="G195" t="s">
        <v>322</v>
      </c>
      <c r="H195" s="2">
        <v>0.79166666666666663</v>
      </c>
      <c r="I195" t="s">
        <v>306</v>
      </c>
      <c r="J195" s="1">
        <v>0.433</v>
      </c>
      <c r="K195">
        <v>-76.5</v>
      </c>
      <c r="L195">
        <v>6</v>
      </c>
      <c r="M195">
        <v>3.09</v>
      </c>
      <c r="N195">
        <v>3</v>
      </c>
      <c r="O195" t="s">
        <v>352</v>
      </c>
      <c r="Q195" s="4">
        <v>2.4388888888888891</v>
      </c>
      <c r="R195">
        <v>11.3</v>
      </c>
      <c r="S195">
        <v>7.64</v>
      </c>
      <c r="T195">
        <v>0</v>
      </c>
      <c r="U195">
        <v>0</v>
      </c>
      <c r="V195">
        <v>0</v>
      </c>
      <c r="W195">
        <v>100</v>
      </c>
      <c r="Y195">
        <v>66</v>
      </c>
      <c r="Z195">
        <v>0</v>
      </c>
      <c r="AA195">
        <v>0</v>
      </c>
    </row>
    <row r="196" spans="1:30" x14ac:dyDescent="0.2">
      <c r="A196" t="s">
        <v>274</v>
      </c>
      <c r="C196">
        <v>0</v>
      </c>
      <c r="D196" t="s">
        <v>7</v>
      </c>
      <c r="E196">
        <v>7600</v>
      </c>
      <c r="F196" t="s">
        <v>207</v>
      </c>
      <c r="G196" t="s">
        <v>312</v>
      </c>
      <c r="H196" s="2">
        <v>0.79166666666666663</v>
      </c>
      <c r="I196" t="s">
        <v>313</v>
      </c>
      <c r="J196" s="1">
        <v>0.54500000000000004</v>
      </c>
      <c r="K196">
        <v>83.5</v>
      </c>
      <c r="L196">
        <v>6.5</v>
      </c>
      <c r="M196">
        <v>3.2</v>
      </c>
      <c r="N196">
        <v>3.25</v>
      </c>
      <c r="O196" t="s">
        <v>352</v>
      </c>
      <c r="Q196" s="4">
        <v>1.9215277777777777</v>
      </c>
      <c r="R196">
        <v>4</v>
      </c>
      <c r="S196">
        <v>6.91</v>
      </c>
      <c r="T196">
        <v>0</v>
      </c>
      <c r="U196">
        <v>0</v>
      </c>
      <c r="V196">
        <v>0</v>
      </c>
      <c r="W196">
        <v>100</v>
      </c>
      <c r="Y196">
        <v>14</v>
      </c>
      <c r="Z196">
        <v>0</v>
      </c>
      <c r="AA196">
        <v>0</v>
      </c>
      <c r="AB196" s="3">
        <v>0</v>
      </c>
      <c r="AC196">
        <v>2</v>
      </c>
      <c r="AD196">
        <v>0.3</v>
      </c>
    </row>
    <row r="197" spans="1:30" x14ac:dyDescent="0.2">
      <c r="A197" t="s">
        <v>356</v>
      </c>
      <c r="C197">
        <v>0</v>
      </c>
      <c r="D197" t="s">
        <v>7</v>
      </c>
      <c r="E197">
        <v>7500</v>
      </c>
      <c r="F197" t="s">
        <v>310</v>
      </c>
      <c r="G197" t="s">
        <v>311</v>
      </c>
      <c r="H197" s="2">
        <v>0.79166666666666663</v>
      </c>
      <c r="I197" t="s">
        <v>306</v>
      </c>
      <c r="J197" s="1">
        <v>0.42</v>
      </c>
      <c r="K197">
        <v>-72.5</v>
      </c>
      <c r="L197">
        <v>6</v>
      </c>
      <c r="M197">
        <v>3.06</v>
      </c>
      <c r="N197">
        <v>3</v>
      </c>
      <c r="O197" t="s">
        <v>352</v>
      </c>
      <c r="Q197" s="4">
        <v>2.4743055555555555</v>
      </c>
      <c r="R197">
        <v>12.5</v>
      </c>
      <c r="S197">
        <v>8.2100000000000009</v>
      </c>
      <c r="T197">
        <v>0</v>
      </c>
      <c r="U197">
        <v>0</v>
      </c>
      <c r="V197">
        <v>0</v>
      </c>
      <c r="W197">
        <v>100</v>
      </c>
      <c r="Y197">
        <v>67</v>
      </c>
      <c r="Z197">
        <v>0</v>
      </c>
      <c r="AA197">
        <v>0</v>
      </c>
    </row>
    <row r="198" spans="1:30" x14ac:dyDescent="0.2">
      <c r="A198" t="s">
        <v>357</v>
      </c>
      <c r="C198">
        <v>0</v>
      </c>
      <c r="D198" t="s">
        <v>7</v>
      </c>
      <c r="E198">
        <v>7400</v>
      </c>
      <c r="F198" t="s">
        <v>207</v>
      </c>
      <c r="G198" t="s">
        <v>312</v>
      </c>
      <c r="H198" s="2">
        <v>0.79166666666666663</v>
      </c>
      <c r="I198" t="s">
        <v>313</v>
      </c>
      <c r="J198" s="1">
        <v>0.54500000000000004</v>
      </c>
      <c r="K198">
        <v>83.5</v>
      </c>
      <c r="L198">
        <v>6.5</v>
      </c>
      <c r="M198">
        <v>3.2</v>
      </c>
      <c r="N198">
        <v>3.25</v>
      </c>
      <c r="O198" t="s">
        <v>352</v>
      </c>
      <c r="Q198" s="4">
        <v>2.4534722222222221</v>
      </c>
      <c r="R198">
        <v>12.7</v>
      </c>
      <c r="S198">
        <v>8.94</v>
      </c>
      <c r="T198">
        <v>0</v>
      </c>
      <c r="U198">
        <v>0</v>
      </c>
      <c r="V198">
        <v>0</v>
      </c>
      <c r="W198">
        <v>100</v>
      </c>
      <c r="Y198">
        <v>65</v>
      </c>
      <c r="Z198">
        <v>0</v>
      </c>
      <c r="AA198">
        <v>0</v>
      </c>
    </row>
    <row r="199" spans="1:30" x14ac:dyDescent="0.2">
      <c r="A199" t="s">
        <v>272</v>
      </c>
      <c r="C199">
        <v>0</v>
      </c>
      <c r="D199" t="s">
        <v>7</v>
      </c>
      <c r="E199">
        <v>7400</v>
      </c>
      <c r="F199" t="s">
        <v>206</v>
      </c>
      <c r="G199" t="s">
        <v>314</v>
      </c>
      <c r="H199" s="2">
        <v>0.79166666666666663</v>
      </c>
      <c r="I199" t="s">
        <v>313</v>
      </c>
      <c r="J199" s="1">
        <v>0.56699999999999995</v>
      </c>
      <c r="K199">
        <v>76.5</v>
      </c>
      <c r="L199">
        <v>6</v>
      </c>
      <c r="M199">
        <v>3</v>
      </c>
      <c r="N199">
        <v>3.09</v>
      </c>
      <c r="O199" t="s">
        <v>352</v>
      </c>
      <c r="Q199" s="4">
        <v>2.4826388888888888</v>
      </c>
      <c r="R199">
        <v>10.5</v>
      </c>
      <c r="S199">
        <v>10.17</v>
      </c>
      <c r="T199">
        <v>0</v>
      </c>
      <c r="U199">
        <v>0</v>
      </c>
      <c r="V199">
        <v>0</v>
      </c>
      <c r="W199">
        <v>100</v>
      </c>
      <c r="Y199">
        <v>52</v>
      </c>
      <c r="Z199">
        <v>0</v>
      </c>
      <c r="AA199">
        <v>0</v>
      </c>
      <c r="AB199" s="3">
        <v>0</v>
      </c>
      <c r="AC199">
        <v>0</v>
      </c>
    </row>
    <row r="200" spans="1:30" x14ac:dyDescent="0.2">
      <c r="A200" t="s">
        <v>358</v>
      </c>
      <c r="C200">
        <v>0</v>
      </c>
      <c r="D200" t="s">
        <v>7</v>
      </c>
      <c r="E200">
        <v>7200</v>
      </c>
      <c r="F200" t="s">
        <v>206</v>
      </c>
      <c r="G200" t="s">
        <v>314</v>
      </c>
      <c r="H200" s="2">
        <v>0.79166666666666663</v>
      </c>
      <c r="I200" t="s">
        <v>313</v>
      </c>
      <c r="J200" s="1">
        <v>0.56699999999999995</v>
      </c>
      <c r="K200">
        <v>76.5</v>
      </c>
      <c r="L200">
        <v>6</v>
      </c>
      <c r="M200">
        <v>3</v>
      </c>
      <c r="N200">
        <v>3.09</v>
      </c>
      <c r="O200" t="s">
        <v>352</v>
      </c>
      <c r="T200">
        <v>0</v>
      </c>
      <c r="U200">
        <v>0</v>
      </c>
      <c r="V200">
        <v>0</v>
      </c>
      <c r="W200">
        <v>100</v>
      </c>
      <c r="Y200">
        <v>0</v>
      </c>
      <c r="Z200">
        <v>0</v>
      </c>
      <c r="AA200">
        <v>0</v>
      </c>
    </row>
    <row r="201" spans="1:30" x14ac:dyDescent="0.2">
      <c r="A201" t="s">
        <v>116</v>
      </c>
      <c r="C201">
        <v>0</v>
      </c>
      <c r="D201" t="s">
        <v>7</v>
      </c>
      <c r="E201">
        <v>7000</v>
      </c>
      <c r="F201" t="s">
        <v>204</v>
      </c>
      <c r="G201" t="s">
        <v>317</v>
      </c>
      <c r="H201" s="2">
        <v>0.85416666666666663</v>
      </c>
      <c r="I201" t="s">
        <v>313</v>
      </c>
      <c r="J201" s="1">
        <v>0.39100000000000001</v>
      </c>
      <c r="K201">
        <v>156</v>
      </c>
      <c r="L201">
        <v>7</v>
      </c>
      <c r="M201">
        <v>3.5</v>
      </c>
      <c r="N201">
        <v>4.4000000000000004</v>
      </c>
      <c r="O201" t="s">
        <v>352</v>
      </c>
      <c r="Q201" s="4">
        <v>2.3868055555555556</v>
      </c>
      <c r="R201">
        <v>10.5</v>
      </c>
      <c r="S201">
        <v>9.41</v>
      </c>
      <c r="T201">
        <v>0</v>
      </c>
      <c r="U201">
        <v>0</v>
      </c>
      <c r="V201">
        <v>0</v>
      </c>
      <c r="W201">
        <v>100</v>
      </c>
      <c r="Y201">
        <v>55</v>
      </c>
      <c r="Z201">
        <v>0</v>
      </c>
      <c r="AA201">
        <v>0</v>
      </c>
      <c r="AB201" s="3">
        <v>0</v>
      </c>
      <c r="AC201">
        <v>0</v>
      </c>
    </row>
    <row r="202" spans="1:30" x14ac:dyDescent="0.2">
      <c r="A202" t="s">
        <v>359</v>
      </c>
      <c r="C202">
        <v>0</v>
      </c>
      <c r="D202" t="s">
        <v>7</v>
      </c>
      <c r="E202">
        <v>6800</v>
      </c>
      <c r="F202" t="s">
        <v>204</v>
      </c>
      <c r="G202" t="s">
        <v>317</v>
      </c>
      <c r="H202" s="2">
        <v>0.85416666666666663</v>
      </c>
      <c r="I202" t="s">
        <v>313</v>
      </c>
      <c r="J202" s="1">
        <v>0.39100000000000001</v>
      </c>
      <c r="K202">
        <v>156</v>
      </c>
      <c r="L202">
        <v>7</v>
      </c>
      <c r="M202">
        <v>3.5</v>
      </c>
      <c r="N202">
        <v>4.4000000000000004</v>
      </c>
      <c r="O202" t="s">
        <v>352</v>
      </c>
      <c r="Q202" s="4">
        <v>2.1493055555555554</v>
      </c>
      <c r="R202">
        <v>4.9000000000000004</v>
      </c>
      <c r="S202">
        <v>9.67</v>
      </c>
      <c r="T202">
        <v>0</v>
      </c>
      <c r="U202">
        <v>0</v>
      </c>
      <c r="V202">
        <v>0</v>
      </c>
      <c r="W202">
        <v>100</v>
      </c>
      <c r="Y202">
        <v>1</v>
      </c>
      <c r="Z202">
        <v>0</v>
      </c>
      <c r="AA202">
        <v>0</v>
      </c>
    </row>
    <row r="203" spans="1:30" x14ac:dyDescent="0.2">
      <c r="A203" t="s">
        <v>360</v>
      </c>
      <c r="C203">
        <v>0</v>
      </c>
      <c r="D203" t="s">
        <v>7</v>
      </c>
      <c r="E203">
        <v>6500</v>
      </c>
      <c r="F203" t="s">
        <v>206</v>
      </c>
      <c r="G203" t="s">
        <v>314</v>
      </c>
      <c r="H203" s="2">
        <v>0.79166666666666663</v>
      </c>
      <c r="I203" t="s">
        <v>313</v>
      </c>
      <c r="J203" s="1">
        <v>0.56699999999999995</v>
      </c>
      <c r="K203">
        <v>76.5</v>
      </c>
      <c r="L203">
        <v>6</v>
      </c>
      <c r="M203">
        <v>3</v>
      </c>
      <c r="N203">
        <v>3.09</v>
      </c>
      <c r="O203" t="s">
        <v>352</v>
      </c>
      <c r="Q203" s="3">
        <v>0.56180555555555556</v>
      </c>
      <c r="R203">
        <v>-3.5</v>
      </c>
      <c r="S203">
        <v>0</v>
      </c>
      <c r="T203">
        <v>0</v>
      </c>
      <c r="U203">
        <v>0</v>
      </c>
      <c r="V203">
        <v>0</v>
      </c>
      <c r="W203">
        <v>100</v>
      </c>
      <c r="Y203">
        <v>0</v>
      </c>
      <c r="Z203">
        <v>0</v>
      </c>
      <c r="AA203">
        <v>0</v>
      </c>
    </row>
    <row r="204" spans="1:30" x14ac:dyDescent="0.2">
      <c r="A204" t="s">
        <v>361</v>
      </c>
      <c r="C204">
        <v>0</v>
      </c>
      <c r="D204" t="s">
        <v>7</v>
      </c>
      <c r="E204">
        <v>6500</v>
      </c>
      <c r="F204" t="s">
        <v>319</v>
      </c>
      <c r="G204" t="s">
        <v>320</v>
      </c>
      <c r="H204" s="2">
        <v>0.79166666666666663</v>
      </c>
      <c r="I204" t="s">
        <v>313</v>
      </c>
      <c r="J204" s="1">
        <v>0.57999999999999996</v>
      </c>
      <c r="K204">
        <v>72.5</v>
      </c>
      <c r="L204">
        <v>6</v>
      </c>
      <c r="M204">
        <v>3</v>
      </c>
      <c r="N204">
        <v>3.06</v>
      </c>
      <c r="O204" t="s">
        <v>352</v>
      </c>
      <c r="Q204" s="4">
        <v>1.6368055555555556</v>
      </c>
      <c r="R204">
        <v>5.6</v>
      </c>
      <c r="S204">
        <v>1.4</v>
      </c>
      <c r="T204">
        <v>0</v>
      </c>
      <c r="U204">
        <v>0</v>
      </c>
      <c r="V204">
        <v>0</v>
      </c>
      <c r="W204">
        <v>100</v>
      </c>
      <c r="Y204">
        <v>0</v>
      </c>
      <c r="Z204">
        <v>0</v>
      </c>
      <c r="AA204">
        <v>0</v>
      </c>
    </row>
    <row r="205" spans="1:30" x14ac:dyDescent="0.2">
      <c r="A205" t="s">
        <v>141</v>
      </c>
      <c r="C205">
        <v>0</v>
      </c>
      <c r="D205" t="s">
        <v>7</v>
      </c>
      <c r="E205">
        <v>6500</v>
      </c>
      <c r="F205" t="s">
        <v>204</v>
      </c>
      <c r="G205" t="s">
        <v>317</v>
      </c>
      <c r="H205" s="2">
        <v>0.85416666666666663</v>
      </c>
      <c r="I205" t="s">
        <v>313</v>
      </c>
      <c r="J205" s="1">
        <v>0.39100000000000001</v>
      </c>
      <c r="K205">
        <v>156</v>
      </c>
      <c r="L205">
        <v>7</v>
      </c>
      <c r="M205">
        <v>3.5</v>
      </c>
      <c r="N205">
        <v>4.4000000000000004</v>
      </c>
      <c r="O205" t="s">
        <v>352</v>
      </c>
      <c r="Q205" s="3">
        <v>0.83333333333333337</v>
      </c>
      <c r="R205">
        <v>-3.5</v>
      </c>
      <c r="S205">
        <v>0</v>
      </c>
      <c r="T205">
        <v>0</v>
      </c>
      <c r="U205">
        <v>0</v>
      </c>
      <c r="V205">
        <v>0</v>
      </c>
      <c r="W205">
        <v>100</v>
      </c>
      <c r="Y205">
        <v>0</v>
      </c>
      <c r="Z205">
        <v>0</v>
      </c>
      <c r="AA205">
        <v>0</v>
      </c>
    </row>
    <row r="206" spans="1:30" x14ac:dyDescent="0.2">
      <c r="A206" t="s">
        <v>362</v>
      </c>
      <c r="C206">
        <v>0</v>
      </c>
      <c r="D206" t="s">
        <v>12</v>
      </c>
      <c r="E206">
        <v>6400</v>
      </c>
      <c r="F206" t="s">
        <v>207</v>
      </c>
      <c r="G206" t="s">
        <v>312</v>
      </c>
      <c r="H206" s="2">
        <v>0.79166666666666663</v>
      </c>
      <c r="I206" t="s">
        <v>313</v>
      </c>
      <c r="J206" s="1">
        <v>0.54500000000000004</v>
      </c>
      <c r="K206">
        <v>83.5</v>
      </c>
      <c r="L206">
        <v>6.5</v>
      </c>
      <c r="M206">
        <v>3.2</v>
      </c>
      <c r="N206">
        <v>3.25</v>
      </c>
      <c r="Q206" s="3">
        <v>0.9770833333333333</v>
      </c>
      <c r="R206">
        <v>11</v>
      </c>
      <c r="S206">
        <v>6.33</v>
      </c>
      <c r="T206">
        <v>0</v>
      </c>
      <c r="U206">
        <v>0</v>
      </c>
      <c r="V206">
        <v>0</v>
      </c>
      <c r="W206">
        <v>100</v>
      </c>
      <c r="Y206">
        <v>71</v>
      </c>
      <c r="Z206">
        <v>0</v>
      </c>
      <c r="AA206">
        <v>0</v>
      </c>
    </row>
    <row r="207" spans="1:30" x14ac:dyDescent="0.2">
      <c r="A207" t="s">
        <v>363</v>
      </c>
      <c r="C207">
        <v>0</v>
      </c>
      <c r="D207" t="s">
        <v>5</v>
      </c>
      <c r="E207">
        <v>6300</v>
      </c>
      <c r="F207" t="s">
        <v>307</v>
      </c>
      <c r="G207" t="s">
        <v>308</v>
      </c>
      <c r="H207" s="2">
        <v>0.79166666666666663</v>
      </c>
      <c r="I207" t="s">
        <v>306</v>
      </c>
      <c r="J207" s="1">
        <v>0.49399999999999999</v>
      </c>
      <c r="K207">
        <v>-97.5</v>
      </c>
      <c r="L207">
        <v>6</v>
      </c>
      <c r="M207">
        <v>3.37</v>
      </c>
      <c r="N207">
        <v>3</v>
      </c>
      <c r="Q207" s="3">
        <v>0.75069444444444444</v>
      </c>
      <c r="R207">
        <v>9.5</v>
      </c>
      <c r="S207">
        <v>6.6</v>
      </c>
      <c r="T207">
        <v>0</v>
      </c>
      <c r="U207">
        <v>0</v>
      </c>
      <c r="V207">
        <v>0</v>
      </c>
      <c r="W207">
        <v>100</v>
      </c>
      <c r="Y207">
        <v>65</v>
      </c>
      <c r="Z207">
        <v>0</v>
      </c>
      <c r="AA207">
        <v>0</v>
      </c>
    </row>
    <row r="208" spans="1:30" x14ac:dyDescent="0.2">
      <c r="A208" t="s">
        <v>364</v>
      </c>
      <c r="C208">
        <v>0</v>
      </c>
      <c r="D208" t="s">
        <v>5</v>
      </c>
      <c r="E208">
        <v>5700</v>
      </c>
      <c r="F208" t="s">
        <v>204</v>
      </c>
      <c r="G208" t="s">
        <v>317</v>
      </c>
      <c r="H208" s="2">
        <v>0.85416666666666663</v>
      </c>
      <c r="I208" t="s">
        <v>313</v>
      </c>
      <c r="J208" s="1">
        <v>0.39100000000000001</v>
      </c>
      <c r="K208">
        <v>156</v>
      </c>
      <c r="L208">
        <v>7</v>
      </c>
      <c r="M208">
        <v>3.5</v>
      </c>
      <c r="N208">
        <v>4.4000000000000004</v>
      </c>
      <c r="Q208" s="3">
        <v>0.81111111111111112</v>
      </c>
      <c r="R208">
        <v>11.3</v>
      </c>
      <c r="S208">
        <v>9.25</v>
      </c>
      <c r="T208">
        <v>0</v>
      </c>
      <c r="U208">
        <v>0</v>
      </c>
      <c r="V208">
        <v>0</v>
      </c>
      <c r="W208">
        <v>100</v>
      </c>
      <c r="Y208">
        <v>59</v>
      </c>
      <c r="Z208">
        <v>0</v>
      </c>
      <c r="AA208">
        <v>0</v>
      </c>
    </row>
    <row r="209" spans="1:30" x14ac:dyDescent="0.2">
      <c r="A209" t="s">
        <v>146</v>
      </c>
      <c r="C209">
        <v>0</v>
      </c>
      <c r="D209" t="s">
        <v>5</v>
      </c>
      <c r="E209">
        <v>5100</v>
      </c>
      <c r="F209" t="s">
        <v>204</v>
      </c>
      <c r="G209" t="s">
        <v>317</v>
      </c>
      <c r="H209" s="2">
        <v>0.85416666666666663</v>
      </c>
      <c r="I209" t="s">
        <v>313</v>
      </c>
      <c r="J209" s="1">
        <v>0.39100000000000001</v>
      </c>
      <c r="K209">
        <v>156</v>
      </c>
      <c r="L209">
        <v>7</v>
      </c>
      <c r="M209">
        <v>3.5</v>
      </c>
      <c r="N209">
        <v>4.4000000000000004</v>
      </c>
      <c r="Q209" s="3">
        <v>0.68194444444444446</v>
      </c>
      <c r="R209">
        <v>8.1999999999999993</v>
      </c>
      <c r="S209">
        <v>6.28</v>
      </c>
      <c r="T209">
        <v>0</v>
      </c>
      <c r="U209">
        <v>0</v>
      </c>
      <c r="V209">
        <v>0</v>
      </c>
      <c r="W209">
        <v>100</v>
      </c>
      <c r="Y209">
        <v>62</v>
      </c>
      <c r="Z209">
        <v>0</v>
      </c>
      <c r="AA209">
        <v>0</v>
      </c>
    </row>
    <row r="210" spans="1:30" x14ac:dyDescent="0.2">
      <c r="A210" t="s">
        <v>163</v>
      </c>
      <c r="C210">
        <v>0</v>
      </c>
      <c r="D210" t="s">
        <v>5</v>
      </c>
      <c r="E210">
        <v>4900</v>
      </c>
      <c r="F210" t="s">
        <v>211</v>
      </c>
      <c r="G210" t="s">
        <v>315</v>
      </c>
      <c r="H210" s="2">
        <v>0.79166666666666663</v>
      </c>
      <c r="I210" t="s">
        <v>313</v>
      </c>
      <c r="J210" s="1">
        <v>0.50600000000000001</v>
      </c>
      <c r="K210">
        <v>97.5</v>
      </c>
      <c r="L210">
        <v>6</v>
      </c>
      <c r="M210">
        <v>3</v>
      </c>
      <c r="N210">
        <v>3.37</v>
      </c>
      <c r="Q210" s="3">
        <v>0.74236111111111114</v>
      </c>
      <c r="R210">
        <v>10.1</v>
      </c>
      <c r="S210">
        <v>12.87</v>
      </c>
      <c r="T210">
        <v>0</v>
      </c>
      <c r="U210">
        <v>0</v>
      </c>
      <c r="V210">
        <v>0</v>
      </c>
      <c r="W210">
        <v>100</v>
      </c>
      <c r="Y210">
        <v>36</v>
      </c>
      <c r="Z210">
        <v>0</v>
      </c>
      <c r="AA210">
        <v>0</v>
      </c>
    </row>
    <row r="211" spans="1:30" x14ac:dyDescent="0.2">
      <c r="A211" t="s">
        <v>365</v>
      </c>
      <c r="C211">
        <v>0</v>
      </c>
      <c r="D211" t="s">
        <v>9</v>
      </c>
      <c r="E211">
        <v>4900</v>
      </c>
      <c r="F211" t="s">
        <v>204</v>
      </c>
      <c r="G211" t="s">
        <v>317</v>
      </c>
      <c r="H211" s="2">
        <v>0.85416666666666663</v>
      </c>
      <c r="I211" t="s">
        <v>313</v>
      </c>
      <c r="J211" s="1">
        <v>0.39100000000000001</v>
      </c>
      <c r="K211">
        <v>156</v>
      </c>
      <c r="L211">
        <v>7</v>
      </c>
      <c r="M211">
        <v>3.5</v>
      </c>
      <c r="N211">
        <v>4.4000000000000004</v>
      </c>
      <c r="Q211" s="3">
        <v>0.77430555555555558</v>
      </c>
      <c r="R211">
        <v>10.1</v>
      </c>
      <c r="S211">
        <v>7.11</v>
      </c>
      <c r="T211">
        <v>0</v>
      </c>
      <c r="U211">
        <v>0</v>
      </c>
      <c r="V211">
        <v>0</v>
      </c>
      <c r="W211">
        <v>100</v>
      </c>
      <c r="Y211">
        <v>65</v>
      </c>
      <c r="Z211">
        <v>0</v>
      </c>
      <c r="AA211">
        <v>0</v>
      </c>
    </row>
    <row r="212" spans="1:30" x14ac:dyDescent="0.2">
      <c r="A212" t="s">
        <v>366</v>
      </c>
      <c r="C212">
        <v>0</v>
      </c>
      <c r="D212" t="s">
        <v>12</v>
      </c>
      <c r="E212">
        <v>4600</v>
      </c>
      <c r="F212" t="s">
        <v>307</v>
      </c>
      <c r="G212" t="s">
        <v>308</v>
      </c>
      <c r="H212" s="2">
        <v>0.79166666666666663</v>
      </c>
      <c r="I212" t="s">
        <v>306</v>
      </c>
      <c r="J212" s="1">
        <v>0.49399999999999999</v>
      </c>
      <c r="K212">
        <v>-97.5</v>
      </c>
      <c r="L212">
        <v>6</v>
      </c>
      <c r="M212">
        <v>3.37</v>
      </c>
      <c r="N212">
        <v>3</v>
      </c>
      <c r="Q212" s="3">
        <v>0.87847222222222221</v>
      </c>
      <c r="R212">
        <v>8.1999999999999993</v>
      </c>
      <c r="S212">
        <v>4.99</v>
      </c>
      <c r="T212">
        <v>0</v>
      </c>
      <c r="U212">
        <v>0</v>
      </c>
      <c r="V212">
        <v>0</v>
      </c>
      <c r="W212">
        <v>100</v>
      </c>
      <c r="Y212">
        <v>70</v>
      </c>
      <c r="Z212">
        <v>0</v>
      </c>
      <c r="AA212">
        <v>0</v>
      </c>
    </row>
    <row r="213" spans="1:30" x14ac:dyDescent="0.2">
      <c r="A213" t="s">
        <v>367</v>
      </c>
      <c r="C213">
        <v>0</v>
      </c>
      <c r="D213" t="s">
        <v>5</v>
      </c>
      <c r="E213">
        <v>3800</v>
      </c>
      <c r="F213" t="s">
        <v>319</v>
      </c>
      <c r="G213" t="s">
        <v>320</v>
      </c>
      <c r="H213" s="2">
        <v>0.79166666666666663</v>
      </c>
      <c r="I213" t="s">
        <v>313</v>
      </c>
      <c r="J213" s="1">
        <v>0.57999999999999996</v>
      </c>
      <c r="K213">
        <v>72.5</v>
      </c>
      <c r="L213">
        <v>6</v>
      </c>
      <c r="M213">
        <v>3</v>
      </c>
      <c r="N213">
        <v>3.06</v>
      </c>
      <c r="Q213" s="3">
        <v>0.77083333333333337</v>
      </c>
      <c r="R213">
        <v>6.7</v>
      </c>
      <c r="S213">
        <v>5.38</v>
      </c>
      <c r="T213">
        <v>0</v>
      </c>
      <c r="U213">
        <v>0</v>
      </c>
      <c r="V213">
        <v>0</v>
      </c>
      <c r="W213">
        <v>100</v>
      </c>
      <c r="Y213">
        <v>60</v>
      </c>
      <c r="Z213">
        <v>0</v>
      </c>
      <c r="AA213">
        <v>0</v>
      </c>
    </row>
    <row r="214" spans="1:30" x14ac:dyDescent="0.2">
      <c r="A214" t="s">
        <v>368</v>
      </c>
      <c r="C214">
        <v>0</v>
      </c>
      <c r="D214" t="s">
        <v>12</v>
      </c>
      <c r="E214">
        <v>3700</v>
      </c>
      <c r="F214" t="s">
        <v>206</v>
      </c>
      <c r="G214" t="s">
        <v>314</v>
      </c>
      <c r="H214" s="2">
        <v>0.79166666666666663</v>
      </c>
      <c r="I214" t="s">
        <v>313</v>
      </c>
      <c r="J214" s="1">
        <v>0.56699999999999995</v>
      </c>
      <c r="K214">
        <v>76.5</v>
      </c>
      <c r="L214">
        <v>6</v>
      </c>
      <c r="M214">
        <v>3</v>
      </c>
      <c r="N214">
        <v>3.09</v>
      </c>
      <c r="Q214" s="3">
        <v>0.87361111111111112</v>
      </c>
      <c r="R214">
        <v>7.2</v>
      </c>
      <c r="S214">
        <v>5.86</v>
      </c>
      <c r="T214">
        <v>0</v>
      </c>
      <c r="U214">
        <v>0</v>
      </c>
      <c r="V214">
        <v>0</v>
      </c>
      <c r="W214">
        <v>100</v>
      </c>
      <c r="Y214">
        <v>59</v>
      </c>
      <c r="Z214">
        <v>0</v>
      </c>
      <c r="AA214">
        <v>0</v>
      </c>
    </row>
    <row r="215" spans="1:30" x14ac:dyDescent="0.2">
      <c r="A215" t="s">
        <v>369</v>
      </c>
      <c r="C215">
        <v>0</v>
      </c>
      <c r="D215" t="s">
        <v>9</v>
      </c>
      <c r="E215">
        <v>3400</v>
      </c>
      <c r="F215" t="s">
        <v>214</v>
      </c>
      <c r="G215" t="s">
        <v>322</v>
      </c>
      <c r="H215" s="2">
        <v>0.79166666666666663</v>
      </c>
      <c r="I215" t="s">
        <v>306</v>
      </c>
      <c r="J215" s="1">
        <v>0.433</v>
      </c>
      <c r="K215">
        <v>-76.5</v>
      </c>
      <c r="L215">
        <v>6</v>
      </c>
      <c r="M215">
        <v>3.09</v>
      </c>
      <c r="N215">
        <v>3</v>
      </c>
      <c r="Q215" s="3">
        <v>0.72361111111111109</v>
      </c>
      <c r="R215">
        <v>9.3000000000000007</v>
      </c>
      <c r="S215">
        <v>5.57</v>
      </c>
      <c r="T215">
        <v>0</v>
      </c>
      <c r="U215">
        <v>0</v>
      </c>
      <c r="V215">
        <v>0</v>
      </c>
      <c r="W215">
        <v>100</v>
      </c>
      <c r="Y215">
        <v>70</v>
      </c>
      <c r="Z215">
        <v>0</v>
      </c>
      <c r="AA215">
        <v>0</v>
      </c>
    </row>
    <row r="216" spans="1:30" x14ac:dyDescent="0.2">
      <c r="A216" t="s">
        <v>370</v>
      </c>
      <c r="C216">
        <v>0</v>
      </c>
      <c r="D216" t="s">
        <v>12</v>
      </c>
      <c r="E216">
        <v>3300</v>
      </c>
      <c r="F216" t="s">
        <v>307</v>
      </c>
      <c r="G216" t="s">
        <v>308</v>
      </c>
      <c r="H216" s="2">
        <v>0.79166666666666663</v>
      </c>
      <c r="I216" t="s">
        <v>306</v>
      </c>
      <c r="J216" s="1">
        <v>0.49399999999999999</v>
      </c>
      <c r="K216">
        <v>-97.5</v>
      </c>
      <c r="L216">
        <v>6</v>
      </c>
      <c r="M216">
        <v>3.37</v>
      </c>
      <c r="N216">
        <v>3</v>
      </c>
      <c r="Q216" s="3">
        <v>0.83333333333333337</v>
      </c>
      <c r="R216">
        <v>6.9</v>
      </c>
      <c r="S216">
        <v>5.0999999999999996</v>
      </c>
      <c r="T216">
        <v>0</v>
      </c>
      <c r="U216">
        <v>0</v>
      </c>
      <c r="V216">
        <v>0</v>
      </c>
      <c r="W216">
        <v>100</v>
      </c>
      <c r="Y216">
        <v>63</v>
      </c>
      <c r="Z216">
        <v>0</v>
      </c>
      <c r="AA216">
        <v>0</v>
      </c>
    </row>
    <row r="217" spans="1:30" x14ac:dyDescent="0.2">
      <c r="A217" t="s">
        <v>371</v>
      </c>
      <c r="C217">
        <v>0</v>
      </c>
      <c r="D217" t="s">
        <v>9</v>
      </c>
      <c r="E217">
        <v>3200</v>
      </c>
      <c r="F217" t="s">
        <v>319</v>
      </c>
      <c r="G217" t="s">
        <v>320</v>
      </c>
      <c r="H217" s="2">
        <v>0.79166666666666663</v>
      </c>
      <c r="I217" t="s">
        <v>313</v>
      </c>
      <c r="J217" s="1">
        <v>0.57999999999999996</v>
      </c>
      <c r="K217">
        <v>72.5</v>
      </c>
      <c r="L217">
        <v>6</v>
      </c>
      <c r="M217">
        <v>3</v>
      </c>
      <c r="N217">
        <v>3.06</v>
      </c>
      <c r="Q217" s="3">
        <v>0.61458333333333337</v>
      </c>
      <c r="R217">
        <v>4.5999999999999996</v>
      </c>
      <c r="S217">
        <v>5.39</v>
      </c>
      <c r="T217">
        <v>0</v>
      </c>
      <c r="U217">
        <v>0</v>
      </c>
      <c r="V217">
        <v>0</v>
      </c>
      <c r="W217">
        <v>100</v>
      </c>
      <c r="Y217">
        <v>41</v>
      </c>
      <c r="Z217">
        <v>0</v>
      </c>
      <c r="AA217">
        <v>0</v>
      </c>
    </row>
    <row r="218" spans="1:30" x14ac:dyDescent="0.2">
      <c r="A218" t="s">
        <v>372</v>
      </c>
      <c r="C218">
        <v>0</v>
      </c>
      <c r="D218" t="s">
        <v>9</v>
      </c>
      <c r="E218">
        <v>3000</v>
      </c>
      <c r="F218" t="s">
        <v>204</v>
      </c>
      <c r="G218" t="s">
        <v>317</v>
      </c>
      <c r="H218" s="2">
        <v>0.85416666666666663</v>
      </c>
      <c r="I218" t="s">
        <v>313</v>
      </c>
      <c r="J218" s="1">
        <v>0.39100000000000001</v>
      </c>
      <c r="K218">
        <v>156</v>
      </c>
      <c r="L218">
        <v>7</v>
      </c>
      <c r="M218">
        <v>3.5</v>
      </c>
      <c r="N218">
        <v>4.4000000000000004</v>
      </c>
      <c r="Q218" s="3">
        <v>0.51875000000000004</v>
      </c>
      <c r="R218">
        <v>4.8</v>
      </c>
      <c r="S218">
        <v>4.24</v>
      </c>
      <c r="T218">
        <v>0</v>
      </c>
      <c r="U218">
        <v>0</v>
      </c>
      <c r="V218">
        <v>0</v>
      </c>
      <c r="W218">
        <v>100</v>
      </c>
      <c r="Y218">
        <v>56</v>
      </c>
      <c r="Z218">
        <v>0</v>
      </c>
      <c r="AA218">
        <v>0</v>
      </c>
    </row>
    <row r="219" spans="1:30" x14ac:dyDescent="0.2">
      <c r="A219" t="s">
        <v>121</v>
      </c>
      <c r="C219">
        <v>0</v>
      </c>
      <c r="D219" t="s">
        <v>9</v>
      </c>
      <c r="E219">
        <v>2900</v>
      </c>
      <c r="F219" t="s">
        <v>206</v>
      </c>
      <c r="G219" t="s">
        <v>314</v>
      </c>
      <c r="H219" s="2">
        <v>0.79166666666666663</v>
      </c>
      <c r="I219" t="s">
        <v>313</v>
      </c>
      <c r="J219" s="1">
        <v>0.56699999999999995</v>
      </c>
      <c r="K219">
        <v>76.5</v>
      </c>
      <c r="L219">
        <v>6</v>
      </c>
      <c r="M219">
        <v>3</v>
      </c>
      <c r="N219">
        <v>3.09</v>
      </c>
      <c r="Q219" s="3">
        <v>0.50555555555555554</v>
      </c>
      <c r="R219">
        <v>5</v>
      </c>
      <c r="S219">
        <v>4.33</v>
      </c>
      <c r="T219">
        <v>0</v>
      </c>
      <c r="U219">
        <v>0</v>
      </c>
      <c r="V219">
        <v>0</v>
      </c>
      <c r="W219">
        <v>100</v>
      </c>
      <c r="Y219">
        <v>57</v>
      </c>
      <c r="Z219">
        <v>0</v>
      </c>
      <c r="AA219">
        <v>0</v>
      </c>
    </row>
    <row r="220" spans="1:30" x14ac:dyDescent="0.2">
      <c r="A220" t="s">
        <v>162</v>
      </c>
      <c r="C220">
        <v>0</v>
      </c>
      <c r="D220" t="s">
        <v>12</v>
      </c>
      <c r="E220">
        <v>2800</v>
      </c>
      <c r="F220" t="s">
        <v>307</v>
      </c>
      <c r="G220" t="s">
        <v>308</v>
      </c>
      <c r="H220" s="2">
        <v>0.79166666666666663</v>
      </c>
      <c r="I220" t="s">
        <v>306</v>
      </c>
      <c r="J220" s="1">
        <v>0.49399999999999999</v>
      </c>
      <c r="K220">
        <v>-97.5</v>
      </c>
      <c r="L220">
        <v>6</v>
      </c>
      <c r="M220">
        <v>3.37</v>
      </c>
      <c r="N220">
        <v>3</v>
      </c>
      <c r="Q220" s="3">
        <v>0.67361111111111116</v>
      </c>
      <c r="R220">
        <v>5.4</v>
      </c>
      <c r="S220">
        <v>3.97</v>
      </c>
      <c r="T220">
        <v>0</v>
      </c>
      <c r="U220">
        <v>0</v>
      </c>
      <c r="V220">
        <v>0</v>
      </c>
      <c r="W220">
        <v>100</v>
      </c>
      <c r="Y220">
        <v>63</v>
      </c>
      <c r="Z220">
        <v>0</v>
      </c>
      <c r="AA220">
        <v>0</v>
      </c>
      <c r="AB220" s="3">
        <v>0.82916666666666672</v>
      </c>
      <c r="AC220">
        <v>2.8</v>
      </c>
      <c r="AD220">
        <v>1</v>
      </c>
    </row>
    <row r="221" spans="1:30" x14ac:dyDescent="0.2">
      <c r="A221" t="s">
        <v>373</v>
      </c>
      <c r="C221">
        <v>0</v>
      </c>
      <c r="D221" t="s">
        <v>12</v>
      </c>
      <c r="E221">
        <v>2800</v>
      </c>
      <c r="F221" t="s">
        <v>307</v>
      </c>
      <c r="G221" t="s">
        <v>308</v>
      </c>
      <c r="H221" s="2">
        <v>0.79166666666666663</v>
      </c>
      <c r="I221" t="s">
        <v>306</v>
      </c>
      <c r="J221" s="1">
        <v>0.49399999999999999</v>
      </c>
      <c r="K221">
        <v>-97.5</v>
      </c>
      <c r="L221">
        <v>6</v>
      </c>
      <c r="M221">
        <v>3.37</v>
      </c>
      <c r="N221">
        <v>3</v>
      </c>
      <c r="Q221" s="3">
        <v>0.81041666666666667</v>
      </c>
      <c r="R221">
        <v>5.8</v>
      </c>
      <c r="S221">
        <v>4.8099999999999996</v>
      </c>
      <c r="T221">
        <v>0</v>
      </c>
      <c r="U221">
        <v>0</v>
      </c>
      <c r="V221">
        <v>0</v>
      </c>
      <c r="W221">
        <v>100</v>
      </c>
      <c r="Y221">
        <v>59</v>
      </c>
      <c r="Z221">
        <v>0</v>
      </c>
      <c r="AA221">
        <v>0</v>
      </c>
    </row>
    <row r="222" spans="1:30" x14ac:dyDescent="0.2">
      <c r="A222" t="s">
        <v>53</v>
      </c>
      <c r="C222">
        <v>0</v>
      </c>
      <c r="D222" t="s">
        <v>9</v>
      </c>
      <c r="E222">
        <v>2800</v>
      </c>
      <c r="F222" t="s">
        <v>207</v>
      </c>
      <c r="G222" t="s">
        <v>312</v>
      </c>
      <c r="H222" s="2">
        <v>0.79166666666666663</v>
      </c>
      <c r="I222" t="s">
        <v>313</v>
      </c>
      <c r="J222" s="1">
        <v>0.54500000000000004</v>
      </c>
      <c r="K222">
        <v>83.5</v>
      </c>
      <c r="L222">
        <v>6.5</v>
      </c>
      <c r="M222">
        <v>3.2</v>
      </c>
      <c r="N222">
        <v>3.25</v>
      </c>
      <c r="Q222" s="3">
        <v>0.60624999999999996</v>
      </c>
      <c r="R222">
        <v>4.5</v>
      </c>
      <c r="S222">
        <v>4.68</v>
      </c>
      <c r="T222">
        <v>0</v>
      </c>
      <c r="U222">
        <v>0</v>
      </c>
      <c r="V222">
        <v>0</v>
      </c>
      <c r="W222">
        <v>100</v>
      </c>
      <c r="Y222">
        <v>48</v>
      </c>
      <c r="Z222">
        <v>0</v>
      </c>
      <c r="AA222">
        <v>0</v>
      </c>
      <c r="AB222" s="3">
        <v>0.69097222222222221</v>
      </c>
      <c r="AC222">
        <v>9.5</v>
      </c>
      <c r="AD222">
        <v>3.4</v>
      </c>
    </row>
    <row r="223" spans="1:30" x14ac:dyDescent="0.2">
      <c r="A223" t="s">
        <v>71</v>
      </c>
      <c r="C223">
        <v>0</v>
      </c>
      <c r="D223" t="s">
        <v>9</v>
      </c>
      <c r="E223">
        <v>2800</v>
      </c>
      <c r="F223" t="s">
        <v>203</v>
      </c>
      <c r="G223" t="s">
        <v>305</v>
      </c>
      <c r="H223" s="2">
        <v>0.85416666666666663</v>
      </c>
      <c r="I223" t="s">
        <v>306</v>
      </c>
      <c r="J223" s="1">
        <v>0.60899999999999999</v>
      </c>
      <c r="K223">
        <v>-156</v>
      </c>
      <c r="L223">
        <v>7</v>
      </c>
      <c r="M223">
        <v>4.4000000000000004</v>
      </c>
      <c r="N223">
        <v>3.5</v>
      </c>
      <c r="Q223" s="3">
        <v>0.58680555555555558</v>
      </c>
      <c r="R223">
        <v>5.0999999999999996</v>
      </c>
      <c r="S223">
        <v>5.14</v>
      </c>
      <c r="T223">
        <v>0</v>
      </c>
      <c r="U223">
        <v>0</v>
      </c>
      <c r="V223">
        <v>0</v>
      </c>
      <c r="W223">
        <v>100</v>
      </c>
      <c r="Y223">
        <v>50</v>
      </c>
      <c r="Z223">
        <v>0</v>
      </c>
      <c r="AA223">
        <v>0</v>
      </c>
      <c r="AB223" s="3">
        <v>0.44513888888888886</v>
      </c>
      <c r="AC223">
        <v>8</v>
      </c>
      <c r="AD223">
        <v>2.9</v>
      </c>
    </row>
    <row r="224" spans="1:30" x14ac:dyDescent="0.2">
      <c r="A224" t="s">
        <v>142</v>
      </c>
      <c r="C224">
        <v>0</v>
      </c>
      <c r="D224" t="s">
        <v>5</v>
      </c>
      <c r="E224">
        <v>2800</v>
      </c>
      <c r="F224" t="s">
        <v>203</v>
      </c>
      <c r="G224" t="s">
        <v>305</v>
      </c>
      <c r="H224" s="2">
        <v>0.85416666666666663</v>
      </c>
      <c r="I224" t="s">
        <v>306</v>
      </c>
      <c r="J224" s="1">
        <v>0.60899999999999999</v>
      </c>
      <c r="K224">
        <v>-156</v>
      </c>
      <c r="L224">
        <v>7</v>
      </c>
      <c r="M224">
        <v>4.4000000000000004</v>
      </c>
      <c r="N224">
        <v>3.5</v>
      </c>
      <c r="Q224" s="3">
        <v>0.57708333333333328</v>
      </c>
      <c r="R224">
        <v>5.8</v>
      </c>
      <c r="S224">
        <v>5.33</v>
      </c>
      <c r="T224">
        <v>0</v>
      </c>
      <c r="U224">
        <v>0</v>
      </c>
      <c r="V224">
        <v>0</v>
      </c>
      <c r="W224">
        <v>100</v>
      </c>
      <c r="Y224">
        <v>54</v>
      </c>
      <c r="Z224">
        <v>0</v>
      </c>
      <c r="AA224">
        <v>0</v>
      </c>
    </row>
    <row r="225" spans="1:27" x14ac:dyDescent="0.2">
      <c r="A225" t="s">
        <v>374</v>
      </c>
      <c r="C225">
        <v>0</v>
      </c>
      <c r="D225" t="s">
        <v>12</v>
      </c>
      <c r="E225">
        <v>2700</v>
      </c>
      <c r="F225" t="s">
        <v>310</v>
      </c>
      <c r="G225" t="s">
        <v>311</v>
      </c>
      <c r="H225" s="2">
        <v>0.79166666666666663</v>
      </c>
      <c r="I225" t="s">
        <v>306</v>
      </c>
      <c r="J225" s="1">
        <v>0.42</v>
      </c>
      <c r="K225">
        <v>-72.5</v>
      </c>
      <c r="L225">
        <v>6</v>
      </c>
      <c r="M225">
        <v>3.06</v>
      </c>
      <c r="N225">
        <v>3</v>
      </c>
      <c r="Q225" s="3">
        <v>0.67222222222222228</v>
      </c>
      <c r="R225">
        <v>5.4</v>
      </c>
      <c r="S225">
        <v>4.29</v>
      </c>
      <c r="T225">
        <v>0</v>
      </c>
      <c r="U225">
        <v>0</v>
      </c>
      <c r="V225">
        <v>0</v>
      </c>
      <c r="W225">
        <v>100</v>
      </c>
      <c r="Y225">
        <v>60</v>
      </c>
      <c r="Z225">
        <v>0</v>
      </c>
      <c r="AA225">
        <v>0</v>
      </c>
    </row>
    <row r="226" spans="1:27" x14ac:dyDescent="0.2">
      <c r="A226" t="s">
        <v>120</v>
      </c>
      <c r="C226">
        <v>0</v>
      </c>
      <c r="D226" t="s">
        <v>9</v>
      </c>
      <c r="E226">
        <v>2600</v>
      </c>
      <c r="F226" t="s">
        <v>203</v>
      </c>
      <c r="G226" t="s">
        <v>305</v>
      </c>
      <c r="H226" s="2">
        <v>0.85416666666666663</v>
      </c>
      <c r="I226" t="s">
        <v>306</v>
      </c>
      <c r="J226" s="1">
        <v>0.60899999999999999</v>
      </c>
      <c r="K226">
        <v>-156</v>
      </c>
      <c r="L226">
        <v>7</v>
      </c>
      <c r="M226">
        <v>4.4000000000000004</v>
      </c>
      <c r="N226">
        <v>3.5</v>
      </c>
      <c r="Q226" s="3">
        <v>0.53888888888888886</v>
      </c>
      <c r="R226">
        <v>3.7</v>
      </c>
      <c r="S226">
        <v>3.79</v>
      </c>
      <c r="T226">
        <v>0</v>
      </c>
      <c r="U226">
        <v>0</v>
      </c>
      <c r="V226">
        <v>0</v>
      </c>
      <c r="W226">
        <v>100</v>
      </c>
      <c r="Y226">
        <v>49</v>
      </c>
      <c r="Z226">
        <v>0</v>
      </c>
      <c r="AA226">
        <v>0</v>
      </c>
    </row>
    <row r="227" spans="1:27" x14ac:dyDescent="0.2">
      <c r="A227" t="s">
        <v>375</v>
      </c>
      <c r="C227">
        <v>0</v>
      </c>
      <c r="D227" t="s">
        <v>12</v>
      </c>
      <c r="E227">
        <v>2500</v>
      </c>
      <c r="F227" t="s">
        <v>211</v>
      </c>
      <c r="G227" t="s">
        <v>315</v>
      </c>
      <c r="H227" s="2">
        <v>0.79166666666666663</v>
      </c>
      <c r="I227" t="s">
        <v>313</v>
      </c>
      <c r="J227" s="1">
        <v>0.50600000000000001</v>
      </c>
      <c r="K227">
        <v>97.5</v>
      </c>
      <c r="L227">
        <v>6</v>
      </c>
      <c r="M227">
        <v>3</v>
      </c>
      <c r="N227">
        <v>3.37</v>
      </c>
      <c r="T227">
        <v>0</v>
      </c>
      <c r="U227">
        <v>0</v>
      </c>
      <c r="V227">
        <v>0</v>
      </c>
      <c r="W227">
        <v>100</v>
      </c>
      <c r="Y227">
        <v>0</v>
      </c>
      <c r="Z227">
        <v>0</v>
      </c>
      <c r="AA227">
        <v>0</v>
      </c>
    </row>
    <row r="228" spans="1:27" x14ac:dyDescent="0.2">
      <c r="A228" t="s">
        <v>255</v>
      </c>
      <c r="C228">
        <v>0</v>
      </c>
      <c r="D228" t="s">
        <v>12</v>
      </c>
      <c r="E228">
        <v>2500</v>
      </c>
      <c r="F228" t="s">
        <v>211</v>
      </c>
      <c r="G228" t="s">
        <v>315</v>
      </c>
      <c r="H228" s="2">
        <v>0.79166666666666663</v>
      </c>
      <c r="I228" t="s">
        <v>313</v>
      </c>
      <c r="J228" s="1">
        <v>0.50600000000000001</v>
      </c>
      <c r="K228">
        <v>97.5</v>
      </c>
      <c r="L228">
        <v>6</v>
      </c>
      <c r="M228">
        <v>3</v>
      </c>
      <c r="N228">
        <v>3.37</v>
      </c>
      <c r="Q228" s="3">
        <v>0.61041666666666672</v>
      </c>
      <c r="R228">
        <v>5.7</v>
      </c>
      <c r="S228">
        <v>4.2300000000000004</v>
      </c>
      <c r="T228">
        <v>0</v>
      </c>
      <c r="U228">
        <v>0</v>
      </c>
      <c r="V228">
        <v>0</v>
      </c>
      <c r="W228">
        <v>100</v>
      </c>
      <c r="Y228">
        <v>63</v>
      </c>
      <c r="Z228">
        <v>0</v>
      </c>
      <c r="AA228">
        <v>0</v>
      </c>
    </row>
    <row r="229" spans="1:27" x14ac:dyDescent="0.2">
      <c r="A229" t="s">
        <v>257</v>
      </c>
      <c r="C229">
        <v>0</v>
      </c>
      <c r="D229" t="s">
        <v>12</v>
      </c>
      <c r="E229">
        <v>2500</v>
      </c>
      <c r="F229" t="s">
        <v>211</v>
      </c>
      <c r="G229" t="s">
        <v>315</v>
      </c>
      <c r="H229" s="2">
        <v>0.79166666666666663</v>
      </c>
      <c r="I229" t="s">
        <v>313</v>
      </c>
      <c r="J229" s="1">
        <v>0.50600000000000001</v>
      </c>
      <c r="K229">
        <v>97.5</v>
      </c>
      <c r="L229">
        <v>6</v>
      </c>
      <c r="M229">
        <v>3</v>
      </c>
      <c r="N229">
        <v>3.37</v>
      </c>
      <c r="Q229" s="3">
        <v>0.64444444444444449</v>
      </c>
      <c r="R229">
        <v>3.1</v>
      </c>
      <c r="S229">
        <v>1.96</v>
      </c>
      <c r="T229">
        <v>0</v>
      </c>
      <c r="U229">
        <v>0</v>
      </c>
      <c r="V229">
        <v>0</v>
      </c>
      <c r="W229">
        <v>100</v>
      </c>
      <c r="Y229">
        <v>68</v>
      </c>
      <c r="Z229">
        <v>0</v>
      </c>
      <c r="AA229">
        <v>0</v>
      </c>
    </row>
    <row r="230" spans="1:27" x14ac:dyDescent="0.2">
      <c r="A230" t="s">
        <v>376</v>
      </c>
      <c r="C230">
        <v>0</v>
      </c>
      <c r="D230" t="s">
        <v>12</v>
      </c>
      <c r="E230">
        <v>2500</v>
      </c>
      <c r="F230" t="s">
        <v>211</v>
      </c>
      <c r="G230" t="s">
        <v>315</v>
      </c>
      <c r="H230" s="2">
        <v>0.79166666666666663</v>
      </c>
      <c r="I230" t="s">
        <v>313</v>
      </c>
      <c r="J230" s="1">
        <v>0.50600000000000001</v>
      </c>
      <c r="K230">
        <v>97.5</v>
      </c>
      <c r="L230">
        <v>6</v>
      </c>
      <c r="M230">
        <v>3</v>
      </c>
      <c r="N230">
        <v>3.37</v>
      </c>
      <c r="Q230" s="3">
        <v>0.52708333333333335</v>
      </c>
      <c r="R230">
        <v>2.1</v>
      </c>
      <c r="S230">
        <v>1.64</v>
      </c>
      <c r="T230">
        <v>0</v>
      </c>
      <c r="U230">
        <v>0</v>
      </c>
      <c r="V230">
        <v>0</v>
      </c>
      <c r="W230">
        <v>100</v>
      </c>
      <c r="Y230">
        <v>61</v>
      </c>
      <c r="Z230">
        <v>0</v>
      </c>
      <c r="AA230">
        <v>0</v>
      </c>
    </row>
    <row r="231" spans="1:27" x14ac:dyDescent="0.2">
      <c r="A231" t="s">
        <v>377</v>
      </c>
      <c r="C231">
        <v>0</v>
      </c>
      <c r="D231" t="s">
        <v>12</v>
      </c>
      <c r="E231">
        <v>2500</v>
      </c>
      <c r="F231" t="s">
        <v>307</v>
      </c>
      <c r="G231" t="s">
        <v>308</v>
      </c>
      <c r="H231" s="2">
        <v>0.79166666666666663</v>
      </c>
      <c r="I231" t="s">
        <v>306</v>
      </c>
      <c r="J231" s="1">
        <v>0.49399999999999999</v>
      </c>
      <c r="K231">
        <v>-97.5</v>
      </c>
      <c r="L231">
        <v>6</v>
      </c>
      <c r="M231">
        <v>3.37</v>
      </c>
      <c r="N231">
        <v>3</v>
      </c>
      <c r="Q231" s="3">
        <v>0.48125000000000001</v>
      </c>
      <c r="R231">
        <v>1.9</v>
      </c>
      <c r="S231">
        <v>2.73</v>
      </c>
      <c r="T231">
        <v>0</v>
      </c>
      <c r="U231">
        <v>0</v>
      </c>
      <c r="V231">
        <v>0</v>
      </c>
      <c r="W231">
        <v>100</v>
      </c>
      <c r="Y231">
        <v>28</v>
      </c>
      <c r="Z231">
        <v>0</v>
      </c>
      <c r="AA231">
        <v>0</v>
      </c>
    </row>
    <row r="232" spans="1:27" x14ac:dyDescent="0.2">
      <c r="A232" t="s">
        <v>378</v>
      </c>
      <c r="C232">
        <v>0</v>
      </c>
      <c r="D232" t="s">
        <v>12</v>
      </c>
      <c r="E232">
        <v>2500</v>
      </c>
      <c r="F232" t="s">
        <v>307</v>
      </c>
      <c r="G232" t="s">
        <v>308</v>
      </c>
      <c r="H232" s="2">
        <v>0.79166666666666663</v>
      </c>
      <c r="I232" t="s">
        <v>306</v>
      </c>
      <c r="J232" s="1">
        <v>0.49399999999999999</v>
      </c>
      <c r="K232">
        <v>-97.5</v>
      </c>
      <c r="L232">
        <v>6</v>
      </c>
      <c r="M232">
        <v>3.37</v>
      </c>
      <c r="N232">
        <v>3</v>
      </c>
      <c r="Q232" s="3">
        <v>0.72777777777777775</v>
      </c>
      <c r="R232">
        <v>4.0999999999999996</v>
      </c>
      <c r="S232">
        <v>4.2</v>
      </c>
      <c r="T232">
        <v>0</v>
      </c>
      <c r="U232">
        <v>0</v>
      </c>
      <c r="V232">
        <v>0</v>
      </c>
      <c r="W232">
        <v>100</v>
      </c>
      <c r="Y232">
        <v>49</v>
      </c>
      <c r="Z232">
        <v>0</v>
      </c>
      <c r="AA232">
        <v>0</v>
      </c>
    </row>
    <row r="233" spans="1:27" x14ac:dyDescent="0.2">
      <c r="A233" t="s">
        <v>156</v>
      </c>
      <c r="C233">
        <v>0</v>
      </c>
      <c r="D233" t="s">
        <v>12</v>
      </c>
      <c r="E233">
        <v>2500</v>
      </c>
      <c r="F233" t="s">
        <v>307</v>
      </c>
      <c r="G233" t="s">
        <v>308</v>
      </c>
      <c r="H233" s="2">
        <v>0.79166666666666663</v>
      </c>
      <c r="I233" t="s">
        <v>306</v>
      </c>
      <c r="J233" s="1">
        <v>0.49399999999999999</v>
      </c>
      <c r="K233">
        <v>-97.5</v>
      </c>
      <c r="L233">
        <v>6</v>
      </c>
      <c r="M233">
        <v>3.37</v>
      </c>
      <c r="N233">
        <v>3</v>
      </c>
      <c r="Q233" s="3">
        <v>0.69791666666666663</v>
      </c>
      <c r="R233">
        <v>4.0999999999999996</v>
      </c>
      <c r="S233">
        <v>0</v>
      </c>
      <c r="T233">
        <v>0</v>
      </c>
      <c r="U233">
        <v>0</v>
      </c>
      <c r="V233">
        <v>0</v>
      </c>
      <c r="W233">
        <v>100</v>
      </c>
      <c r="Y233">
        <v>0</v>
      </c>
      <c r="Z233">
        <v>0</v>
      </c>
      <c r="AA233">
        <v>0</v>
      </c>
    </row>
    <row r="234" spans="1:27" x14ac:dyDescent="0.2">
      <c r="A234" t="s">
        <v>379</v>
      </c>
      <c r="C234">
        <v>0</v>
      </c>
      <c r="D234" t="s">
        <v>9</v>
      </c>
      <c r="E234">
        <v>2500</v>
      </c>
      <c r="F234" t="s">
        <v>211</v>
      </c>
      <c r="G234" t="s">
        <v>315</v>
      </c>
      <c r="H234" s="2">
        <v>0.79166666666666663</v>
      </c>
      <c r="I234" t="s">
        <v>313</v>
      </c>
      <c r="J234" s="1">
        <v>0.50600000000000001</v>
      </c>
      <c r="K234">
        <v>97.5</v>
      </c>
      <c r="L234">
        <v>6</v>
      </c>
      <c r="M234">
        <v>3</v>
      </c>
      <c r="N234">
        <v>3.37</v>
      </c>
      <c r="Q234" s="3">
        <v>0.43055555555555558</v>
      </c>
      <c r="R234">
        <v>4.5999999999999996</v>
      </c>
      <c r="S234">
        <v>4.9800000000000004</v>
      </c>
      <c r="T234">
        <v>0</v>
      </c>
      <c r="U234">
        <v>0</v>
      </c>
      <c r="V234">
        <v>0</v>
      </c>
      <c r="W234">
        <v>100</v>
      </c>
      <c r="Y234">
        <v>46</v>
      </c>
      <c r="Z234">
        <v>0</v>
      </c>
      <c r="AA234">
        <v>0</v>
      </c>
    </row>
    <row r="235" spans="1:27" x14ac:dyDescent="0.2">
      <c r="A235" t="s">
        <v>264</v>
      </c>
      <c r="C235">
        <v>0</v>
      </c>
      <c r="D235" t="s">
        <v>9</v>
      </c>
      <c r="E235">
        <v>2500</v>
      </c>
      <c r="F235" t="s">
        <v>211</v>
      </c>
      <c r="G235" t="s">
        <v>315</v>
      </c>
      <c r="H235" s="2">
        <v>0.79166666666666663</v>
      </c>
      <c r="I235" t="s">
        <v>313</v>
      </c>
      <c r="J235" s="1">
        <v>0.50600000000000001</v>
      </c>
      <c r="K235">
        <v>97.5</v>
      </c>
      <c r="L235">
        <v>6</v>
      </c>
      <c r="M235">
        <v>3</v>
      </c>
      <c r="N235">
        <v>3.37</v>
      </c>
      <c r="Q235" s="3">
        <v>0.37638888888888888</v>
      </c>
      <c r="R235">
        <v>2.6</v>
      </c>
      <c r="S235">
        <v>3.46</v>
      </c>
      <c r="T235">
        <v>0</v>
      </c>
      <c r="U235">
        <v>0</v>
      </c>
      <c r="V235">
        <v>0</v>
      </c>
      <c r="W235">
        <v>100</v>
      </c>
      <c r="Y235">
        <v>33</v>
      </c>
      <c r="Z235">
        <v>0</v>
      </c>
      <c r="AA235">
        <v>0</v>
      </c>
    </row>
    <row r="236" spans="1:27" x14ac:dyDescent="0.2">
      <c r="A236" t="s">
        <v>380</v>
      </c>
      <c r="C236">
        <v>0</v>
      </c>
      <c r="D236" t="s">
        <v>9</v>
      </c>
      <c r="E236">
        <v>2500</v>
      </c>
      <c r="F236" t="s">
        <v>307</v>
      </c>
      <c r="G236" t="s">
        <v>308</v>
      </c>
      <c r="H236" s="2">
        <v>0.79166666666666663</v>
      </c>
      <c r="I236" t="s">
        <v>306</v>
      </c>
      <c r="J236" s="1">
        <v>0.49399999999999999</v>
      </c>
      <c r="K236">
        <v>-97.5</v>
      </c>
      <c r="L236">
        <v>6</v>
      </c>
      <c r="M236">
        <v>3.37</v>
      </c>
      <c r="N236">
        <v>3</v>
      </c>
      <c r="Q236" s="3">
        <v>0.59861111111111109</v>
      </c>
      <c r="R236">
        <v>1.4</v>
      </c>
      <c r="S236">
        <v>1.41</v>
      </c>
      <c r="T236">
        <v>0</v>
      </c>
      <c r="U236">
        <v>0</v>
      </c>
      <c r="V236">
        <v>0</v>
      </c>
      <c r="W236">
        <v>100</v>
      </c>
      <c r="Y236">
        <v>50</v>
      </c>
      <c r="Z236">
        <v>0</v>
      </c>
      <c r="AA236">
        <v>0</v>
      </c>
    </row>
    <row r="237" spans="1:27" x14ac:dyDescent="0.2">
      <c r="A237" t="s">
        <v>253</v>
      </c>
      <c r="C237">
        <v>0</v>
      </c>
      <c r="D237" t="s">
        <v>9</v>
      </c>
      <c r="E237">
        <v>2500</v>
      </c>
      <c r="F237" t="s">
        <v>307</v>
      </c>
      <c r="G237" t="s">
        <v>308</v>
      </c>
      <c r="H237" s="2">
        <v>0.79166666666666663</v>
      </c>
      <c r="I237" t="s">
        <v>306</v>
      </c>
      <c r="J237" s="1">
        <v>0.49399999999999999</v>
      </c>
      <c r="K237">
        <v>-97.5</v>
      </c>
      <c r="L237">
        <v>6</v>
      </c>
      <c r="M237">
        <v>3.37</v>
      </c>
      <c r="N237">
        <v>3</v>
      </c>
      <c r="Q237" s="3">
        <v>0.34166666666666667</v>
      </c>
      <c r="R237">
        <v>3.5</v>
      </c>
      <c r="S237">
        <v>3.98</v>
      </c>
      <c r="T237">
        <v>0</v>
      </c>
      <c r="U237">
        <v>0</v>
      </c>
      <c r="V237">
        <v>0</v>
      </c>
      <c r="W237">
        <v>100</v>
      </c>
      <c r="Y237">
        <v>43</v>
      </c>
      <c r="Z237">
        <v>0</v>
      </c>
      <c r="AA237">
        <v>0</v>
      </c>
    </row>
    <row r="238" spans="1:27" x14ac:dyDescent="0.2">
      <c r="A238" t="s">
        <v>260</v>
      </c>
      <c r="C238">
        <v>0</v>
      </c>
      <c r="D238" t="s">
        <v>9</v>
      </c>
      <c r="E238">
        <v>2500</v>
      </c>
      <c r="F238" t="s">
        <v>307</v>
      </c>
      <c r="G238" t="s">
        <v>308</v>
      </c>
      <c r="H238" s="2">
        <v>0.79166666666666663</v>
      </c>
      <c r="I238" t="s">
        <v>306</v>
      </c>
      <c r="J238" s="1">
        <v>0.49399999999999999</v>
      </c>
      <c r="K238">
        <v>-97.5</v>
      </c>
      <c r="L238">
        <v>6</v>
      </c>
      <c r="M238">
        <v>3.37</v>
      </c>
      <c r="N238">
        <v>3</v>
      </c>
      <c r="Q238" s="3">
        <v>0.45347222222222222</v>
      </c>
      <c r="R238">
        <v>4.4000000000000004</v>
      </c>
      <c r="S238">
        <v>3.68</v>
      </c>
      <c r="T238">
        <v>0</v>
      </c>
      <c r="U238">
        <v>0</v>
      </c>
      <c r="V238">
        <v>0</v>
      </c>
      <c r="W238">
        <v>100</v>
      </c>
      <c r="Y238">
        <v>58</v>
      </c>
      <c r="Z238">
        <v>0</v>
      </c>
      <c r="AA238">
        <v>0</v>
      </c>
    </row>
    <row r="239" spans="1:27" x14ac:dyDescent="0.2">
      <c r="A239" t="s">
        <v>263</v>
      </c>
      <c r="C239">
        <v>0</v>
      </c>
      <c r="D239" t="s">
        <v>9</v>
      </c>
      <c r="E239">
        <v>2500</v>
      </c>
      <c r="F239" t="s">
        <v>307</v>
      </c>
      <c r="G239" t="s">
        <v>308</v>
      </c>
      <c r="H239" s="2">
        <v>0.79166666666666663</v>
      </c>
      <c r="I239" t="s">
        <v>306</v>
      </c>
      <c r="J239" s="1">
        <v>0.49399999999999999</v>
      </c>
      <c r="K239">
        <v>-97.5</v>
      </c>
      <c r="L239">
        <v>6</v>
      </c>
      <c r="M239">
        <v>3.37</v>
      </c>
      <c r="N239">
        <v>3</v>
      </c>
      <c r="Q239" s="3">
        <v>0.40277777777777779</v>
      </c>
      <c r="R239">
        <v>1.8</v>
      </c>
      <c r="S239">
        <v>1.93</v>
      </c>
      <c r="T239">
        <v>0</v>
      </c>
      <c r="U239">
        <v>0</v>
      </c>
      <c r="V239">
        <v>0</v>
      </c>
      <c r="W239">
        <v>100</v>
      </c>
      <c r="Y239">
        <v>46</v>
      </c>
      <c r="Z239">
        <v>0</v>
      </c>
      <c r="AA239">
        <v>0</v>
      </c>
    </row>
    <row r="240" spans="1:27" x14ac:dyDescent="0.2">
      <c r="A240" t="s">
        <v>266</v>
      </c>
      <c r="C240">
        <v>0</v>
      </c>
      <c r="D240" t="s">
        <v>9</v>
      </c>
      <c r="E240">
        <v>2500</v>
      </c>
      <c r="F240" t="s">
        <v>307</v>
      </c>
      <c r="G240" t="s">
        <v>308</v>
      </c>
      <c r="H240" s="2">
        <v>0.79166666666666663</v>
      </c>
      <c r="I240" t="s">
        <v>306</v>
      </c>
      <c r="J240" s="1">
        <v>0.49399999999999999</v>
      </c>
      <c r="K240">
        <v>-97.5</v>
      </c>
      <c r="L240">
        <v>6</v>
      </c>
      <c r="M240">
        <v>3.37</v>
      </c>
      <c r="N240">
        <v>3</v>
      </c>
      <c r="Q240" s="3">
        <v>0.24791666666666667</v>
      </c>
      <c r="R240">
        <v>1.6</v>
      </c>
      <c r="S240">
        <v>2.38</v>
      </c>
      <c r="T240">
        <v>0</v>
      </c>
      <c r="U240">
        <v>0</v>
      </c>
      <c r="V240">
        <v>0</v>
      </c>
      <c r="W240">
        <v>100</v>
      </c>
      <c r="Y240">
        <v>26</v>
      </c>
      <c r="Z240">
        <v>0</v>
      </c>
      <c r="AA240">
        <v>0</v>
      </c>
    </row>
    <row r="241" spans="1:30" x14ac:dyDescent="0.2">
      <c r="A241" t="s">
        <v>381</v>
      </c>
      <c r="C241">
        <v>0</v>
      </c>
      <c r="D241" t="s">
        <v>9</v>
      </c>
      <c r="E241">
        <v>2500</v>
      </c>
      <c r="F241" t="s">
        <v>307</v>
      </c>
      <c r="G241" t="s">
        <v>308</v>
      </c>
      <c r="H241" s="2">
        <v>0.79166666666666663</v>
      </c>
      <c r="I241" t="s">
        <v>306</v>
      </c>
      <c r="J241" s="1">
        <v>0.49399999999999999</v>
      </c>
      <c r="K241">
        <v>-97.5</v>
      </c>
      <c r="L241">
        <v>6</v>
      </c>
      <c r="M241">
        <v>3.37</v>
      </c>
      <c r="N241">
        <v>3</v>
      </c>
      <c r="Q241" s="3">
        <v>0.37638888888888888</v>
      </c>
      <c r="R241">
        <v>1.3</v>
      </c>
      <c r="S241">
        <v>0</v>
      </c>
      <c r="T241">
        <v>0</v>
      </c>
      <c r="U241">
        <v>0</v>
      </c>
      <c r="V241">
        <v>0</v>
      </c>
      <c r="W241">
        <v>100</v>
      </c>
      <c r="Y241">
        <v>0</v>
      </c>
      <c r="Z241">
        <v>0</v>
      </c>
      <c r="AA241">
        <v>0</v>
      </c>
    </row>
    <row r="242" spans="1:30" x14ac:dyDescent="0.2">
      <c r="A242" t="s">
        <v>382</v>
      </c>
      <c r="C242">
        <v>0</v>
      </c>
      <c r="D242" t="s">
        <v>5</v>
      </c>
      <c r="E242">
        <v>2500</v>
      </c>
      <c r="F242" t="s">
        <v>211</v>
      </c>
      <c r="G242" t="s">
        <v>315</v>
      </c>
      <c r="H242" s="2">
        <v>0.79166666666666663</v>
      </c>
      <c r="I242" t="s">
        <v>313</v>
      </c>
      <c r="J242" s="1">
        <v>0.50600000000000001</v>
      </c>
      <c r="K242">
        <v>97.5</v>
      </c>
      <c r="L242">
        <v>6</v>
      </c>
      <c r="M242">
        <v>3</v>
      </c>
      <c r="N242">
        <v>3.37</v>
      </c>
      <c r="Q242" s="3">
        <v>0.43888888888888888</v>
      </c>
      <c r="R242">
        <v>3.9</v>
      </c>
      <c r="S242">
        <v>4.5</v>
      </c>
      <c r="T242">
        <v>0</v>
      </c>
      <c r="U242">
        <v>0</v>
      </c>
      <c r="V242">
        <v>0</v>
      </c>
      <c r="W242">
        <v>100</v>
      </c>
      <c r="Y242">
        <v>42</v>
      </c>
      <c r="Z242">
        <v>0</v>
      </c>
      <c r="AA242">
        <v>0</v>
      </c>
    </row>
    <row r="243" spans="1:30" x14ac:dyDescent="0.2">
      <c r="A243" t="s">
        <v>383</v>
      </c>
      <c r="C243">
        <v>0</v>
      </c>
      <c r="D243" t="s">
        <v>5</v>
      </c>
      <c r="E243">
        <v>2500</v>
      </c>
      <c r="F243" t="s">
        <v>211</v>
      </c>
      <c r="G243" t="s">
        <v>315</v>
      </c>
      <c r="H243" s="2">
        <v>0.79166666666666663</v>
      </c>
      <c r="I243" t="s">
        <v>313</v>
      </c>
      <c r="J243" s="1">
        <v>0.50600000000000001</v>
      </c>
      <c r="K243">
        <v>97.5</v>
      </c>
      <c r="L243">
        <v>6</v>
      </c>
      <c r="M243">
        <v>3</v>
      </c>
      <c r="N243">
        <v>3.37</v>
      </c>
      <c r="T243">
        <v>0</v>
      </c>
      <c r="U243">
        <v>0</v>
      </c>
      <c r="V243">
        <v>0</v>
      </c>
      <c r="W243">
        <v>100</v>
      </c>
      <c r="Y243">
        <v>0</v>
      </c>
      <c r="Z243">
        <v>0</v>
      </c>
      <c r="AA243">
        <v>0</v>
      </c>
    </row>
    <row r="244" spans="1:30" x14ac:dyDescent="0.2">
      <c r="A244" t="s">
        <v>144</v>
      </c>
      <c r="C244">
        <v>0</v>
      </c>
      <c r="D244" t="s">
        <v>12</v>
      </c>
      <c r="E244">
        <v>2500</v>
      </c>
      <c r="F244" t="s">
        <v>207</v>
      </c>
      <c r="G244" t="s">
        <v>312</v>
      </c>
      <c r="H244" s="2">
        <v>0.79166666666666663</v>
      </c>
      <c r="I244" t="s">
        <v>313</v>
      </c>
      <c r="J244" s="1">
        <v>0.54500000000000004</v>
      </c>
      <c r="K244">
        <v>83.5</v>
      </c>
      <c r="L244">
        <v>6.5</v>
      </c>
      <c r="M244">
        <v>3.2</v>
      </c>
      <c r="N244">
        <v>3.25</v>
      </c>
      <c r="Q244" s="3">
        <v>0.72291666666666665</v>
      </c>
      <c r="R244">
        <v>5.0999999999999996</v>
      </c>
      <c r="S244">
        <v>4.46</v>
      </c>
      <c r="T244">
        <v>0</v>
      </c>
      <c r="U244">
        <v>0</v>
      </c>
      <c r="V244">
        <v>0</v>
      </c>
      <c r="W244">
        <v>100</v>
      </c>
      <c r="Y244">
        <v>56</v>
      </c>
      <c r="Z244">
        <v>0</v>
      </c>
      <c r="AA244">
        <v>0</v>
      </c>
    </row>
    <row r="245" spans="1:30" x14ac:dyDescent="0.2">
      <c r="A245" t="s">
        <v>261</v>
      </c>
      <c r="C245">
        <v>0</v>
      </c>
      <c r="D245" t="s">
        <v>12</v>
      </c>
      <c r="E245">
        <v>2500</v>
      </c>
      <c r="F245" t="s">
        <v>200</v>
      </c>
      <c r="G245" t="s">
        <v>309</v>
      </c>
      <c r="H245" s="2">
        <v>0.79166666666666663</v>
      </c>
      <c r="I245" t="s">
        <v>306</v>
      </c>
      <c r="J245" s="1">
        <v>0.45500000000000002</v>
      </c>
      <c r="K245">
        <v>-83.5</v>
      </c>
      <c r="L245">
        <v>6.5</v>
      </c>
      <c r="M245">
        <v>3.25</v>
      </c>
      <c r="N245">
        <v>3.2</v>
      </c>
      <c r="Q245" s="3">
        <v>0.59097222222222223</v>
      </c>
      <c r="R245">
        <v>5.5</v>
      </c>
      <c r="S245">
        <v>3.53</v>
      </c>
      <c r="T245">
        <v>0</v>
      </c>
      <c r="U245">
        <v>0</v>
      </c>
      <c r="V245">
        <v>0</v>
      </c>
      <c r="W245">
        <v>100</v>
      </c>
      <c r="Y245">
        <v>68</v>
      </c>
      <c r="Z245">
        <v>0</v>
      </c>
      <c r="AA245">
        <v>0</v>
      </c>
    </row>
    <row r="246" spans="1:30" x14ac:dyDescent="0.2">
      <c r="A246" t="s">
        <v>251</v>
      </c>
      <c r="C246">
        <v>0</v>
      </c>
      <c r="D246" t="s">
        <v>12</v>
      </c>
      <c r="E246">
        <v>2500</v>
      </c>
      <c r="F246" t="s">
        <v>200</v>
      </c>
      <c r="G246" t="s">
        <v>309</v>
      </c>
      <c r="H246" s="2">
        <v>0.79166666666666663</v>
      </c>
      <c r="I246" t="s">
        <v>306</v>
      </c>
      <c r="J246" s="1">
        <v>0.45500000000000002</v>
      </c>
      <c r="K246">
        <v>-83.5</v>
      </c>
      <c r="L246">
        <v>6.5</v>
      </c>
      <c r="M246">
        <v>3.25</v>
      </c>
      <c r="N246">
        <v>3.2</v>
      </c>
      <c r="Q246" s="3">
        <v>0.58750000000000002</v>
      </c>
      <c r="R246">
        <v>5</v>
      </c>
      <c r="S246">
        <v>4.1500000000000004</v>
      </c>
      <c r="T246">
        <v>0</v>
      </c>
      <c r="U246">
        <v>0</v>
      </c>
      <c r="V246">
        <v>0</v>
      </c>
      <c r="W246">
        <v>100</v>
      </c>
      <c r="Y246">
        <v>59</v>
      </c>
      <c r="Z246">
        <v>0</v>
      </c>
      <c r="AA246">
        <v>0</v>
      </c>
    </row>
    <row r="247" spans="1:30" x14ac:dyDescent="0.2">
      <c r="A247" t="s">
        <v>384</v>
      </c>
      <c r="C247">
        <v>0</v>
      </c>
      <c r="D247" t="s">
        <v>12</v>
      </c>
      <c r="E247">
        <v>2500</v>
      </c>
      <c r="F247" t="s">
        <v>200</v>
      </c>
      <c r="G247" t="s">
        <v>309</v>
      </c>
      <c r="H247" s="2">
        <v>0.79166666666666663</v>
      </c>
      <c r="I247" t="s">
        <v>306</v>
      </c>
      <c r="J247" s="1">
        <v>0.45500000000000002</v>
      </c>
      <c r="K247">
        <v>-83.5</v>
      </c>
      <c r="L247">
        <v>6.5</v>
      </c>
      <c r="M247">
        <v>3.25</v>
      </c>
      <c r="N247">
        <v>3.2</v>
      </c>
      <c r="Q247" s="3">
        <v>0.69027777777777777</v>
      </c>
      <c r="R247">
        <v>6.5</v>
      </c>
      <c r="S247">
        <v>4.18</v>
      </c>
      <c r="T247">
        <v>0</v>
      </c>
      <c r="U247">
        <v>0</v>
      </c>
      <c r="V247">
        <v>0</v>
      </c>
      <c r="W247">
        <v>100</v>
      </c>
      <c r="Y247">
        <v>68</v>
      </c>
      <c r="Z247">
        <v>0</v>
      </c>
      <c r="AA247">
        <v>0</v>
      </c>
    </row>
    <row r="248" spans="1:30" x14ac:dyDescent="0.2">
      <c r="A248" t="s">
        <v>222</v>
      </c>
      <c r="C248">
        <v>0</v>
      </c>
      <c r="D248" t="s">
        <v>12</v>
      </c>
      <c r="E248">
        <v>2500</v>
      </c>
      <c r="F248" t="s">
        <v>200</v>
      </c>
      <c r="G248" t="s">
        <v>309</v>
      </c>
      <c r="H248" s="2">
        <v>0.79166666666666663</v>
      </c>
      <c r="I248" t="s">
        <v>306</v>
      </c>
      <c r="J248" s="1">
        <v>0.45500000000000002</v>
      </c>
      <c r="K248">
        <v>-83.5</v>
      </c>
      <c r="L248">
        <v>6.5</v>
      </c>
      <c r="M248">
        <v>3.25</v>
      </c>
      <c r="N248">
        <v>3.2</v>
      </c>
      <c r="Q248" s="3">
        <v>0.75</v>
      </c>
      <c r="R248">
        <v>3.9</v>
      </c>
      <c r="S248">
        <v>3.34</v>
      </c>
      <c r="T248">
        <v>0</v>
      </c>
      <c r="U248">
        <v>0</v>
      </c>
      <c r="V248">
        <v>0</v>
      </c>
      <c r="W248">
        <v>100</v>
      </c>
      <c r="Y248">
        <v>57</v>
      </c>
      <c r="Z248">
        <v>0</v>
      </c>
      <c r="AA248">
        <v>0</v>
      </c>
      <c r="AB248" s="3">
        <v>0.85138888888888886</v>
      </c>
      <c r="AC248">
        <v>1.3</v>
      </c>
      <c r="AD248">
        <v>0.5</v>
      </c>
    </row>
    <row r="249" spans="1:30" x14ac:dyDescent="0.2">
      <c r="A249" t="s">
        <v>268</v>
      </c>
      <c r="C249">
        <v>0</v>
      </c>
      <c r="D249" t="s">
        <v>9</v>
      </c>
      <c r="E249">
        <v>2500</v>
      </c>
      <c r="F249" t="s">
        <v>207</v>
      </c>
      <c r="G249" t="s">
        <v>312</v>
      </c>
      <c r="H249" s="2">
        <v>0.79166666666666663</v>
      </c>
      <c r="I249" t="s">
        <v>313</v>
      </c>
      <c r="J249" s="1">
        <v>0.54500000000000004</v>
      </c>
      <c r="K249">
        <v>83.5</v>
      </c>
      <c r="L249">
        <v>6.5</v>
      </c>
      <c r="M249">
        <v>3.2</v>
      </c>
      <c r="N249">
        <v>3.25</v>
      </c>
      <c r="Q249" s="3">
        <v>0.32708333333333334</v>
      </c>
      <c r="R249">
        <v>1.4</v>
      </c>
      <c r="S249">
        <v>1.98</v>
      </c>
      <c r="T249">
        <v>0</v>
      </c>
      <c r="U249">
        <v>0</v>
      </c>
      <c r="V249">
        <v>0</v>
      </c>
      <c r="W249">
        <v>100</v>
      </c>
      <c r="Y249">
        <v>29</v>
      </c>
      <c r="Z249">
        <v>0</v>
      </c>
      <c r="AA249">
        <v>0</v>
      </c>
    </row>
    <row r="250" spans="1:30" x14ac:dyDescent="0.2">
      <c r="A250" t="s">
        <v>254</v>
      </c>
      <c r="C250">
        <v>0</v>
      </c>
      <c r="D250" t="s">
        <v>9</v>
      </c>
      <c r="E250">
        <v>2500</v>
      </c>
      <c r="F250" t="s">
        <v>207</v>
      </c>
      <c r="G250" t="s">
        <v>312</v>
      </c>
      <c r="H250" s="2">
        <v>0.79166666666666663</v>
      </c>
      <c r="I250" t="s">
        <v>313</v>
      </c>
      <c r="J250" s="1">
        <v>0.54500000000000004</v>
      </c>
      <c r="K250">
        <v>83.5</v>
      </c>
      <c r="L250">
        <v>6.5</v>
      </c>
      <c r="M250">
        <v>3.2</v>
      </c>
      <c r="N250">
        <v>3.25</v>
      </c>
      <c r="Q250" s="3">
        <v>0.40486111111111112</v>
      </c>
      <c r="R250">
        <v>3.3</v>
      </c>
      <c r="S250">
        <v>3.62</v>
      </c>
      <c r="T250">
        <v>0</v>
      </c>
      <c r="U250">
        <v>0</v>
      </c>
      <c r="V250">
        <v>0</v>
      </c>
      <c r="W250">
        <v>100</v>
      </c>
      <c r="Y250">
        <v>45</v>
      </c>
      <c r="Z250">
        <v>0</v>
      </c>
      <c r="AA250">
        <v>0</v>
      </c>
    </row>
    <row r="251" spans="1:30" x14ac:dyDescent="0.2">
      <c r="A251" t="s">
        <v>265</v>
      </c>
      <c r="C251">
        <v>0</v>
      </c>
      <c r="D251" t="s">
        <v>9</v>
      </c>
      <c r="E251">
        <v>2500</v>
      </c>
      <c r="F251" t="s">
        <v>207</v>
      </c>
      <c r="G251" t="s">
        <v>312</v>
      </c>
      <c r="H251" s="2">
        <v>0.79166666666666663</v>
      </c>
      <c r="I251" t="s">
        <v>313</v>
      </c>
      <c r="J251" s="1">
        <v>0.54500000000000004</v>
      </c>
      <c r="K251">
        <v>83.5</v>
      </c>
      <c r="L251">
        <v>6.5</v>
      </c>
      <c r="M251">
        <v>3.2</v>
      </c>
      <c r="N251">
        <v>3.25</v>
      </c>
      <c r="Q251" s="3">
        <v>0.4513888888888889</v>
      </c>
      <c r="R251">
        <v>2.2999999999999998</v>
      </c>
      <c r="S251">
        <v>1.95</v>
      </c>
      <c r="T251">
        <v>0</v>
      </c>
      <c r="U251">
        <v>0</v>
      </c>
      <c r="V251">
        <v>0</v>
      </c>
      <c r="W251">
        <v>100</v>
      </c>
      <c r="Y251">
        <v>58</v>
      </c>
      <c r="Z251">
        <v>0</v>
      </c>
      <c r="AA251">
        <v>0</v>
      </c>
    </row>
    <row r="252" spans="1:30" x14ac:dyDescent="0.2">
      <c r="A252" t="s">
        <v>385</v>
      </c>
      <c r="C252">
        <v>0</v>
      </c>
      <c r="D252" t="s">
        <v>9</v>
      </c>
      <c r="E252">
        <v>2500</v>
      </c>
      <c r="F252" t="s">
        <v>207</v>
      </c>
      <c r="G252" t="s">
        <v>312</v>
      </c>
      <c r="H252" s="2">
        <v>0.79166666666666663</v>
      </c>
      <c r="I252" t="s">
        <v>313</v>
      </c>
      <c r="J252" s="1">
        <v>0.54500000000000004</v>
      </c>
      <c r="K252">
        <v>83.5</v>
      </c>
      <c r="L252">
        <v>6.5</v>
      </c>
      <c r="M252">
        <v>3.2</v>
      </c>
      <c r="N252">
        <v>3.25</v>
      </c>
      <c r="Q252" s="3">
        <v>0.61041666666666672</v>
      </c>
      <c r="R252">
        <v>4.3</v>
      </c>
      <c r="S252">
        <v>3.64</v>
      </c>
      <c r="T252">
        <v>0</v>
      </c>
      <c r="U252">
        <v>0</v>
      </c>
      <c r="V252">
        <v>0</v>
      </c>
      <c r="W252">
        <v>100</v>
      </c>
      <c r="Y252">
        <v>58</v>
      </c>
      <c r="Z252">
        <v>0</v>
      </c>
      <c r="AA252">
        <v>0</v>
      </c>
    </row>
    <row r="253" spans="1:30" x14ac:dyDescent="0.2">
      <c r="A253" t="s">
        <v>229</v>
      </c>
      <c r="C253">
        <v>0</v>
      </c>
      <c r="D253" t="s">
        <v>9</v>
      </c>
      <c r="E253">
        <v>2500</v>
      </c>
      <c r="F253" t="s">
        <v>207</v>
      </c>
      <c r="G253" t="s">
        <v>312</v>
      </c>
      <c r="H253" s="2">
        <v>0.79166666666666663</v>
      </c>
      <c r="I253" t="s">
        <v>313</v>
      </c>
      <c r="J253" s="1">
        <v>0.54500000000000004</v>
      </c>
      <c r="K253">
        <v>83.5</v>
      </c>
      <c r="L253">
        <v>6.5</v>
      </c>
      <c r="M253">
        <v>3.2</v>
      </c>
      <c r="N253">
        <v>3.25</v>
      </c>
      <c r="Q253" s="3">
        <v>0.38611111111111113</v>
      </c>
      <c r="R253">
        <v>1.6</v>
      </c>
      <c r="S253">
        <v>2.56</v>
      </c>
      <c r="T253">
        <v>0</v>
      </c>
      <c r="U253">
        <v>0</v>
      </c>
      <c r="V253">
        <v>0</v>
      </c>
      <c r="W253">
        <v>100</v>
      </c>
      <c r="Y253">
        <v>20</v>
      </c>
      <c r="Z253">
        <v>0</v>
      </c>
      <c r="AA253">
        <v>0</v>
      </c>
      <c r="AB253" s="3">
        <v>0.36319444444444443</v>
      </c>
      <c r="AC253">
        <v>3</v>
      </c>
      <c r="AD253">
        <v>1.2</v>
      </c>
    </row>
    <row r="254" spans="1:30" x14ac:dyDescent="0.2">
      <c r="A254" t="s">
        <v>386</v>
      </c>
      <c r="C254">
        <v>0</v>
      </c>
      <c r="D254" t="s">
        <v>9</v>
      </c>
      <c r="E254">
        <v>2500</v>
      </c>
      <c r="F254" t="s">
        <v>207</v>
      </c>
      <c r="G254" t="s">
        <v>312</v>
      </c>
      <c r="H254" s="2">
        <v>0.79166666666666663</v>
      </c>
      <c r="I254" t="s">
        <v>313</v>
      </c>
      <c r="J254" s="1">
        <v>0.54500000000000004</v>
      </c>
      <c r="K254">
        <v>83.5</v>
      </c>
      <c r="L254">
        <v>6.5</v>
      </c>
      <c r="M254">
        <v>3.2</v>
      </c>
      <c r="N254">
        <v>3.25</v>
      </c>
      <c r="Q254" s="3">
        <v>0.30277777777777776</v>
      </c>
      <c r="R254">
        <v>3.7</v>
      </c>
      <c r="S254">
        <v>4.17</v>
      </c>
      <c r="T254">
        <v>0</v>
      </c>
      <c r="U254">
        <v>0</v>
      </c>
      <c r="V254">
        <v>0</v>
      </c>
      <c r="W254">
        <v>100</v>
      </c>
      <c r="Y254">
        <v>44</v>
      </c>
      <c r="Z254">
        <v>0</v>
      </c>
      <c r="AA254">
        <v>0</v>
      </c>
    </row>
    <row r="255" spans="1:30" x14ac:dyDescent="0.2">
      <c r="A255" t="s">
        <v>387</v>
      </c>
      <c r="C255">
        <v>0</v>
      </c>
      <c r="D255" t="s">
        <v>9</v>
      </c>
      <c r="E255">
        <v>2500</v>
      </c>
      <c r="F255" t="s">
        <v>200</v>
      </c>
      <c r="G255" t="s">
        <v>309</v>
      </c>
      <c r="H255" s="2">
        <v>0.79166666666666663</v>
      </c>
      <c r="I255" t="s">
        <v>306</v>
      </c>
      <c r="J255" s="1">
        <v>0.45500000000000002</v>
      </c>
      <c r="K255">
        <v>-83.5</v>
      </c>
      <c r="L255">
        <v>6.5</v>
      </c>
      <c r="M255">
        <v>3.25</v>
      </c>
      <c r="N255">
        <v>3.2</v>
      </c>
      <c r="Q255" s="3">
        <v>0.49930555555555556</v>
      </c>
      <c r="R255">
        <v>5.2</v>
      </c>
      <c r="S255">
        <v>5.29</v>
      </c>
      <c r="T255">
        <v>0</v>
      </c>
      <c r="U255">
        <v>0</v>
      </c>
      <c r="V255">
        <v>0</v>
      </c>
      <c r="W255">
        <v>100</v>
      </c>
      <c r="Y255">
        <v>49</v>
      </c>
      <c r="Z255">
        <v>0</v>
      </c>
      <c r="AA255">
        <v>0</v>
      </c>
    </row>
    <row r="256" spans="1:30" x14ac:dyDescent="0.2">
      <c r="A256" t="s">
        <v>388</v>
      </c>
      <c r="C256">
        <v>0</v>
      </c>
      <c r="D256" t="s">
        <v>9</v>
      </c>
      <c r="E256">
        <v>2500</v>
      </c>
      <c r="F256" t="s">
        <v>200</v>
      </c>
      <c r="G256" t="s">
        <v>309</v>
      </c>
      <c r="H256" s="2">
        <v>0.79166666666666663</v>
      </c>
      <c r="I256" t="s">
        <v>306</v>
      </c>
      <c r="J256" s="1">
        <v>0.45500000000000002</v>
      </c>
      <c r="K256">
        <v>-83.5</v>
      </c>
      <c r="L256">
        <v>6.5</v>
      </c>
      <c r="M256">
        <v>3.25</v>
      </c>
      <c r="N256">
        <v>3.2</v>
      </c>
      <c r="Q256" s="3">
        <v>0.50486111111111109</v>
      </c>
      <c r="R256">
        <v>2.9</v>
      </c>
      <c r="S256">
        <v>2.1</v>
      </c>
      <c r="T256">
        <v>0</v>
      </c>
      <c r="U256">
        <v>0</v>
      </c>
      <c r="V256">
        <v>0</v>
      </c>
      <c r="W256">
        <v>100</v>
      </c>
      <c r="Y256">
        <v>64</v>
      </c>
      <c r="Z256">
        <v>0</v>
      </c>
      <c r="AA256">
        <v>0</v>
      </c>
    </row>
    <row r="257" spans="1:30" x14ac:dyDescent="0.2">
      <c r="A257" t="s">
        <v>138</v>
      </c>
      <c r="C257">
        <v>0</v>
      </c>
      <c r="D257" t="s">
        <v>9</v>
      </c>
      <c r="E257">
        <v>2500</v>
      </c>
      <c r="F257" t="s">
        <v>200</v>
      </c>
      <c r="G257" t="s">
        <v>309</v>
      </c>
      <c r="H257" s="2">
        <v>0.79166666666666663</v>
      </c>
      <c r="I257" t="s">
        <v>306</v>
      </c>
      <c r="J257" s="1">
        <v>0.45500000000000002</v>
      </c>
      <c r="K257">
        <v>-83.5</v>
      </c>
      <c r="L257">
        <v>6.5</v>
      </c>
      <c r="M257">
        <v>3.25</v>
      </c>
      <c r="N257">
        <v>3.2</v>
      </c>
      <c r="Q257" s="3">
        <v>0.46597222222222223</v>
      </c>
      <c r="R257">
        <v>5.8</v>
      </c>
      <c r="S257">
        <v>4.96</v>
      </c>
      <c r="T257">
        <v>0</v>
      </c>
      <c r="U257">
        <v>0</v>
      </c>
      <c r="V257">
        <v>0</v>
      </c>
      <c r="W257">
        <v>100</v>
      </c>
      <c r="Y257">
        <v>57</v>
      </c>
      <c r="Z257">
        <v>0</v>
      </c>
      <c r="AA257">
        <v>0</v>
      </c>
    </row>
    <row r="258" spans="1:30" x14ac:dyDescent="0.2">
      <c r="A258" t="s">
        <v>389</v>
      </c>
      <c r="C258">
        <v>0</v>
      </c>
      <c r="D258" t="s">
        <v>5</v>
      </c>
      <c r="E258">
        <v>2500</v>
      </c>
      <c r="F258" t="s">
        <v>207</v>
      </c>
      <c r="G258" t="s">
        <v>312</v>
      </c>
      <c r="H258" s="2">
        <v>0.79166666666666663</v>
      </c>
      <c r="I258" t="s">
        <v>313</v>
      </c>
      <c r="J258" s="1">
        <v>0.54500000000000004</v>
      </c>
      <c r="K258">
        <v>83.5</v>
      </c>
      <c r="L258">
        <v>6.5</v>
      </c>
      <c r="M258">
        <v>3.2</v>
      </c>
      <c r="N258">
        <v>3.25</v>
      </c>
      <c r="Q258" s="3">
        <v>0.29930555555555555</v>
      </c>
      <c r="R258">
        <v>1.4</v>
      </c>
      <c r="S258">
        <v>1.4</v>
      </c>
      <c r="T258">
        <v>0</v>
      </c>
      <c r="U258">
        <v>0</v>
      </c>
      <c r="V258">
        <v>0</v>
      </c>
      <c r="W258">
        <v>100</v>
      </c>
      <c r="Y258">
        <v>0</v>
      </c>
      <c r="Z258">
        <v>0</v>
      </c>
      <c r="AA258">
        <v>0</v>
      </c>
    </row>
    <row r="259" spans="1:30" x14ac:dyDescent="0.2">
      <c r="A259" t="s">
        <v>390</v>
      </c>
      <c r="C259">
        <v>0</v>
      </c>
      <c r="D259" t="s">
        <v>5</v>
      </c>
      <c r="E259">
        <v>2500</v>
      </c>
      <c r="F259" t="s">
        <v>207</v>
      </c>
      <c r="G259" t="s">
        <v>312</v>
      </c>
      <c r="H259" s="2">
        <v>0.79166666666666663</v>
      </c>
      <c r="I259" t="s">
        <v>313</v>
      </c>
      <c r="J259" s="1">
        <v>0.54500000000000004</v>
      </c>
      <c r="K259">
        <v>83.5</v>
      </c>
      <c r="L259">
        <v>6.5</v>
      </c>
      <c r="M259">
        <v>3.2</v>
      </c>
      <c r="N259">
        <v>3.25</v>
      </c>
      <c r="Q259" s="3">
        <v>0.40347222222222223</v>
      </c>
      <c r="R259">
        <v>3.6</v>
      </c>
      <c r="S259">
        <v>3.99</v>
      </c>
      <c r="T259">
        <v>0</v>
      </c>
      <c r="U259">
        <v>0</v>
      </c>
      <c r="V259">
        <v>0</v>
      </c>
      <c r="W259">
        <v>100</v>
      </c>
      <c r="Y259">
        <v>45</v>
      </c>
      <c r="Z259">
        <v>0</v>
      </c>
      <c r="AA259">
        <v>0</v>
      </c>
    </row>
    <row r="260" spans="1:30" x14ac:dyDescent="0.2">
      <c r="A260" t="s">
        <v>252</v>
      </c>
      <c r="C260">
        <v>0</v>
      </c>
      <c r="D260" t="s">
        <v>12</v>
      </c>
      <c r="E260">
        <v>2500</v>
      </c>
      <c r="F260" t="s">
        <v>206</v>
      </c>
      <c r="G260" t="s">
        <v>314</v>
      </c>
      <c r="H260" s="2">
        <v>0.79166666666666663</v>
      </c>
      <c r="I260" t="s">
        <v>313</v>
      </c>
      <c r="J260" s="1">
        <v>0.56699999999999995</v>
      </c>
      <c r="K260">
        <v>76.5</v>
      </c>
      <c r="L260">
        <v>6</v>
      </c>
      <c r="M260">
        <v>3</v>
      </c>
      <c r="N260">
        <v>3.09</v>
      </c>
      <c r="Q260" s="3">
        <v>0.48055555555555557</v>
      </c>
      <c r="R260">
        <v>2.8</v>
      </c>
      <c r="S260">
        <v>4.5999999999999996</v>
      </c>
      <c r="T260">
        <v>0</v>
      </c>
      <c r="U260">
        <v>0</v>
      </c>
      <c r="V260">
        <v>0</v>
      </c>
      <c r="W260">
        <v>100</v>
      </c>
      <c r="Y260">
        <v>18</v>
      </c>
      <c r="Z260">
        <v>0</v>
      </c>
      <c r="AA260">
        <v>0</v>
      </c>
    </row>
    <row r="261" spans="1:30" x14ac:dyDescent="0.2">
      <c r="A261" t="s">
        <v>246</v>
      </c>
      <c r="C261">
        <v>0</v>
      </c>
      <c r="D261" t="s">
        <v>12</v>
      </c>
      <c r="E261">
        <v>2500</v>
      </c>
      <c r="F261" t="s">
        <v>206</v>
      </c>
      <c r="G261" t="s">
        <v>314</v>
      </c>
      <c r="H261" s="2">
        <v>0.79166666666666663</v>
      </c>
      <c r="I261" t="s">
        <v>313</v>
      </c>
      <c r="J261" s="1">
        <v>0.56699999999999995</v>
      </c>
      <c r="K261">
        <v>76.5</v>
      </c>
      <c r="L261">
        <v>6</v>
      </c>
      <c r="M261">
        <v>3</v>
      </c>
      <c r="N261">
        <v>3.09</v>
      </c>
      <c r="Q261" s="3">
        <v>0.4777777777777778</v>
      </c>
      <c r="R261">
        <v>4</v>
      </c>
      <c r="S261">
        <v>3.07</v>
      </c>
      <c r="T261">
        <v>0</v>
      </c>
      <c r="U261">
        <v>0</v>
      </c>
      <c r="V261">
        <v>0</v>
      </c>
      <c r="W261">
        <v>100</v>
      </c>
      <c r="Y261">
        <v>62</v>
      </c>
      <c r="Z261">
        <v>0</v>
      </c>
      <c r="AA261">
        <v>0</v>
      </c>
    </row>
    <row r="262" spans="1:30" x14ac:dyDescent="0.2">
      <c r="A262" t="s">
        <v>391</v>
      </c>
      <c r="C262">
        <v>0</v>
      </c>
      <c r="D262" t="s">
        <v>12</v>
      </c>
      <c r="E262">
        <v>2500</v>
      </c>
      <c r="F262" t="s">
        <v>206</v>
      </c>
      <c r="G262" t="s">
        <v>314</v>
      </c>
      <c r="H262" s="2">
        <v>0.79166666666666663</v>
      </c>
      <c r="I262" t="s">
        <v>313</v>
      </c>
      <c r="J262" s="1">
        <v>0.56699999999999995</v>
      </c>
      <c r="K262">
        <v>76.5</v>
      </c>
      <c r="L262">
        <v>6</v>
      </c>
      <c r="M262">
        <v>3</v>
      </c>
      <c r="N262">
        <v>3.09</v>
      </c>
      <c r="Q262" s="3">
        <v>0.57222222222222219</v>
      </c>
      <c r="R262">
        <v>4.5999999999999996</v>
      </c>
      <c r="S262">
        <v>2.92</v>
      </c>
      <c r="T262">
        <v>0</v>
      </c>
      <c r="U262">
        <v>0</v>
      </c>
      <c r="V262">
        <v>0</v>
      </c>
      <c r="W262">
        <v>100</v>
      </c>
      <c r="Y262">
        <v>68</v>
      </c>
      <c r="Z262">
        <v>0</v>
      </c>
      <c r="AA262">
        <v>0</v>
      </c>
    </row>
    <row r="263" spans="1:30" x14ac:dyDescent="0.2">
      <c r="A263" t="s">
        <v>392</v>
      </c>
      <c r="C263">
        <v>0</v>
      </c>
      <c r="D263" t="s">
        <v>12</v>
      </c>
      <c r="E263">
        <v>2500</v>
      </c>
      <c r="F263" t="s">
        <v>206</v>
      </c>
      <c r="G263" t="s">
        <v>314</v>
      </c>
      <c r="H263" s="2">
        <v>0.79166666666666663</v>
      </c>
      <c r="I263" t="s">
        <v>313</v>
      </c>
      <c r="J263" s="1">
        <v>0.56699999999999995</v>
      </c>
      <c r="K263">
        <v>76.5</v>
      </c>
      <c r="L263">
        <v>6</v>
      </c>
      <c r="M263">
        <v>3</v>
      </c>
      <c r="N263">
        <v>3.09</v>
      </c>
      <c r="Q263" s="3">
        <v>0.80694444444444446</v>
      </c>
      <c r="R263">
        <v>5.7</v>
      </c>
      <c r="S263">
        <v>3.68</v>
      </c>
      <c r="T263">
        <v>0</v>
      </c>
      <c r="U263">
        <v>0</v>
      </c>
      <c r="V263">
        <v>0</v>
      </c>
      <c r="W263">
        <v>100</v>
      </c>
      <c r="Y263">
        <v>68</v>
      </c>
      <c r="Z263">
        <v>0</v>
      </c>
      <c r="AA263">
        <v>0</v>
      </c>
    </row>
    <row r="264" spans="1:30" x14ac:dyDescent="0.2">
      <c r="A264" t="s">
        <v>262</v>
      </c>
      <c r="C264">
        <v>0</v>
      </c>
      <c r="D264" t="s">
        <v>12</v>
      </c>
      <c r="E264">
        <v>2500</v>
      </c>
      <c r="F264" t="s">
        <v>214</v>
      </c>
      <c r="G264" t="s">
        <v>322</v>
      </c>
      <c r="H264" s="2">
        <v>0.79166666666666663</v>
      </c>
      <c r="I264" t="s">
        <v>306</v>
      </c>
      <c r="J264" s="1">
        <v>0.433</v>
      </c>
      <c r="K264">
        <v>-76.5</v>
      </c>
      <c r="L264">
        <v>6</v>
      </c>
      <c r="M264">
        <v>3.09</v>
      </c>
      <c r="N264">
        <v>3</v>
      </c>
      <c r="Q264" s="3">
        <v>0.64097222222222228</v>
      </c>
      <c r="R264">
        <v>2.6</v>
      </c>
      <c r="S264">
        <v>1.67</v>
      </c>
      <c r="T264">
        <v>0</v>
      </c>
      <c r="U264">
        <v>0</v>
      </c>
      <c r="V264">
        <v>0</v>
      </c>
      <c r="W264">
        <v>100</v>
      </c>
      <c r="Y264">
        <v>68</v>
      </c>
      <c r="Z264">
        <v>0</v>
      </c>
      <c r="AA264">
        <v>0</v>
      </c>
    </row>
    <row r="265" spans="1:30" x14ac:dyDescent="0.2">
      <c r="A265" t="s">
        <v>393</v>
      </c>
      <c r="C265">
        <v>0</v>
      </c>
      <c r="D265" t="s">
        <v>12</v>
      </c>
      <c r="E265">
        <v>2500</v>
      </c>
      <c r="F265" t="s">
        <v>214</v>
      </c>
      <c r="G265" t="s">
        <v>322</v>
      </c>
      <c r="H265" s="2">
        <v>0.79166666666666663</v>
      </c>
      <c r="I265" t="s">
        <v>306</v>
      </c>
      <c r="J265" s="1">
        <v>0.433</v>
      </c>
      <c r="K265">
        <v>-76.5</v>
      </c>
      <c r="L265">
        <v>6</v>
      </c>
      <c r="M265">
        <v>3.09</v>
      </c>
      <c r="N265">
        <v>3</v>
      </c>
      <c r="Q265" s="3">
        <v>0.625</v>
      </c>
      <c r="R265">
        <v>1.4</v>
      </c>
      <c r="S265">
        <v>0.09</v>
      </c>
      <c r="T265">
        <v>0</v>
      </c>
      <c r="U265">
        <v>0</v>
      </c>
      <c r="V265">
        <v>0</v>
      </c>
      <c r="W265">
        <v>100</v>
      </c>
      <c r="Y265">
        <v>97</v>
      </c>
      <c r="Z265">
        <v>0</v>
      </c>
      <c r="AA265">
        <v>0</v>
      </c>
    </row>
    <row r="266" spans="1:30" x14ac:dyDescent="0.2">
      <c r="A266" t="s">
        <v>394</v>
      </c>
      <c r="C266">
        <v>0</v>
      </c>
      <c r="D266" t="s">
        <v>12</v>
      </c>
      <c r="E266">
        <v>2500</v>
      </c>
      <c r="F266" t="s">
        <v>214</v>
      </c>
      <c r="G266" t="s">
        <v>322</v>
      </c>
      <c r="H266" s="2">
        <v>0.79166666666666663</v>
      </c>
      <c r="I266" t="s">
        <v>306</v>
      </c>
      <c r="J266" s="1">
        <v>0.433</v>
      </c>
      <c r="K266">
        <v>-76.5</v>
      </c>
      <c r="L266">
        <v>6</v>
      </c>
      <c r="M266">
        <v>3.09</v>
      </c>
      <c r="N266">
        <v>3</v>
      </c>
      <c r="T266">
        <v>0</v>
      </c>
      <c r="U266">
        <v>0</v>
      </c>
      <c r="V266">
        <v>0</v>
      </c>
      <c r="W266">
        <v>100</v>
      </c>
      <c r="Y266">
        <v>0</v>
      </c>
      <c r="Z266">
        <v>0</v>
      </c>
      <c r="AA266">
        <v>0</v>
      </c>
    </row>
    <row r="267" spans="1:30" x14ac:dyDescent="0.2">
      <c r="A267" t="s">
        <v>250</v>
      </c>
      <c r="C267">
        <v>0</v>
      </c>
      <c r="D267" t="s">
        <v>12</v>
      </c>
      <c r="E267">
        <v>2500</v>
      </c>
      <c r="F267" t="s">
        <v>214</v>
      </c>
      <c r="G267" t="s">
        <v>322</v>
      </c>
      <c r="H267" s="2">
        <v>0.79166666666666663</v>
      </c>
      <c r="I267" t="s">
        <v>306</v>
      </c>
      <c r="J267" s="1">
        <v>0.433</v>
      </c>
      <c r="K267">
        <v>-76.5</v>
      </c>
      <c r="L267">
        <v>6</v>
      </c>
      <c r="M267">
        <v>3.09</v>
      </c>
      <c r="N267">
        <v>3</v>
      </c>
      <c r="Q267" s="3">
        <v>0.58402777777777781</v>
      </c>
      <c r="R267">
        <v>3.2</v>
      </c>
      <c r="S267">
        <v>3.29</v>
      </c>
      <c r="T267">
        <v>0</v>
      </c>
      <c r="U267">
        <v>0</v>
      </c>
      <c r="V267">
        <v>0</v>
      </c>
      <c r="W267">
        <v>100</v>
      </c>
      <c r="Y267">
        <v>49</v>
      </c>
      <c r="Z267">
        <v>0</v>
      </c>
      <c r="AA267">
        <v>0</v>
      </c>
    </row>
    <row r="268" spans="1:30" x14ac:dyDescent="0.2">
      <c r="A268" t="s">
        <v>395</v>
      </c>
      <c r="C268">
        <v>0</v>
      </c>
      <c r="D268" t="s">
        <v>9</v>
      </c>
      <c r="E268">
        <v>2500</v>
      </c>
      <c r="F268" t="s">
        <v>206</v>
      </c>
      <c r="G268" t="s">
        <v>314</v>
      </c>
      <c r="H268" s="2">
        <v>0.79166666666666663</v>
      </c>
      <c r="I268" t="s">
        <v>313</v>
      </c>
      <c r="J268" s="1">
        <v>0.56699999999999995</v>
      </c>
      <c r="K268">
        <v>76.5</v>
      </c>
      <c r="L268">
        <v>6</v>
      </c>
      <c r="M268">
        <v>3</v>
      </c>
      <c r="N268">
        <v>3.09</v>
      </c>
      <c r="Q268" s="3">
        <v>0.77638888888888891</v>
      </c>
      <c r="R268">
        <v>9.5</v>
      </c>
      <c r="S268">
        <v>5.73</v>
      </c>
      <c r="T268">
        <v>0</v>
      </c>
      <c r="U268">
        <v>0</v>
      </c>
      <c r="V268">
        <v>0</v>
      </c>
      <c r="W268">
        <v>100</v>
      </c>
      <c r="Y268">
        <v>70</v>
      </c>
      <c r="Z268">
        <v>0</v>
      </c>
      <c r="AA268">
        <v>0</v>
      </c>
    </row>
    <row r="269" spans="1:30" x14ac:dyDescent="0.2">
      <c r="A269" t="s">
        <v>396</v>
      </c>
      <c r="C269">
        <v>0</v>
      </c>
      <c r="D269" t="s">
        <v>9</v>
      </c>
      <c r="E269">
        <v>2500</v>
      </c>
      <c r="F269" t="s">
        <v>206</v>
      </c>
      <c r="G269" t="s">
        <v>314</v>
      </c>
      <c r="H269" s="2">
        <v>0.79166666666666663</v>
      </c>
      <c r="I269" t="s">
        <v>313</v>
      </c>
      <c r="J269" s="1">
        <v>0.56699999999999995</v>
      </c>
      <c r="K269">
        <v>76.5</v>
      </c>
      <c r="L269">
        <v>6</v>
      </c>
      <c r="M269">
        <v>3</v>
      </c>
      <c r="N269">
        <v>3.09</v>
      </c>
      <c r="T269">
        <v>0</v>
      </c>
      <c r="U269">
        <v>0</v>
      </c>
      <c r="V269">
        <v>0</v>
      </c>
      <c r="W269">
        <v>100</v>
      </c>
      <c r="Y269">
        <v>0</v>
      </c>
      <c r="Z269">
        <v>0</v>
      </c>
      <c r="AA269">
        <v>0</v>
      </c>
    </row>
    <row r="270" spans="1:30" x14ac:dyDescent="0.2">
      <c r="A270" t="s">
        <v>149</v>
      </c>
      <c r="C270">
        <v>0</v>
      </c>
      <c r="D270" t="s">
        <v>9</v>
      </c>
      <c r="E270">
        <v>2500</v>
      </c>
      <c r="F270" t="s">
        <v>206</v>
      </c>
      <c r="G270" t="s">
        <v>314</v>
      </c>
      <c r="H270" s="2">
        <v>0.79166666666666663</v>
      </c>
      <c r="I270" t="s">
        <v>313</v>
      </c>
      <c r="J270" s="1">
        <v>0.56699999999999995</v>
      </c>
      <c r="K270">
        <v>76.5</v>
      </c>
      <c r="L270">
        <v>6</v>
      </c>
      <c r="M270">
        <v>3</v>
      </c>
      <c r="N270">
        <v>3.09</v>
      </c>
      <c r="Q270" s="3">
        <v>0.41319444444444442</v>
      </c>
      <c r="R270">
        <v>2.2000000000000002</v>
      </c>
      <c r="S270">
        <v>3.04</v>
      </c>
      <c r="T270">
        <v>0</v>
      </c>
      <c r="U270">
        <v>0</v>
      </c>
      <c r="V270">
        <v>0</v>
      </c>
      <c r="W270">
        <v>100</v>
      </c>
      <c r="Y270">
        <v>31</v>
      </c>
      <c r="Z270">
        <v>0</v>
      </c>
      <c r="AA270">
        <v>0</v>
      </c>
      <c r="AB270" s="3">
        <v>0.41944444444444445</v>
      </c>
      <c r="AC270">
        <v>6.5</v>
      </c>
      <c r="AD270">
        <v>2.6</v>
      </c>
    </row>
    <row r="271" spans="1:30" x14ac:dyDescent="0.2">
      <c r="A271" t="s">
        <v>267</v>
      </c>
      <c r="C271">
        <v>0</v>
      </c>
      <c r="D271" t="s">
        <v>9</v>
      </c>
      <c r="E271">
        <v>2500</v>
      </c>
      <c r="F271" t="s">
        <v>214</v>
      </c>
      <c r="G271" t="s">
        <v>322</v>
      </c>
      <c r="H271" s="2">
        <v>0.79166666666666663</v>
      </c>
      <c r="I271" t="s">
        <v>306</v>
      </c>
      <c r="J271" s="1">
        <v>0.433</v>
      </c>
      <c r="K271">
        <v>-76.5</v>
      </c>
      <c r="L271">
        <v>6</v>
      </c>
      <c r="M271">
        <v>3.09</v>
      </c>
      <c r="N271">
        <v>3</v>
      </c>
      <c r="Q271" s="3">
        <v>0.42986111111111114</v>
      </c>
      <c r="R271">
        <v>2</v>
      </c>
      <c r="S271">
        <v>2.66</v>
      </c>
      <c r="T271">
        <v>0</v>
      </c>
      <c r="U271">
        <v>0</v>
      </c>
      <c r="V271">
        <v>0</v>
      </c>
      <c r="W271">
        <v>100</v>
      </c>
      <c r="Y271">
        <v>34</v>
      </c>
      <c r="Z271">
        <v>0</v>
      </c>
      <c r="AA271">
        <v>0</v>
      </c>
    </row>
    <row r="272" spans="1:30" x14ac:dyDescent="0.2">
      <c r="A272" t="s">
        <v>397</v>
      </c>
      <c r="C272">
        <v>0</v>
      </c>
      <c r="D272" t="s">
        <v>5</v>
      </c>
      <c r="E272">
        <v>2500</v>
      </c>
      <c r="F272" t="s">
        <v>214</v>
      </c>
      <c r="G272" t="s">
        <v>322</v>
      </c>
      <c r="H272" s="2">
        <v>0.79166666666666663</v>
      </c>
      <c r="I272" t="s">
        <v>306</v>
      </c>
      <c r="J272" s="1">
        <v>0.433</v>
      </c>
      <c r="K272">
        <v>-76.5</v>
      </c>
      <c r="L272">
        <v>6</v>
      </c>
      <c r="M272">
        <v>3.09</v>
      </c>
      <c r="N272">
        <v>3</v>
      </c>
      <c r="Q272" s="3">
        <v>0.36527777777777776</v>
      </c>
      <c r="R272">
        <v>1.9</v>
      </c>
      <c r="S272">
        <v>1.37</v>
      </c>
      <c r="T272">
        <v>0</v>
      </c>
      <c r="U272">
        <v>0</v>
      </c>
      <c r="V272">
        <v>0</v>
      </c>
      <c r="W272">
        <v>100</v>
      </c>
      <c r="Y272">
        <v>64</v>
      </c>
      <c r="Z272">
        <v>0</v>
      </c>
      <c r="AA272">
        <v>0</v>
      </c>
    </row>
    <row r="273" spans="1:27" x14ac:dyDescent="0.2">
      <c r="A273" t="s">
        <v>398</v>
      </c>
      <c r="C273">
        <v>0</v>
      </c>
      <c r="D273" t="s">
        <v>5</v>
      </c>
      <c r="E273">
        <v>2500</v>
      </c>
      <c r="F273" t="s">
        <v>214</v>
      </c>
      <c r="G273" t="s">
        <v>322</v>
      </c>
      <c r="H273" s="2">
        <v>0.79166666666666663</v>
      </c>
      <c r="I273" t="s">
        <v>306</v>
      </c>
      <c r="J273" s="1">
        <v>0.433</v>
      </c>
      <c r="K273">
        <v>-76.5</v>
      </c>
      <c r="L273">
        <v>6</v>
      </c>
      <c r="M273">
        <v>3.09</v>
      </c>
      <c r="N273">
        <v>3</v>
      </c>
      <c r="Q273" s="3">
        <v>0.39305555555555555</v>
      </c>
      <c r="R273">
        <v>2.4</v>
      </c>
      <c r="S273">
        <v>2.2200000000000002</v>
      </c>
      <c r="T273">
        <v>0</v>
      </c>
      <c r="U273">
        <v>0</v>
      </c>
      <c r="V273">
        <v>0</v>
      </c>
      <c r="W273">
        <v>100</v>
      </c>
      <c r="Y273">
        <v>54</v>
      </c>
      <c r="Z273">
        <v>0</v>
      </c>
      <c r="AA273">
        <v>0</v>
      </c>
    </row>
    <row r="274" spans="1:27" x14ac:dyDescent="0.2">
      <c r="A274" t="s">
        <v>399</v>
      </c>
      <c r="C274">
        <v>0</v>
      </c>
      <c r="D274" t="s">
        <v>5</v>
      </c>
      <c r="E274">
        <v>2500</v>
      </c>
      <c r="F274" t="s">
        <v>214</v>
      </c>
      <c r="G274" t="s">
        <v>322</v>
      </c>
      <c r="H274" s="2">
        <v>0.79166666666666663</v>
      </c>
      <c r="I274" t="s">
        <v>306</v>
      </c>
      <c r="J274" s="1">
        <v>0.433</v>
      </c>
      <c r="K274">
        <v>-76.5</v>
      </c>
      <c r="L274">
        <v>6</v>
      </c>
      <c r="M274">
        <v>3.09</v>
      </c>
      <c r="N274">
        <v>3</v>
      </c>
      <c r="Q274" s="3">
        <v>0.43680555555555556</v>
      </c>
      <c r="R274">
        <v>3.6</v>
      </c>
      <c r="S274">
        <v>3.78</v>
      </c>
      <c r="T274">
        <v>0</v>
      </c>
      <c r="U274">
        <v>0</v>
      </c>
      <c r="V274">
        <v>0</v>
      </c>
      <c r="W274">
        <v>100</v>
      </c>
      <c r="Y274">
        <v>48</v>
      </c>
      <c r="Z274">
        <v>0</v>
      </c>
      <c r="AA274">
        <v>0</v>
      </c>
    </row>
    <row r="275" spans="1:27" x14ac:dyDescent="0.2">
      <c r="A275" t="s">
        <v>269</v>
      </c>
      <c r="C275">
        <v>0</v>
      </c>
      <c r="D275" t="s">
        <v>5</v>
      </c>
      <c r="E275">
        <v>2500</v>
      </c>
      <c r="F275" t="s">
        <v>214</v>
      </c>
      <c r="G275" t="s">
        <v>322</v>
      </c>
      <c r="H275" s="2">
        <v>0.79166666666666663</v>
      </c>
      <c r="I275" t="s">
        <v>306</v>
      </c>
      <c r="J275" s="1">
        <v>0.433</v>
      </c>
      <c r="K275">
        <v>-76.5</v>
      </c>
      <c r="L275">
        <v>6</v>
      </c>
      <c r="M275">
        <v>3.09</v>
      </c>
      <c r="N275">
        <v>3</v>
      </c>
      <c r="Q275" s="3">
        <v>0.34236111111111112</v>
      </c>
      <c r="R275">
        <v>1.1000000000000001</v>
      </c>
      <c r="S275">
        <v>1.1200000000000001</v>
      </c>
      <c r="T275">
        <v>0</v>
      </c>
      <c r="U275">
        <v>0</v>
      </c>
      <c r="V275">
        <v>0</v>
      </c>
      <c r="W275">
        <v>100</v>
      </c>
      <c r="Y275">
        <v>49</v>
      </c>
      <c r="Z275">
        <v>0</v>
      </c>
      <c r="AA275">
        <v>0</v>
      </c>
    </row>
    <row r="276" spans="1:27" x14ac:dyDescent="0.2">
      <c r="A276" t="s">
        <v>400</v>
      </c>
      <c r="C276">
        <v>0</v>
      </c>
      <c r="D276" t="s">
        <v>12</v>
      </c>
      <c r="E276">
        <v>2500</v>
      </c>
      <c r="F276" t="s">
        <v>319</v>
      </c>
      <c r="G276" t="s">
        <v>320</v>
      </c>
      <c r="H276" s="2">
        <v>0.79166666666666663</v>
      </c>
      <c r="I276" t="s">
        <v>313</v>
      </c>
      <c r="J276" s="1">
        <v>0.57999999999999996</v>
      </c>
      <c r="K276">
        <v>72.5</v>
      </c>
      <c r="L276">
        <v>6</v>
      </c>
      <c r="M276">
        <v>3</v>
      </c>
      <c r="N276">
        <v>3.06</v>
      </c>
      <c r="T276">
        <v>0</v>
      </c>
      <c r="U276">
        <v>0</v>
      </c>
      <c r="V276">
        <v>0</v>
      </c>
      <c r="W276">
        <v>100</v>
      </c>
      <c r="Y276">
        <v>0</v>
      </c>
      <c r="Z276">
        <v>0</v>
      </c>
      <c r="AA276">
        <v>0</v>
      </c>
    </row>
    <row r="277" spans="1:27" x14ac:dyDescent="0.2">
      <c r="A277" t="s">
        <v>401</v>
      </c>
      <c r="C277">
        <v>0</v>
      </c>
      <c r="D277" t="s">
        <v>12</v>
      </c>
      <c r="E277">
        <v>2500</v>
      </c>
      <c r="F277" t="s">
        <v>319</v>
      </c>
      <c r="G277" t="s">
        <v>320</v>
      </c>
      <c r="H277" s="2">
        <v>0.79166666666666663</v>
      </c>
      <c r="I277" t="s">
        <v>313</v>
      </c>
      <c r="J277" s="1">
        <v>0.57999999999999996</v>
      </c>
      <c r="K277">
        <v>72.5</v>
      </c>
      <c r="L277">
        <v>6</v>
      </c>
      <c r="M277">
        <v>3</v>
      </c>
      <c r="N277">
        <v>3.06</v>
      </c>
      <c r="Q277" s="3">
        <v>0.39930555555555558</v>
      </c>
      <c r="R277">
        <v>1.4</v>
      </c>
      <c r="S277">
        <v>1.7</v>
      </c>
      <c r="T277">
        <v>0</v>
      </c>
      <c r="U277">
        <v>0</v>
      </c>
      <c r="V277">
        <v>0</v>
      </c>
      <c r="W277">
        <v>100</v>
      </c>
      <c r="Y277">
        <v>39</v>
      </c>
      <c r="Z277">
        <v>0</v>
      </c>
      <c r="AA277">
        <v>0</v>
      </c>
    </row>
    <row r="278" spans="1:27" x14ac:dyDescent="0.2">
      <c r="A278" t="s">
        <v>402</v>
      </c>
      <c r="C278">
        <v>0</v>
      </c>
      <c r="D278" t="s">
        <v>12</v>
      </c>
      <c r="E278">
        <v>2500</v>
      </c>
      <c r="F278" t="s">
        <v>310</v>
      </c>
      <c r="G278" t="s">
        <v>311</v>
      </c>
      <c r="H278" s="2">
        <v>0.79166666666666663</v>
      </c>
      <c r="I278" t="s">
        <v>306</v>
      </c>
      <c r="J278" s="1">
        <v>0.42</v>
      </c>
      <c r="K278">
        <v>-72.5</v>
      </c>
      <c r="L278">
        <v>6</v>
      </c>
      <c r="M278">
        <v>3.06</v>
      </c>
      <c r="N278">
        <v>3</v>
      </c>
      <c r="Q278" s="3">
        <v>0.35</v>
      </c>
      <c r="R278">
        <v>4.5999999999999996</v>
      </c>
      <c r="S278">
        <v>2.57</v>
      </c>
      <c r="T278">
        <v>0</v>
      </c>
      <c r="U278">
        <v>0</v>
      </c>
      <c r="V278">
        <v>0</v>
      </c>
      <c r="W278">
        <v>100</v>
      </c>
      <c r="Y278">
        <v>72</v>
      </c>
      <c r="Z278">
        <v>0</v>
      </c>
      <c r="AA278">
        <v>0</v>
      </c>
    </row>
    <row r="279" spans="1:27" x14ac:dyDescent="0.2">
      <c r="A279" t="s">
        <v>403</v>
      </c>
      <c r="C279">
        <v>0</v>
      </c>
      <c r="D279" t="s">
        <v>12</v>
      </c>
      <c r="E279">
        <v>2500</v>
      </c>
      <c r="F279" t="s">
        <v>310</v>
      </c>
      <c r="G279" t="s">
        <v>311</v>
      </c>
      <c r="H279" s="2">
        <v>0.79166666666666663</v>
      </c>
      <c r="I279" t="s">
        <v>306</v>
      </c>
      <c r="J279" s="1">
        <v>0.42</v>
      </c>
      <c r="K279">
        <v>-72.5</v>
      </c>
      <c r="L279">
        <v>6</v>
      </c>
      <c r="M279">
        <v>3.06</v>
      </c>
      <c r="N279">
        <v>3</v>
      </c>
      <c r="Q279" s="3">
        <v>0.46319444444444446</v>
      </c>
      <c r="R279">
        <v>2.8</v>
      </c>
      <c r="S279">
        <v>2.64</v>
      </c>
      <c r="T279">
        <v>0</v>
      </c>
      <c r="U279">
        <v>0</v>
      </c>
      <c r="V279">
        <v>0</v>
      </c>
      <c r="W279">
        <v>100</v>
      </c>
      <c r="Y279">
        <v>53</v>
      </c>
      <c r="Z279">
        <v>0</v>
      </c>
      <c r="AA279">
        <v>0</v>
      </c>
    </row>
    <row r="280" spans="1:27" x14ac:dyDescent="0.2">
      <c r="A280" t="s">
        <v>404</v>
      </c>
      <c r="C280">
        <v>0</v>
      </c>
      <c r="D280" t="s">
        <v>12</v>
      </c>
      <c r="E280">
        <v>2500</v>
      </c>
      <c r="F280" t="s">
        <v>310</v>
      </c>
      <c r="G280" t="s">
        <v>311</v>
      </c>
      <c r="H280" s="2">
        <v>0.79166666666666663</v>
      </c>
      <c r="I280" t="s">
        <v>306</v>
      </c>
      <c r="J280" s="1">
        <v>0.42</v>
      </c>
      <c r="K280">
        <v>-72.5</v>
      </c>
      <c r="L280">
        <v>6</v>
      </c>
      <c r="M280">
        <v>3.06</v>
      </c>
      <c r="N280">
        <v>3</v>
      </c>
      <c r="Q280" s="3">
        <v>0.43402777777777779</v>
      </c>
      <c r="R280">
        <v>2.1</v>
      </c>
      <c r="S280">
        <v>2.73</v>
      </c>
      <c r="T280">
        <v>0</v>
      </c>
      <c r="U280">
        <v>0</v>
      </c>
      <c r="V280">
        <v>0</v>
      </c>
      <c r="W280">
        <v>100</v>
      </c>
      <c r="Y280">
        <v>35</v>
      </c>
      <c r="Z280">
        <v>0</v>
      </c>
      <c r="AA280">
        <v>0</v>
      </c>
    </row>
    <row r="281" spans="1:27" x14ac:dyDescent="0.2">
      <c r="A281" t="s">
        <v>405</v>
      </c>
      <c r="C281">
        <v>0</v>
      </c>
      <c r="D281" t="s">
        <v>9</v>
      </c>
      <c r="E281">
        <v>2500</v>
      </c>
      <c r="F281" t="s">
        <v>319</v>
      </c>
      <c r="G281" t="s">
        <v>320</v>
      </c>
      <c r="H281" s="2">
        <v>0.79166666666666663</v>
      </c>
      <c r="I281" t="s">
        <v>313</v>
      </c>
      <c r="J281" s="1">
        <v>0.57999999999999996</v>
      </c>
      <c r="K281">
        <v>72.5</v>
      </c>
      <c r="L281">
        <v>6</v>
      </c>
      <c r="M281">
        <v>3</v>
      </c>
      <c r="N281">
        <v>3.06</v>
      </c>
      <c r="Q281" s="3">
        <v>0.42777777777777776</v>
      </c>
      <c r="R281">
        <v>3.6</v>
      </c>
      <c r="S281">
        <v>3.24</v>
      </c>
      <c r="T281">
        <v>0</v>
      </c>
      <c r="U281">
        <v>0</v>
      </c>
      <c r="V281">
        <v>0</v>
      </c>
      <c r="W281">
        <v>100</v>
      </c>
      <c r="Y281">
        <v>55</v>
      </c>
      <c r="Z281">
        <v>0</v>
      </c>
      <c r="AA281">
        <v>0</v>
      </c>
    </row>
    <row r="282" spans="1:27" x14ac:dyDescent="0.2">
      <c r="A282" t="s">
        <v>406</v>
      </c>
      <c r="C282">
        <v>0</v>
      </c>
      <c r="D282" t="s">
        <v>9</v>
      </c>
      <c r="E282">
        <v>2500</v>
      </c>
      <c r="F282" t="s">
        <v>310</v>
      </c>
      <c r="G282" t="s">
        <v>311</v>
      </c>
      <c r="H282" s="2">
        <v>0.79166666666666663</v>
      </c>
      <c r="I282" t="s">
        <v>306</v>
      </c>
      <c r="J282" s="1">
        <v>0.42</v>
      </c>
      <c r="K282">
        <v>-72.5</v>
      </c>
      <c r="L282">
        <v>6</v>
      </c>
      <c r="M282">
        <v>3.06</v>
      </c>
      <c r="N282">
        <v>3</v>
      </c>
      <c r="Q282" s="3">
        <v>0.36527777777777776</v>
      </c>
      <c r="R282">
        <v>2.9</v>
      </c>
      <c r="S282">
        <v>2.98</v>
      </c>
      <c r="T282">
        <v>0</v>
      </c>
      <c r="U282">
        <v>0</v>
      </c>
      <c r="V282">
        <v>0</v>
      </c>
      <c r="W282">
        <v>100</v>
      </c>
      <c r="Y282">
        <v>49</v>
      </c>
      <c r="Z282">
        <v>0</v>
      </c>
      <c r="AA282">
        <v>0</v>
      </c>
    </row>
    <row r="283" spans="1:27" x14ac:dyDescent="0.2">
      <c r="A283" t="s">
        <v>407</v>
      </c>
      <c r="C283">
        <v>0</v>
      </c>
      <c r="D283" t="s">
        <v>9</v>
      </c>
      <c r="E283">
        <v>2500</v>
      </c>
      <c r="F283" t="s">
        <v>310</v>
      </c>
      <c r="G283" t="s">
        <v>311</v>
      </c>
      <c r="H283" s="2">
        <v>0.79166666666666663</v>
      </c>
      <c r="I283" t="s">
        <v>306</v>
      </c>
      <c r="J283" s="1">
        <v>0.42</v>
      </c>
      <c r="K283">
        <v>-72.5</v>
      </c>
      <c r="L283">
        <v>6</v>
      </c>
      <c r="M283">
        <v>3.06</v>
      </c>
      <c r="N283">
        <v>3</v>
      </c>
      <c r="Q283" s="3">
        <v>0.42708333333333331</v>
      </c>
      <c r="R283">
        <v>4</v>
      </c>
      <c r="S283">
        <v>4.9400000000000004</v>
      </c>
      <c r="T283">
        <v>0</v>
      </c>
      <c r="U283">
        <v>0</v>
      </c>
      <c r="V283">
        <v>0</v>
      </c>
      <c r="W283">
        <v>100</v>
      </c>
      <c r="Y283">
        <v>38</v>
      </c>
      <c r="Z283">
        <v>0</v>
      </c>
      <c r="AA283">
        <v>0</v>
      </c>
    </row>
    <row r="284" spans="1:27" x14ac:dyDescent="0.2">
      <c r="A284" t="s">
        <v>408</v>
      </c>
      <c r="C284">
        <v>0</v>
      </c>
      <c r="D284" t="s">
        <v>9</v>
      </c>
      <c r="E284">
        <v>2500</v>
      </c>
      <c r="F284" t="s">
        <v>310</v>
      </c>
      <c r="G284" t="s">
        <v>311</v>
      </c>
      <c r="H284" s="2">
        <v>0.79166666666666663</v>
      </c>
      <c r="I284" t="s">
        <v>306</v>
      </c>
      <c r="J284" s="1">
        <v>0.42</v>
      </c>
      <c r="K284">
        <v>-72.5</v>
      </c>
      <c r="L284">
        <v>6</v>
      </c>
      <c r="M284">
        <v>3.06</v>
      </c>
      <c r="N284">
        <v>3</v>
      </c>
      <c r="Q284" s="3">
        <v>0.40416666666666667</v>
      </c>
      <c r="R284">
        <v>2.8</v>
      </c>
      <c r="S284">
        <v>2.77</v>
      </c>
      <c r="T284">
        <v>0</v>
      </c>
      <c r="U284">
        <v>0</v>
      </c>
      <c r="V284">
        <v>0</v>
      </c>
      <c r="W284">
        <v>100</v>
      </c>
      <c r="Y284">
        <v>51</v>
      </c>
      <c r="Z284">
        <v>0</v>
      </c>
      <c r="AA284">
        <v>0</v>
      </c>
    </row>
    <row r="285" spans="1:27" x14ac:dyDescent="0.2">
      <c r="A285" t="s">
        <v>409</v>
      </c>
      <c r="C285">
        <v>0</v>
      </c>
      <c r="D285" t="s">
        <v>9</v>
      </c>
      <c r="E285">
        <v>2500</v>
      </c>
      <c r="F285" t="s">
        <v>310</v>
      </c>
      <c r="G285" t="s">
        <v>311</v>
      </c>
      <c r="H285" s="2">
        <v>0.79166666666666663</v>
      </c>
      <c r="I285" t="s">
        <v>306</v>
      </c>
      <c r="J285" s="1">
        <v>0.42</v>
      </c>
      <c r="K285">
        <v>-72.5</v>
      </c>
      <c r="L285">
        <v>6</v>
      </c>
      <c r="M285">
        <v>3.06</v>
      </c>
      <c r="N285">
        <v>3</v>
      </c>
      <c r="Q285" s="3">
        <v>0.54861111111111116</v>
      </c>
      <c r="R285">
        <v>5.3</v>
      </c>
      <c r="S285">
        <v>5.48</v>
      </c>
      <c r="T285">
        <v>0</v>
      </c>
      <c r="U285">
        <v>0</v>
      </c>
      <c r="V285">
        <v>0</v>
      </c>
      <c r="W285">
        <v>100</v>
      </c>
      <c r="Y285">
        <v>48</v>
      </c>
      <c r="Z285">
        <v>0</v>
      </c>
      <c r="AA285">
        <v>0</v>
      </c>
    </row>
    <row r="286" spans="1:27" x14ac:dyDescent="0.2">
      <c r="A286" t="s">
        <v>410</v>
      </c>
      <c r="C286">
        <v>0</v>
      </c>
      <c r="D286" t="s">
        <v>5</v>
      </c>
      <c r="E286">
        <v>2500</v>
      </c>
      <c r="F286" t="s">
        <v>310</v>
      </c>
      <c r="G286" t="s">
        <v>311</v>
      </c>
      <c r="H286" s="2">
        <v>0.79166666666666663</v>
      </c>
      <c r="I286" t="s">
        <v>306</v>
      </c>
      <c r="J286" s="1">
        <v>0.42</v>
      </c>
      <c r="K286">
        <v>-72.5</v>
      </c>
      <c r="L286">
        <v>6</v>
      </c>
      <c r="M286">
        <v>3.06</v>
      </c>
      <c r="N286">
        <v>3</v>
      </c>
      <c r="Q286" s="3">
        <v>0.57361111111111107</v>
      </c>
      <c r="R286">
        <v>3.4</v>
      </c>
      <c r="S286">
        <v>0.61</v>
      </c>
      <c r="T286">
        <v>0</v>
      </c>
      <c r="U286">
        <v>0</v>
      </c>
      <c r="V286">
        <v>0</v>
      </c>
      <c r="W286">
        <v>100</v>
      </c>
      <c r="Y286">
        <v>91</v>
      </c>
      <c r="Z286">
        <v>0</v>
      </c>
      <c r="AA286">
        <v>0</v>
      </c>
    </row>
    <row r="287" spans="1:27" x14ac:dyDescent="0.2">
      <c r="A287" t="s">
        <v>411</v>
      </c>
      <c r="C287">
        <v>0</v>
      </c>
      <c r="D287" t="s">
        <v>5</v>
      </c>
      <c r="E287">
        <v>2500</v>
      </c>
      <c r="F287" t="s">
        <v>310</v>
      </c>
      <c r="G287" t="s">
        <v>311</v>
      </c>
      <c r="H287" s="2">
        <v>0.79166666666666663</v>
      </c>
      <c r="I287" t="s">
        <v>306</v>
      </c>
      <c r="J287" s="1">
        <v>0.42</v>
      </c>
      <c r="K287">
        <v>-72.5</v>
      </c>
      <c r="L287">
        <v>6</v>
      </c>
      <c r="M287">
        <v>3.06</v>
      </c>
      <c r="N287">
        <v>3</v>
      </c>
      <c r="Q287" s="3">
        <v>0.49791666666666667</v>
      </c>
      <c r="R287">
        <v>4.7</v>
      </c>
      <c r="S287">
        <v>4.0999999999999996</v>
      </c>
      <c r="T287">
        <v>0</v>
      </c>
      <c r="U287">
        <v>0</v>
      </c>
      <c r="V287">
        <v>0</v>
      </c>
      <c r="W287">
        <v>100</v>
      </c>
      <c r="Y287">
        <v>56</v>
      </c>
      <c r="Z287">
        <v>0</v>
      </c>
      <c r="AA287">
        <v>0</v>
      </c>
    </row>
    <row r="288" spans="1:27" x14ac:dyDescent="0.2">
      <c r="A288" t="s">
        <v>412</v>
      </c>
      <c r="C288">
        <v>0</v>
      </c>
      <c r="D288" t="s">
        <v>12</v>
      </c>
      <c r="E288">
        <v>2500</v>
      </c>
      <c r="F288" t="s">
        <v>203</v>
      </c>
      <c r="G288" t="s">
        <v>305</v>
      </c>
      <c r="H288" s="2">
        <v>0.85416666666666663</v>
      </c>
      <c r="I288" t="s">
        <v>306</v>
      </c>
      <c r="J288" s="1">
        <v>0.60899999999999999</v>
      </c>
      <c r="K288">
        <v>-156</v>
      </c>
      <c r="L288">
        <v>7</v>
      </c>
      <c r="M288">
        <v>4.4000000000000004</v>
      </c>
      <c r="N288">
        <v>3.5</v>
      </c>
      <c r="T288">
        <v>0</v>
      </c>
      <c r="U288">
        <v>0</v>
      </c>
      <c r="V288">
        <v>0</v>
      </c>
      <c r="W288">
        <v>100</v>
      </c>
      <c r="Y288">
        <v>0</v>
      </c>
      <c r="Z288">
        <v>0</v>
      </c>
      <c r="AA288">
        <v>0</v>
      </c>
    </row>
    <row r="289" spans="1:27" x14ac:dyDescent="0.2">
      <c r="A289" t="s">
        <v>158</v>
      </c>
      <c r="C289">
        <v>0</v>
      </c>
      <c r="D289" t="s">
        <v>12</v>
      </c>
      <c r="E289">
        <v>2500</v>
      </c>
      <c r="F289" t="s">
        <v>203</v>
      </c>
      <c r="G289" t="s">
        <v>305</v>
      </c>
      <c r="H289" s="2">
        <v>0.85416666666666663</v>
      </c>
      <c r="I289" t="s">
        <v>306</v>
      </c>
      <c r="J289" s="1">
        <v>0.60899999999999999</v>
      </c>
      <c r="K289">
        <v>-156</v>
      </c>
      <c r="L289">
        <v>7</v>
      </c>
      <c r="M289">
        <v>4.4000000000000004</v>
      </c>
      <c r="N289">
        <v>3.5</v>
      </c>
      <c r="Q289" s="3">
        <v>0.50138888888888888</v>
      </c>
      <c r="R289">
        <v>1.7</v>
      </c>
      <c r="S289">
        <v>0.54</v>
      </c>
      <c r="T289">
        <v>0</v>
      </c>
      <c r="U289">
        <v>0</v>
      </c>
      <c r="V289">
        <v>0</v>
      </c>
      <c r="W289">
        <v>100</v>
      </c>
      <c r="Y289">
        <v>84</v>
      </c>
      <c r="Z289">
        <v>0</v>
      </c>
      <c r="AA289">
        <v>0</v>
      </c>
    </row>
    <row r="290" spans="1:27" x14ac:dyDescent="0.2">
      <c r="A290" t="s">
        <v>256</v>
      </c>
      <c r="C290">
        <v>0</v>
      </c>
      <c r="D290" t="s">
        <v>12</v>
      </c>
      <c r="E290">
        <v>2500</v>
      </c>
      <c r="F290" t="s">
        <v>203</v>
      </c>
      <c r="G290" t="s">
        <v>305</v>
      </c>
      <c r="H290" s="2">
        <v>0.85416666666666663</v>
      </c>
      <c r="I290" t="s">
        <v>306</v>
      </c>
      <c r="J290" s="1">
        <v>0.60899999999999999</v>
      </c>
      <c r="K290">
        <v>-156</v>
      </c>
      <c r="L290">
        <v>7</v>
      </c>
      <c r="M290">
        <v>4.4000000000000004</v>
      </c>
      <c r="N290">
        <v>3.5</v>
      </c>
      <c r="Q290" s="3">
        <v>0.60902777777777772</v>
      </c>
      <c r="R290">
        <v>4.2</v>
      </c>
      <c r="S290">
        <v>3.52</v>
      </c>
      <c r="T290">
        <v>0</v>
      </c>
      <c r="U290">
        <v>0</v>
      </c>
      <c r="V290">
        <v>0</v>
      </c>
      <c r="W290">
        <v>100</v>
      </c>
      <c r="Y290">
        <v>58</v>
      </c>
      <c r="Z290">
        <v>0</v>
      </c>
      <c r="AA290">
        <v>0</v>
      </c>
    </row>
    <row r="291" spans="1:27" x14ac:dyDescent="0.2">
      <c r="A291" t="s">
        <v>248</v>
      </c>
      <c r="C291">
        <v>0</v>
      </c>
      <c r="D291" t="s">
        <v>9</v>
      </c>
      <c r="E291">
        <v>2500</v>
      </c>
      <c r="F291" t="s">
        <v>203</v>
      </c>
      <c r="G291" t="s">
        <v>305</v>
      </c>
      <c r="H291" s="2">
        <v>0.85416666666666663</v>
      </c>
      <c r="I291" t="s">
        <v>306</v>
      </c>
      <c r="J291" s="1">
        <v>0.60899999999999999</v>
      </c>
      <c r="K291">
        <v>-156</v>
      </c>
      <c r="L291">
        <v>7</v>
      </c>
      <c r="M291">
        <v>4.4000000000000004</v>
      </c>
      <c r="N291">
        <v>3.5</v>
      </c>
      <c r="Q291" s="3">
        <v>0.44791666666666669</v>
      </c>
      <c r="R291">
        <v>4.3</v>
      </c>
      <c r="S291">
        <v>3.82</v>
      </c>
      <c r="T291">
        <v>0</v>
      </c>
      <c r="U291">
        <v>0</v>
      </c>
      <c r="V291">
        <v>0</v>
      </c>
      <c r="W291">
        <v>100</v>
      </c>
      <c r="Y291">
        <v>56</v>
      </c>
      <c r="Z291">
        <v>0</v>
      </c>
      <c r="AA291">
        <v>0</v>
      </c>
    </row>
    <row r="292" spans="1:27" x14ac:dyDescent="0.2">
      <c r="A292" t="s">
        <v>247</v>
      </c>
      <c r="C292">
        <v>0</v>
      </c>
      <c r="D292" t="s">
        <v>9</v>
      </c>
      <c r="E292">
        <v>2500</v>
      </c>
      <c r="F292" t="s">
        <v>203</v>
      </c>
      <c r="G292" t="s">
        <v>305</v>
      </c>
      <c r="H292" s="2">
        <v>0.85416666666666663</v>
      </c>
      <c r="I292" t="s">
        <v>306</v>
      </c>
      <c r="J292" s="1">
        <v>0.60899999999999999</v>
      </c>
      <c r="K292">
        <v>-156</v>
      </c>
      <c r="L292">
        <v>7</v>
      </c>
      <c r="M292">
        <v>4.4000000000000004</v>
      </c>
      <c r="N292">
        <v>3.5</v>
      </c>
      <c r="Q292" s="3">
        <v>0.31527777777777777</v>
      </c>
      <c r="R292">
        <v>4.3</v>
      </c>
      <c r="S292">
        <v>4.2300000000000004</v>
      </c>
      <c r="T292">
        <v>0</v>
      </c>
      <c r="U292">
        <v>0</v>
      </c>
      <c r="V292">
        <v>0</v>
      </c>
      <c r="W292">
        <v>100</v>
      </c>
      <c r="Y292">
        <v>51</v>
      </c>
      <c r="Z292">
        <v>0</v>
      </c>
      <c r="AA292">
        <v>0</v>
      </c>
    </row>
    <row r="293" spans="1:27" x14ac:dyDescent="0.2">
      <c r="A293" t="s">
        <v>258</v>
      </c>
      <c r="C293">
        <v>0</v>
      </c>
      <c r="D293" t="s">
        <v>9</v>
      </c>
      <c r="E293">
        <v>2500</v>
      </c>
      <c r="F293" t="s">
        <v>203</v>
      </c>
      <c r="G293" t="s">
        <v>305</v>
      </c>
      <c r="H293" s="2">
        <v>0.85416666666666663</v>
      </c>
      <c r="I293" t="s">
        <v>306</v>
      </c>
      <c r="J293" s="1">
        <v>0.60899999999999999</v>
      </c>
      <c r="K293">
        <v>-156</v>
      </c>
      <c r="L293">
        <v>7</v>
      </c>
      <c r="M293">
        <v>4.4000000000000004</v>
      </c>
      <c r="N293">
        <v>3.5</v>
      </c>
      <c r="Q293" s="3">
        <v>0.3125</v>
      </c>
      <c r="R293">
        <v>3.1</v>
      </c>
      <c r="S293">
        <v>3.95</v>
      </c>
      <c r="T293">
        <v>0</v>
      </c>
      <c r="U293">
        <v>0</v>
      </c>
      <c r="V293">
        <v>0</v>
      </c>
      <c r="W293">
        <v>100</v>
      </c>
      <c r="Y293">
        <v>36</v>
      </c>
      <c r="Z293">
        <v>0</v>
      </c>
      <c r="AA293">
        <v>0</v>
      </c>
    </row>
    <row r="294" spans="1:27" x14ac:dyDescent="0.2">
      <c r="A294" t="s">
        <v>413</v>
      </c>
      <c r="C294">
        <v>0</v>
      </c>
      <c r="D294" t="s">
        <v>9</v>
      </c>
      <c r="E294">
        <v>2500</v>
      </c>
      <c r="F294" t="s">
        <v>203</v>
      </c>
      <c r="G294" t="s">
        <v>305</v>
      </c>
      <c r="H294" s="2">
        <v>0.85416666666666663</v>
      </c>
      <c r="I294" t="s">
        <v>306</v>
      </c>
      <c r="J294" s="1">
        <v>0.60899999999999999</v>
      </c>
      <c r="K294">
        <v>-156</v>
      </c>
      <c r="L294">
        <v>7</v>
      </c>
      <c r="M294">
        <v>4.4000000000000004</v>
      </c>
      <c r="N294">
        <v>3.5</v>
      </c>
      <c r="Q294" s="3">
        <v>0.37013888888888891</v>
      </c>
      <c r="R294">
        <v>2.9</v>
      </c>
      <c r="S294">
        <v>4.2699999999999996</v>
      </c>
      <c r="T294">
        <v>0</v>
      </c>
      <c r="U294">
        <v>0</v>
      </c>
      <c r="V294">
        <v>0</v>
      </c>
      <c r="W294">
        <v>100</v>
      </c>
      <c r="Y294">
        <v>26</v>
      </c>
      <c r="Z294">
        <v>0</v>
      </c>
      <c r="AA294">
        <v>0</v>
      </c>
    </row>
    <row r="295" spans="1:27" x14ac:dyDescent="0.2">
      <c r="A295" t="s">
        <v>133</v>
      </c>
      <c r="C295">
        <v>0</v>
      </c>
      <c r="D295" t="s">
        <v>9</v>
      </c>
      <c r="E295">
        <v>2500</v>
      </c>
      <c r="F295" t="s">
        <v>203</v>
      </c>
      <c r="G295" t="s">
        <v>305</v>
      </c>
      <c r="H295" s="2">
        <v>0.85416666666666663</v>
      </c>
      <c r="I295" t="s">
        <v>306</v>
      </c>
      <c r="J295" s="1">
        <v>0.60899999999999999</v>
      </c>
      <c r="K295">
        <v>-156</v>
      </c>
      <c r="L295">
        <v>7</v>
      </c>
      <c r="M295">
        <v>4.4000000000000004</v>
      </c>
      <c r="N295">
        <v>3.5</v>
      </c>
      <c r="Q295" s="3">
        <v>0.43888888888888888</v>
      </c>
      <c r="R295">
        <v>3.3</v>
      </c>
      <c r="S295">
        <v>3.01</v>
      </c>
      <c r="T295">
        <v>0</v>
      </c>
      <c r="U295">
        <v>0</v>
      </c>
      <c r="V295">
        <v>0</v>
      </c>
      <c r="W295">
        <v>100</v>
      </c>
      <c r="Y295">
        <v>54</v>
      </c>
      <c r="Z295">
        <v>0</v>
      </c>
      <c r="AA295">
        <v>0</v>
      </c>
    </row>
    <row r="296" spans="1:27" x14ac:dyDescent="0.2">
      <c r="A296" t="s">
        <v>249</v>
      </c>
      <c r="C296">
        <v>0</v>
      </c>
      <c r="D296" t="s">
        <v>9</v>
      </c>
      <c r="E296">
        <v>2500</v>
      </c>
      <c r="F296" t="s">
        <v>204</v>
      </c>
      <c r="G296" t="s">
        <v>317</v>
      </c>
      <c r="H296" s="2">
        <v>0.85416666666666663</v>
      </c>
      <c r="I296" t="s">
        <v>313</v>
      </c>
      <c r="J296" s="1">
        <v>0.39100000000000001</v>
      </c>
      <c r="K296">
        <v>156</v>
      </c>
      <c r="L296">
        <v>7</v>
      </c>
      <c r="M296">
        <v>3.5</v>
      </c>
      <c r="N296">
        <v>4.4000000000000004</v>
      </c>
      <c r="Q296" s="3">
        <v>0.51597222222222228</v>
      </c>
      <c r="R296">
        <v>3.7</v>
      </c>
      <c r="S296">
        <v>5.55</v>
      </c>
      <c r="T296">
        <v>0</v>
      </c>
      <c r="U296">
        <v>0</v>
      </c>
      <c r="V296">
        <v>0</v>
      </c>
      <c r="W296">
        <v>100</v>
      </c>
      <c r="Y296">
        <v>25</v>
      </c>
      <c r="Z296">
        <v>0</v>
      </c>
      <c r="AA296">
        <v>0</v>
      </c>
    </row>
    <row r="297" spans="1:27" x14ac:dyDescent="0.2">
      <c r="A297" t="s">
        <v>259</v>
      </c>
      <c r="C297">
        <v>0</v>
      </c>
      <c r="D297" t="s">
        <v>9</v>
      </c>
      <c r="E297">
        <v>2500</v>
      </c>
      <c r="F297" t="s">
        <v>204</v>
      </c>
      <c r="G297" t="s">
        <v>317</v>
      </c>
      <c r="H297" s="2">
        <v>0.85416666666666663</v>
      </c>
      <c r="I297" t="s">
        <v>313</v>
      </c>
      <c r="J297" s="1">
        <v>0.39100000000000001</v>
      </c>
      <c r="K297">
        <v>156</v>
      </c>
      <c r="L297">
        <v>7</v>
      </c>
      <c r="M297">
        <v>3.5</v>
      </c>
      <c r="N297">
        <v>4.4000000000000004</v>
      </c>
      <c r="Q297" s="3">
        <v>0.43263888888888891</v>
      </c>
      <c r="R297">
        <v>3.2</v>
      </c>
      <c r="S297">
        <v>4.45</v>
      </c>
      <c r="T297">
        <v>0</v>
      </c>
      <c r="U297">
        <v>0</v>
      </c>
      <c r="V297">
        <v>0</v>
      </c>
      <c r="W297">
        <v>100</v>
      </c>
      <c r="Y297">
        <v>30</v>
      </c>
      <c r="Z297">
        <v>0</v>
      </c>
      <c r="AA2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Projected</vt:lpstr>
      <vt:lpstr>NHT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Horlbeck</dc:creator>
  <cp:lastModifiedBy>Brendan Horlbeck</cp:lastModifiedBy>
  <dcterms:created xsi:type="dcterms:W3CDTF">2026-01-27T08:41:04Z</dcterms:created>
  <dcterms:modified xsi:type="dcterms:W3CDTF">2026-01-27T08:54:22Z</dcterms:modified>
</cp:coreProperties>
</file>