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danhorlbeck/Desktop/Code/projection/"/>
    </mc:Choice>
  </mc:AlternateContent>
  <xr:revisionPtr revIDLastSave="0" documentId="13_ncr:1_{75A6E874-B4E5-5040-8320-E329D34A1C8F}" xr6:coauthVersionLast="47" xr6:coauthVersionMax="47" xr10:uidLastSave="{00000000-0000-0000-0000-000000000000}"/>
  <bookViews>
    <workbookView xWindow="19980" yWindow="1920" windowWidth="30360" windowHeight="18660" activeTab="1" xr2:uid="{AD7F34F7-535C-3045-9A2E-F60595535FE2}"/>
  </bookViews>
  <sheets>
    <sheet name="Actual" sheetId="1" r:id="rId1"/>
    <sheet name="Projected" sheetId="2" r:id="rId2"/>
    <sheet name="NHT" sheetId="3" r:id="rId3"/>
  </sheets>
  <definedNames>
    <definedName name="_xlnm._FilterDatabase" localSheetId="1" hidden="1">Projected!$A$1:$N$306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1" i="2" l="1"/>
  <c r="N10" i="2"/>
  <c r="N147" i="2"/>
  <c r="N65" i="2"/>
  <c r="N288" i="2"/>
  <c r="N268" i="2"/>
  <c r="N232" i="2"/>
  <c r="N31" i="2"/>
  <c r="N212" i="2"/>
  <c r="N167" i="2"/>
  <c r="N251" i="2"/>
  <c r="N25" i="2"/>
  <c r="N166" i="2"/>
  <c r="N142" i="2"/>
  <c r="N50" i="2"/>
  <c r="N197" i="2"/>
  <c r="N287" i="2"/>
  <c r="N208" i="2"/>
  <c r="N128" i="2"/>
  <c r="N109" i="2"/>
  <c r="N47" i="2"/>
  <c r="N256" i="2"/>
  <c r="N73" i="2"/>
  <c r="N69" i="2"/>
  <c r="N196" i="2"/>
  <c r="N298" i="2"/>
  <c r="N126" i="2"/>
  <c r="N111" i="2"/>
  <c r="N252" i="2"/>
  <c r="N269" i="2"/>
  <c r="N164" i="2"/>
  <c r="N227" i="2"/>
  <c r="N30" i="2"/>
  <c r="N285" i="2"/>
  <c r="N129" i="2"/>
  <c r="N270" i="2"/>
  <c r="N185" i="2"/>
  <c r="N148" i="2"/>
  <c r="N113" i="2"/>
  <c r="N271" i="2"/>
  <c r="N213" i="2"/>
  <c r="N72" i="2"/>
  <c r="N116" i="2"/>
  <c r="N234" i="2"/>
  <c r="N165" i="2"/>
  <c r="N263" i="2"/>
  <c r="N105" i="2"/>
  <c r="N247" i="2"/>
  <c r="N132" i="2"/>
  <c r="N90" i="2"/>
  <c r="N94" i="2"/>
  <c r="N291" i="2"/>
  <c r="N49" i="2"/>
  <c r="N108" i="2"/>
  <c r="N184" i="2"/>
  <c r="N226" i="2"/>
  <c r="N67" i="2"/>
  <c r="N11" i="2"/>
  <c r="N75" i="2"/>
  <c r="N80" i="2"/>
  <c r="N146" i="2"/>
  <c r="N143" i="2"/>
  <c r="N160" i="2"/>
  <c r="N211" i="2"/>
  <c r="N106" i="2"/>
  <c r="N28" i="2"/>
  <c r="N79" i="2"/>
  <c r="N124" i="2"/>
  <c r="N161" i="2"/>
  <c r="N14" i="2"/>
  <c r="N7" i="2"/>
  <c r="N150" i="2"/>
  <c r="N217" i="2"/>
  <c r="N195" i="2"/>
  <c r="N250" i="2"/>
  <c r="N240" i="2"/>
  <c r="N209" i="2"/>
  <c r="N264" i="2"/>
  <c r="N22" i="2"/>
  <c r="N266" i="2"/>
  <c r="N257" i="2"/>
  <c r="N74" i="2"/>
  <c r="N183" i="2"/>
  <c r="N194" i="2"/>
  <c r="N151" i="2"/>
  <c r="N169" i="2"/>
  <c r="N258" i="2"/>
  <c r="N233" i="2"/>
  <c r="N294" i="2"/>
  <c r="N9" i="2"/>
  <c r="N236" i="2"/>
  <c r="N118" i="2"/>
  <c r="N179" i="2"/>
  <c r="N17" i="2"/>
  <c r="N182" i="2"/>
  <c r="N71" i="2"/>
  <c r="N219" i="2"/>
  <c r="N286" i="2"/>
  <c r="N202" i="2"/>
  <c r="N27" i="2"/>
  <c r="N131" i="2"/>
  <c r="N46" i="2"/>
  <c r="N91" i="2"/>
  <c r="N12" i="2"/>
  <c r="N81" i="2"/>
  <c r="N174" i="2"/>
  <c r="N292" i="2"/>
  <c r="N144" i="2"/>
  <c r="N29" i="2"/>
  <c r="N92" i="2"/>
  <c r="N259" i="2"/>
  <c r="N23" i="2"/>
  <c r="N180" i="2"/>
  <c r="N53" i="2"/>
  <c r="N43" i="2"/>
  <c r="N170" i="2"/>
  <c r="N13" i="2"/>
  <c r="N66" i="2"/>
  <c r="N171" i="2"/>
  <c r="N95" i="2"/>
  <c r="N45" i="2"/>
  <c r="N255" i="2"/>
  <c r="N200" i="2"/>
  <c r="N186" i="2"/>
  <c r="N163" i="2"/>
  <c r="N64" i="2"/>
  <c r="N215" i="2"/>
  <c r="N120" i="2"/>
  <c r="N44" i="2"/>
  <c r="N86" i="2"/>
  <c r="N296" i="2"/>
  <c r="N48" i="2"/>
  <c r="N107" i="2"/>
  <c r="N237" i="2"/>
  <c r="N223" i="2"/>
  <c r="N51" i="2"/>
  <c r="N205" i="2"/>
  <c r="N6" i="2"/>
  <c r="N133" i="2"/>
  <c r="N78" i="2"/>
  <c r="N54" i="2"/>
  <c r="N198" i="2"/>
  <c r="N241" i="2"/>
  <c r="N34" i="2"/>
  <c r="N55" i="2"/>
  <c r="N97" i="2"/>
  <c r="N93" i="2"/>
  <c r="N293" i="2"/>
  <c r="N278" i="2"/>
  <c r="N89" i="2"/>
  <c r="N230" i="2"/>
  <c r="N70" i="2"/>
  <c r="N135" i="2"/>
  <c r="N260" i="2"/>
  <c r="N121" i="2"/>
  <c r="N56" i="2"/>
  <c r="N162" i="2"/>
  <c r="N57" i="2"/>
  <c r="N290" i="2"/>
  <c r="N38" i="2"/>
  <c r="N100" i="2"/>
  <c r="N297" i="2"/>
  <c r="N189" i="2"/>
  <c r="N125" i="2"/>
  <c r="N199" i="2"/>
  <c r="N137" i="2"/>
  <c r="N228" i="2"/>
  <c r="N130" i="2"/>
  <c r="N276" i="2"/>
  <c r="N8" i="2"/>
  <c r="N242" i="2"/>
  <c r="N204" i="2"/>
  <c r="N187" i="2"/>
  <c r="N284" i="2"/>
  <c r="N110" i="2"/>
  <c r="N275" i="2"/>
  <c r="N175" i="2"/>
  <c r="N231" i="2"/>
  <c r="N138" i="2"/>
  <c r="N88" i="2"/>
  <c r="N82" i="2"/>
  <c r="N26" i="2"/>
  <c r="N220" i="2"/>
  <c r="N203" i="2"/>
  <c r="N229" i="2"/>
  <c r="N295" i="2"/>
  <c r="N24" i="2"/>
  <c r="N238" i="2"/>
  <c r="N265" i="2"/>
  <c r="N279" i="2"/>
  <c r="N152" i="2"/>
  <c r="N154" i="2"/>
  <c r="N289" i="2"/>
  <c r="N272" i="2"/>
  <c r="N101" i="2"/>
  <c r="N273" i="2"/>
  <c r="N68" i="2"/>
  <c r="N112" i="2"/>
  <c r="N235" i="2"/>
  <c r="N99" i="2"/>
  <c r="N145" i="2"/>
  <c r="N224" i="2"/>
  <c r="N136" i="2"/>
  <c r="N87" i="2"/>
  <c r="N155" i="2"/>
  <c r="N33" i="2"/>
  <c r="N114" i="2"/>
  <c r="N253" i="2"/>
  <c r="N190" i="2"/>
  <c r="N134" i="2"/>
  <c r="N206" i="2"/>
  <c r="N127" i="2"/>
  <c r="N168" i="2"/>
  <c r="N5" i="2"/>
  <c r="N76" i="2"/>
  <c r="N299" i="2"/>
  <c r="N15" i="2"/>
  <c r="N115" i="2"/>
  <c r="N274" i="2"/>
  <c r="N52" i="2"/>
  <c r="N58" i="2"/>
  <c r="N214" i="2"/>
  <c r="N119" i="2"/>
  <c r="N39" i="2"/>
  <c r="N191" i="2"/>
  <c r="N96" i="2"/>
  <c r="N210" i="2"/>
  <c r="N243" i="2"/>
  <c r="N16" i="2"/>
  <c r="N102" i="2"/>
  <c r="N83" i="2"/>
  <c r="N59" i="2"/>
  <c r="N36" i="2"/>
  <c r="N188" i="2"/>
  <c r="N249" i="2"/>
  <c r="N221" i="2"/>
  <c r="N37" i="2"/>
  <c r="N218" i="2"/>
  <c r="N77" i="2"/>
  <c r="N172" i="2"/>
  <c r="N2" i="2"/>
  <c r="N244" i="2"/>
  <c r="N248" i="2"/>
  <c r="N173" i="2"/>
  <c r="N98" i="2"/>
  <c r="N216" i="2"/>
  <c r="N156" i="2"/>
  <c r="N18" i="2"/>
  <c r="N139" i="2"/>
  <c r="N254" i="2"/>
  <c r="N157" i="2"/>
  <c r="N222" i="2"/>
  <c r="N153" i="2"/>
  <c r="N35" i="2"/>
  <c r="N19" i="2"/>
  <c r="N277" i="2"/>
  <c r="N245" i="2"/>
  <c r="N60" i="2"/>
  <c r="N20" i="2"/>
  <c r="N158" i="2"/>
  <c r="N239" i="2"/>
  <c r="N201" i="2"/>
  <c r="N40" i="2"/>
  <c r="N117" i="2"/>
  <c r="N176" i="2"/>
  <c r="N192" i="2"/>
  <c r="N84" i="2"/>
  <c r="N267" i="2"/>
  <c r="N177" i="2"/>
  <c r="N280" i="2"/>
  <c r="N32" i="2"/>
  <c r="N281" i="2"/>
  <c r="N3" i="2"/>
  <c r="N261" i="2"/>
  <c r="N61" i="2"/>
  <c r="N282" i="2"/>
  <c r="N103" i="2"/>
  <c r="N178" i="2"/>
  <c r="N225" i="2"/>
  <c r="N104" i="2"/>
  <c r="N193" i="2"/>
  <c r="N283" i="2"/>
  <c r="N140" i="2"/>
  <c r="N262" i="2"/>
  <c r="N159" i="2"/>
  <c r="N122" i="2"/>
  <c r="N41" i="2"/>
  <c r="N85" i="2"/>
  <c r="N62" i="2"/>
  <c r="N42" i="2"/>
  <c r="N141" i="2"/>
  <c r="N123" i="2"/>
  <c r="N4" i="2"/>
  <c r="N207" i="2"/>
  <c r="N246" i="2"/>
  <c r="N21" i="2"/>
  <c r="N63" i="2"/>
  <c r="N149" i="2"/>
  <c r="L181" i="2"/>
  <c r="M181" i="2"/>
  <c r="L10" i="2"/>
  <c r="M10" i="2"/>
  <c r="L147" i="2"/>
  <c r="M147" i="2"/>
  <c r="L65" i="2"/>
  <c r="M65" i="2"/>
  <c r="L288" i="2"/>
  <c r="M288" i="2"/>
  <c r="L268" i="2"/>
  <c r="M268" i="2"/>
  <c r="L232" i="2"/>
  <c r="M232" i="2"/>
  <c r="L31" i="2"/>
  <c r="M31" i="2"/>
  <c r="L212" i="2"/>
  <c r="M212" i="2"/>
  <c r="L167" i="2"/>
  <c r="M167" i="2"/>
  <c r="L251" i="2"/>
  <c r="M251" i="2"/>
  <c r="L25" i="2"/>
  <c r="M25" i="2"/>
  <c r="L166" i="2"/>
  <c r="M166" i="2"/>
  <c r="L142" i="2"/>
  <c r="M142" i="2"/>
  <c r="L50" i="2"/>
  <c r="M50" i="2"/>
  <c r="L197" i="2"/>
  <c r="M197" i="2"/>
  <c r="L287" i="2"/>
  <c r="M287" i="2"/>
  <c r="L208" i="2"/>
  <c r="M208" i="2"/>
  <c r="L128" i="2"/>
  <c r="M128" i="2"/>
  <c r="L109" i="2"/>
  <c r="M109" i="2"/>
  <c r="L47" i="2"/>
  <c r="M47" i="2"/>
  <c r="L256" i="2"/>
  <c r="M256" i="2"/>
  <c r="L73" i="2"/>
  <c r="M73" i="2"/>
  <c r="L69" i="2"/>
  <c r="M69" i="2"/>
  <c r="L196" i="2"/>
  <c r="M196" i="2"/>
  <c r="L298" i="2"/>
  <c r="M298" i="2"/>
  <c r="L126" i="2"/>
  <c r="M126" i="2"/>
  <c r="L111" i="2"/>
  <c r="M111" i="2"/>
  <c r="L252" i="2"/>
  <c r="M252" i="2"/>
  <c r="L269" i="2"/>
  <c r="M269" i="2"/>
  <c r="L164" i="2"/>
  <c r="M164" i="2"/>
  <c r="L227" i="2"/>
  <c r="M227" i="2"/>
  <c r="L30" i="2"/>
  <c r="M30" i="2"/>
  <c r="L285" i="2"/>
  <c r="M285" i="2"/>
  <c r="L129" i="2"/>
  <c r="M129" i="2"/>
  <c r="L270" i="2"/>
  <c r="M270" i="2"/>
  <c r="L185" i="2"/>
  <c r="M185" i="2"/>
  <c r="L148" i="2"/>
  <c r="M148" i="2"/>
  <c r="L113" i="2"/>
  <c r="M113" i="2"/>
  <c r="L271" i="2"/>
  <c r="M271" i="2"/>
  <c r="L213" i="2"/>
  <c r="M213" i="2"/>
  <c r="L72" i="2"/>
  <c r="M72" i="2"/>
  <c r="L116" i="2"/>
  <c r="M116" i="2"/>
  <c r="L234" i="2"/>
  <c r="M234" i="2"/>
  <c r="L165" i="2"/>
  <c r="M165" i="2"/>
  <c r="L263" i="2"/>
  <c r="M263" i="2"/>
  <c r="L105" i="2"/>
  <c r="M105" i="2"/>
  <c r="L247" i="2"/>
  <c r="M247" i="2"/>
  <c r="L132" i="2"/>
  <c r="M132" i="2"/>
  <c r="L90" i="2"/>
  <c r="M90" i="2"/>
  <c r="L94" i="2"/>
  <c r="M94" i="2"/>
  <c r="L291" i="2"/>
  <c r="M291" i="2"/>
  <c r="L49" i="2"/>
  <c r="M49" i="2"/>
  <c r="L108" i="2"/>
  <c r="M108" i="2"/>
  <c r="L184" i="2"/>
  <c r="M184" i="2"/>
  <c r="L226" i="2"/>
  <c r="M226" i="2"/>
  <c r="L67" i="2"/>
  <c r="M67" i="2"/>
  <c r="L11" i="2"/>
  <c r="M11" i="2"/>
  <c r="L75" i="2"/>
  <c r="M75" i="2"/>
  <c r="L80" i="2"/>
  <c r="M80" i="2"/>
  <c r="L146" i="2"/>
  <c r="M146" i="2"/>
  <c r="L143" i="2"/>
  <c r="M143" i="2"/>
  <c r="L160" i="2"/>
  <c r="M160" i="2"/>
  <c r="L211" i="2"/>
  <c r="M211" i="2"/>
  <c r="L106" i="2"/>
  <c r="M106" i="2"/>
  <c r="L28" i="2"/>
  <c r="M28" i="2"/>
  <c r="L79" i="2"/>
  <c r="M79" i="2"/>
  <c r="L124" i="2"/>
  <c r="M124" i="2"/>
  <c r="L161" i="2"/>
  <c r="M161" i="2"/>
  <c r="L14" i="2"/>
  <c r="M14" i="2"/>
  <c r="L7" i="2"/>
  <c r="M7" i="2"/>
  <c r="L150" i="2"/>
  <c r="M150" i="2"/>
  <c r="L217" i="2"/>
  <c r="M217" i="2"/>
  <c r="L195" i="2"/>
  <c r="M195" i="2"/>
  <c r="L250" i="2"/>
  <c r="M250" i="2"/>
  <c r="L240" i="2"/>
  <c r="M240" i="2"/>
  <c r="L209" i="2"/>
  <c r="M209" i="2"/>
  <c r="L264" i="2"/>
  <c r="M264" i="2"/>
  <c r="L22" i="2"/>
  <c r="M22" i="2"/>
  <c r="L266" i="2"/>
  <c r="M266" i="2"/>
  <c r="L257" i="2"/>
  <c r="M257" i="2"/>
  <c r="L74" i="2"/>
  <c r="M74" i="2"/>
  <c r="L183" i="2"/>
  <c r="M183" i="2"/>
  <c r="L194" i="2"/>
  <c r="M194" i="2"/>
  <c r="L151" i="2"/>
  <c r="M151" i="2"/>
  <c r="L169" i="2"/>
  <c r="M169" i="2"/>
  <c r="L258" i="2"/>
  <c r="M258" i="2"/>
  <c r="L233" i="2"/>
  <c r="M233" i="2"/>
  <c r="L294" i="2"/>
  <c r="M294" i="2"/>
  <c r="L9" i="2"/>
  <c r="M9" i="2"/>
  <c r="L236" i="2"/>
  <c r="M236" i="2"/>
  <c r="L118" i="2"/>
  <c r="M118" i="2"/>
  <c r="L179" i="2"/>
  <c r="M179" i="2"/>
  <c r="L17" i="2"/>
  <c r="M17" i="2"/>
  <c r="L182" i="2"/>
  <c r="M182" i="2"/>
  <c r="L71" i="2"/>
  <c r="M71" i="2"/>
  <c r="L219" i="2"/>
  <c r="M219" i="2"/>
  <c r="L286" i="2"/>
  <c r="M286" i="2"/>
  <c r="L202" i="2"/>
  <c r="M202" i="2"/>
  <c r="L27" i="2"/>
  <c r="M27" i="2"/>
  <c r="L131" i="2"/>
  <c r="M131" i="2"/>
  <c r="L46" i="2"/>
  <c r="M46" i="2"/>
  <c r="L91" i="2"/>
  <c r="M91" i="2"/>
  <c r="L12" i="2"/>
  <c r="M12" i="2"/>
  <c r="L81" i="2"/>
  <c r="M81" i="2"/>
  <c r="L174" i="2"/>
  <c r="M174" i="2"/>
  <c r="L292" i="2"/>
  <c r="M292" i="2"/>
  <c r="L144" i="2"/>
  <c r="M144" i="2"/>
  <c r="L29" i="2"/>
  <c r="M29" i="2"/>
  <c r="L92" i="2"/>
  <c r="M92" i="2"/>
  <c r="L259" i="2"/>
  <c r="M259" i="2"/>
  <c r="L23" i="2"/>
  <c r="M23" i="2"/>
  <c r="L180" i="2"/>
  <c r="M180" i="2"/>
  <c r="L53" i="2"/>
  <c r="M53" i="2"/>
  <c r="L43" i="2"/>
  <c r="M43" i="2"/>
  <c r="L170" i="2"/>
  <c r="M170" i="2"/>
  <c r="L13" i="2"/>
  <c r="M13" i="2"/>
  <c r="L66" i="2"/>
  <c r="M66" i="2"/>
  <c r="L171" i="2"/>
  <c r="M171" i="2"/>
  <c r="L95" i="2"/>
  <c r="M95" i="2"/>
  <c r="L45" i="2"/>
  <c r="M45" i="2"/>
  <c r="L255" i="2"/>
  <c r="M255" i="2"/>
  <c r="L200" i="2"/>
  <c r="M200" i="2"/>
  <c r="L186" i="2"/>
  <c r="M186" i="2"/>
  <c r="L163" i="2"/>
  <c r="M163" i="2"/>
  <c r="L64" i="2"/>
  <c r="M64" i="2"/>
  <c r="L215" i="2"/>
  <c r="M215" i="2"/>
  <c r="L120" i="2"/>
  <c r="M120" i="2"/>
  <c r="L44" i="2"/>
  <c r="M44" i="2"/>
  <c r="L86" i="2"/>
  <c r="M86" i="2"/>
  <c r="L296" i="2"/>
  <c r="M296" i="2"/>
  <c r="L48" i="2"/>
  <c r="M48" i="2"/>
  <c r="L107" i="2"/>
  <c r="M107" i="2"/>
  <c r="L237" i="2"/>
  <c r="M237" i="2"/>
  <c r="L223" i="2"/>
  <c r="M223" i="2"/>
  <c r="L51" i="2"/>
  <c r="M51" i="2"/>
  <c r="L205" i="2"/>
  <c r="M205" i="2"/>
  <c r="L6" i="2"/>
  <c r="M6" i="2"/>
  <c r="L133" i="2"/>
  <c r="M133" i="2"/>
  <c r="L78" i="2"/>
  <c r="M78" i="2"/>
  <c r="L54" i="2"/>
  <c r="M54" i="2"/>
  <c r="L198" i="2"/>
  <c r="M198" i="2"/>
  <c r="L241" i="2"/>
  <c r="M241" i="2"/>
  <c r="L34" i="2"/>
  <c r="M34" i="2"/>
  <c r="L55" i="2"/>
  <c r="M55" i="2"/>
  <c r="L97" i="2"/>
  <c r="M97" i="2"/>
  <c r="L93" i="2"/>
  <c r="M93" i="2"/>
  <c r="L293" i="2"/>
  <c r="M293" i="2"/>
  <c r="L278" i="2"/>
  <c r="M278" i="2"/>
  <c r="L89" i="2"/>
  <c r="M89" i="2"/>
  <c r="L230" i="2"/>
  <c r="M230" i="2"/>
  <c r="L70" i="2"/>
  <c r="M70" i="2"/>
  <c r="L135" i="2"/>
  <c r="M135" i="2"/>
  <c r="L260" i="2"/>
  <c r="M260" i="2"/>
  <c r="L121" i="2"/>
  <c r="M121" i="2"/>
  <c r="L56" i="2"/>
  <c r="M56" i="2"/>
  <c r="L162" i="2"/>
  <c r="M162" i="2"/>
  <c r="L57" i="2"/>
  <c r="M57" i="2"/>
  <c r="L290" i="2"/>
  <c r="M290" i="2"/>
  <c r="L38" i="2"/>
  <c r="M38" i="2"/>
  <c r="L100" i="2"/>
  <c r="M100" i="2"/>
  <c r="L297" i="2"/>
  <c r="M297" i="2"/>
  <c r="L189" i="2"/>
  <c r="M189" i="2"/>
  <c r="L125" i="2"/>
  <c r="M125" i="2"/>
  <c r="L199" i="2"/>
  <c r="M199" i="2"/>
  <c r="L137" i="2"/>
  <c r="M137" i="2"/>
  <c r="L228" i="2"/>
  <c r="M228" i="2"/>
  <c r="L130" i="2"/>
  <c r="M130" i="2"/>
  <c r="L276" i="2"/>
  <c r="M276" i="2"/>
  <c r="L8" i="2"/>
  <c r="M8" i="2"/>
  <c r="L242" i="2"/>
  <c r="M242" i="2"/>
  <c r="L204" i="2"/>
  <c r="M204" i="2"/>
  <c r="L187" i="2"/>
  <c r="M187" i="2"/>
  <c r="L284" i="2"/>
  <c r="M284" i="2"/>
  <c r="L110" i="2"/>
  <c r="M110" i="2"/>
  <c r="L275" i="2"/>
  <c r="M275" i="2"/>
  <c r="L175" i="2"/>
  <c r="M175" i="2"/>
  <c r="L231" i="2"/>
  <c r="M231" i="2"/>
  <c r="L138" i="2"/>
  <c r="M138" i="2"/>
  <c r="L88" i="2"/>
  <c r="M88" i="2"/>
  <c r="L82" i="2"/>
  <c r="M82" i="2"/>
  <c r="L26" i="2"/>
  <c r="M26" i="2"/>
  <c r="L220" i="2"/>
  <c r="M220" i="2"/>
  <c r="L203" i="2"/>
  <c r="M203" i="2"/>
  <c r="L229" i="2"/>
  <c r="M229" i="2"/>
  <c r="L295" i="2"/>
  <c r="M295" i="2"/>
  <c r="L24" i="2"/>
  <c r="M24" i="2"/>
  <c r="L238" i="2"/>
  <c r="M238" i="2"/>
  <c r="L265" i="2"/>
  <c r="M265" i="2"/>
  <c r="L279" i="2"/>
  <c r="M279" i="2"/>
  <c r="L152" i="2"/>
  <c r="M152" i="2"/>
  <c r="L154" i="2"/>
  <c r="M154" i="2"/>
  <c r="L289" i="2"/>
  <c r="M289" i="2"/>
  <c r="L272" i="2"/>
  <c r="M272" i="2"/>
  <c r="L101" i="2"/>
  <c r="M101" i="2"/>
  <c r="L273" i="2"/>
  <c r="M273" i="2"/>
  <c r="L68" i="2"/>
  <c r="M68" i="2"/>
  <c r="L112" i="2"/>
  <c r="M112" i="2"/>
  <c r="L235" i="2"/>
  <c r="M235" i="2"/>
  <c r="L99" i="2"/>
  <c r="M99" i="2"/>
  <c r="L145" i="2"/>
  <c r="M145" i="2"/>
  <c r="L224" i="2"/>
  <c r="M224" i="2"/>
  <c r="L136" i="2"/>
  <c r="M136" i="2"/>
  <c r="L87" i="2"/>
  <c r="M87" i="2"/>
  <c r="L155" i="2"/>
  <c r="M155" i="2"/>
  <c r="L33" i="2"/>
  <c r="M33" i="2"/>
  <c r="L114" i="2"/>
  <c r="M114" i="2"/>
  <c r="L253" i="2"/>
  <c r="M253" i="2"/>
  <c r="L190" i="2"/>
  <c r="M190" i="2"/>
  <c r="L134" i="2"/>
  <c r="M134" i="2"/>
  <c r="L206" i="2"/>
  <c r="M206" i="2"/>
  <c r="L127" i="2"/>
  <c r="M127" i="2"/>
  <c r="L168" i="2"/>
  <c r="M168" i="2"/>
  <c r="L5" i="2"/>
  <c r="M5" i="2"/>
  <c r="L76" i="2"/>
  <c r="M76" i="2"/>
  <c r="L299" i="2"/>
  <c r="M299" i="2"/>
  <c r="L15" i="2"/>
  <c r="M15" i="2"/>
  <c r="L115" i="2"/>
  <c r="M115" i="2"/>
  <c r="L274" i="2"/>
  <c r="M274" i="2"/>
  <c r="L52" i="2"/>
  <c r="M52" i="2"/>
  <c r="L58" i="2"/>
  <c r="M58" i="2"/>
  <c r="L214" i="2"/>
  <c r="M214" i="2"/>
  <c r="L119" i="2"/>
  <c r="M119" i="2"/>
  <c r="L39" i="2"/>
  <c r="M39" i="2"/>
  <c r="L191" i="2"/>
  <c r="M191" i="2"/>
  <c r="L96" i="2"/>
  <c r="M96" i="2"/>
  <c r="L210" i="2"/>
  <c r="M210" i="2"/>
  <c r="L243" i="2"/>
  <c r="M243" i="2"/>
  <c r="L16" i="2"/>
  <c r="M16" i="2"/>
  <c r="L102" i="2"/>
  <c r="M102" i="2"/>
  <c r="L83" i="2"/>
  <c r="M83" i="2"/>
  <c r="L59" i="2"/>
  <c r="M59" i="2"/>
  <c r="L36" i="2"/>
  <c r="M36" i="2"/>
  <c r="L188" i="2"/>
  <c r="M188" i="2"/>
  <c r="L249" i="2"/>
  <c r="M249" i="2"/>
  <c r="L221" i="2"/>
  <c r="M221" i="2"/>
  <c r="L37" i="2"/>
  <c r="M37" i="2"/>
  <c r="L218" i="2"/>
  <c r="M218" i="2"/>
  <c r="L77" i="2"/>
  <c r="M77" i="2"/>
  <c r="L172" i="2"/>
  <c r="M172" i="2"/>
  <c r="L2" i="2"/>
  <c r="M2" i="2"/>
  <c r="L244" i="2"/>
  <c r="M244" i="2"/>
  <c r="L248" i="2"/>
  <c r="M248" i="2"/>
  <c r="L173" i="2"/>
  <c r="M173" i="2"/>
  <c r="L98" i="2"/>
  <c r="M98" i="2"/>
  <c r="L216" i="2"/>
  <c r="M216" i="2"/>
  <c r="L156" i="2"/>
  <c r="M156" i="2"/>
  <c r="L18" i="2"/>
  <c r="M18" i="2"/>
  <c r="L139" i="2"/>
  <c r="M139" i="2"/>
  <c r="L254" i="2"/>
  <c r="M254" i="2"/>
  <c r="L157" i="2"/>
  <c r="M157" i="2"/>
  <c r="L222" i="2"/>
  <c r="M222" i="2"/>
  <c r="L153" i="2"/>
  <c r="M153" i="2"/>
  <c r="L35" i="2"/>
  <c r="M35" i="2"/>
  <c r="L19" i="2"/>
  <c r="M19" i="2"/>
  <c r="L277" i="2"/>
  <c r="M277" i="2"/>
  <c r="L245" i="2"/>
  <c r="M245" i="2"/>
  <c r="L60" i="2"/>
  <c r="M60" i="2"/>
  <c r="L20" i="2"/>
  <c r="M20" i="2"/>
  <c r="L158" i="2"/>
  <c r="M158" i="2"/>
  <c r="L239" i="2"/>
  <c r="M239" i="2"/>
  <c r="L201" i="2"/>
  <c r="M201" i="2"/>
  <c r="L40" i="2"/>
  <c r="M40" i="2"/>
  <c r="L117" i="2"/>
  <c r="M117" i="2"/>
  <c r="L176" i="2"/>
  <c r="M176" i="2"/>
  <c r="L192" i="2"/>
  <c r="M192" i="2"/>
  <c r="L84" i="2"/>
  <c r="M84" i="2"/>
  <c r="L267" i="2"/>
  <c r="M267" i="2"/>
  <c r="L177" i="2"/>
  <c r="M177" i="2"/>
  <c r="L280" i="2"/>
  <c r="M280" i="2"/>
  <c r="L32" i="2"/>
  <c r="M32" i="2"/>
  <c r="L281" i="2"/>
  <c r="M281" i="2"/>
  <c r="L3" i="2"/>
  <c r="M3" i="2"/>
  <c r="L261" i="2"/>
  <c r="M261" i="2"/>
  <c r="L61" i="2"/>
  <c r="M61" i="2"/>
  <c r="L282" i="2"/>
  <c r="M282" i="2"/>
  <c r="L103" i="2"/>
  <c r="M103" i="2"/>
  <c r="L178" i="2"/>
  <c r="M178" i="2"/>
  <c r="L225" i="2"/>
  <c r="M225" i="2"/>
  <c r="L104" i="2"/>
  <c r="M104" i="2"/>
  <c r="L193" i="2"/>
  <c r="M193" i="2"/>
  <c r="L283" i="2"/>
  <c r="M283" i="2"/>
  <c r="L140" i="2"/>
  <c r="M140" i="2"/>
  <c r="L262" i="2"/>
  <c r="M262" i="2"/>
  <c r="L159" i="2"/>
  <c r="M159" i="2"/>
  <c r="L122" i="2"/>
  <c r="M122" i="2"/>
  <c r="L41" i="2"/>
  <c r="M41" i="2"/>
  <c r="L85" i="2"/>
  <c r="M85" i="2"/>
  <c r="L62" i="2"/>
  <c r="M62" i="2"/>
  <c r="L42" i="2"/>
  <c r="M42" i="2"/>
  <c r="L141" i="2"/>
  <c r="M141" i="2"/>
  <c r="L123" i="2"/>
  <c r="M123" i="2"/>
  <c r="L4" i="2"/>
  <c r="M4" i="2"/>
  <c r="L207" i="2"/>
  <c r="M207" i="2"/>
  <c r="L246" i="2"/>
  <c r="M246" i="2"/>
  <c r="L21" i="2"/>
  <c r="M21" i="2"/>
  <c r="L63" i="2"/>
  <c r="M63" i="2"/>
  <c r="M149" i="2"/>
  <c r="L149" i="2"/>
</calcChain>
</file>

<file path=xl/sharedStrings.xml><?xml version="1.0" encoding="utf-8"?>
<sst xmlns="http://schemas.openxmlformats.org/spreadsheetml/2006/main" count="3053" uniqueCount="458">
  <si>
    <t>Player</t>
  </si>
  <si>
    <t>Roster Position</t>
  </si>
  <si>
    <t>%Drafted</t>
  </si>
  <si>
    <t>FPTS</t>
  </si>
  <si>
    <t>Connor McDavid</t>
  </si>
  <si>
    <t>C</t>
  </si>
  <si>
    <t>Zach Hyman</t>
  </si>
  <si>
    <t>W</t>
  </si>
  <si>
    <t>Matt Duchene</t>
  </si>
  <si>
    <t>Jake Walman</t>
  </si>
  <si>
    <t>D</t>
  </si>
  <si>
    <t>Cole Caufield</t>
  </si>
  <si>
    <t>Spencer Knight</t>
  </si>
  <si>
    <t>G</t>
  </si>
  <si>
    <t>Ryan O'Reilly</t>
  </si>
  <si>
    <t>Ryan Nugent-Hopkins</t>
  </si>
  <si>
    <t>Alexander Nikishin</t>
  </si>
  <si>
    <t>Filip Gustavsson</t>
  </si>
  <si>
    <t>Nick Suzuki</t>
  </si>
  <si>
    <t>UTIL</t>
  </si>
  <si>
    <t>Seth Jarvis</t>
  </si>
  <si>
    <t>Vladimir Tarasenko</t>
  </si>
  <si>
    <t>Filip Forsberg</t>
  </si>
  <si>
    <t>Sebastian Aho</t>
  </si>
  <si>
    <t>Roope Hintz</t>
  </si>
  <si>
    <t>Andrei Svechnikov</t>
  </si>
  <si>
    <t>Wyatt Johnston</t>
  </si>
  <si>
    <t>Evan Bouchard</t>
  </si>
  <si>
    <t>Lane Hutson</t>
  </si>
  <si>
    <t>Connor Hellebuyck</t>
  </si>
  <si>
    <t>Jason Robertson</t>
  </si>
  <si>
    <t>Luke Evangelista</t>
  </si>
  <si>
    <t>Kirby Dach</t>
  </si>
  <si>
    <t>Mats Zuccarello</t>
  </si>
  <si>
    <t>Kirill Kaprizov</t>
  </si>
  <si>
    <t>Ivan Demidov</t>
  </si>
  <si>
    <t>Casey DeSmith</t>
  </si>
  <si>
    <t>Roman Josi</t>
  </si>
  <si>
    <t>Nikolaj Ehlers</t>
  </si>
  <si>
    <t>Tage Thompson</t>
  </si>
  <si>
    <t>Jack Eichel</t>
  </si>
  <si>
    <t>Ryan Hartman</t>
  </si>
  <si>
    <t>K'Andre Miller</t>
  </si>
  <si>
    <t>Tristan Jarry</t>
  </si>
  <si>
    <t>Ryan Shea</t>
  </si>
  <si>
    <t>Mark Scheifele</t>
  </si>
  <si>
    <t>Quinn Hughes</t>
  </si>
  <si>
    <t>Esa Lindell</t>
  </si>
  <si>
    <t>Steven Stamkos</t>
  </si>
  <si>
    <t>Juraj Slafkovsky</t>
  </si>
  <si>
    <t>Mark Stone</t>
  </si>
  <si>
    <t>Kyle Connor</t>
  </si>
  <si>
    <t>Mattias Ekholm</t>
  </si>
  <si>
    <t>Jackson Blake</t>
  </si>
  <si>
    <t>Josh Doan</t>
  </si>
  <si>
    <t>Josh Morrissey</t>
  </si>
  <si>
    <t>Rasmus Dahlin</t>
  </si>
  <si>
    <t>Pavel Dorofeyev</t>
  </si>
  <si>
    <t>Cam Talbot</t>
  </si>
  <si>
    <t>Logan Stankoven</t>
  </si>
  <si>
    <t>Rickard Rakell</t>
  </si>
  <si>
    <t>Jet Greaves</t>
  </si>
  <si>
    <t>Hampus Lindholm</t>
  </si>
  <si>
    <t>Mitch Marner</t>
  </si>
  <si>
    <t>Noah Ostlund</t>
  </si>
  <si>
    <t>Mike Matheson</t>
  </si>
  <si>
    <t>Arturs Silovs</t>
  </si>
  <si>
    <t>Oliver Kapanen</t>
  </si>
  <si>
    <t>Juuse Saros</t>
  </si>
  <si>
    <t>Egor Chinakhov</t>
  </si>
  <si>
    <t>Zach Werenski</t>
  </si>
  <si>
    <t>Taylor Hall</t>
  </si>
  <si>
    <t>Evgeni Malkin</t>
  </si>
  <si>
    <t>Dylan Cozens</t>
  </si>
  <si>
    <t>Viktor Arvidsson</t>
  </si>
  <si>
    <t>Jack Roslovic</t>
  </si>
  <si>
    <t>Sean Walker</t>
  </si>
  <si>
    <t>Tomas Hertl</t>
  </si>
  <si>
    <t>Miro Heiskanen</t>
  </si>
  <si>
    <t>Adam Fantilli</t>
  </si>
  <si>
    <t>Brady Tkachuk</t>
  </si>
  <si>
    <t>Ridly Greig</t>
  </si>
  <si>
    <t>Gabriel Vilardi</t>
  </si>
  <si>
    <t>Alexandre Carrier</t>
  </si>
  <si>
    <t>Akira Schmid</t>
  </si>
  <si>
    <t>Sidney Crosby</t>
  </si>
  <si>
    <t>Joel Eriksson Ek</t>
  </si>
  <si>
    <t>Ukko-Pekka Luukkonen</t>
  </si>
  <si>
    <t>Mavrik Bourque</t>
  </si>
  <si>
    <t>Jordan Staal</t>
  </si>
  <si>
    <t>Alex DeBrincat</t>
  </si>
  <si>
    <t>David Pastrnak</t>
  </si>
  <si>
    <t>Thomas Harley</t>
  </si>
  <si>
    <t>Mattias Samuelsson</t>
  </si>
  <si>
    <t>Konsta Helenius</t>
  </si>
  <si>
    <t>Bryan Rust</t>
  </si>
  <si>
    <t>Frederik Andersen</t>
  </si>
  <si>
    <t>Brady Skjei</t>
  </si>
  <si>
    <t>Casey Mittelstadt</t>
  </si>
  <si>
    <t>Elias Lindholm</t>
  </si>
  <si>
    <t>Ivan Barbashev</t>
  </si>
  <si>
    <t>Mason Marchment</t>
  </si>
  <si>
    <t>Matt Savoie</t>
  </si>
  <si>
    <t>Uvis Balinskis</t>
  </si>
  <si>
    <t>Thomas Chabot</t>
  </si>
  <si>
    <t>Jonathan Toews</t>
  </si>
  <si>
    <t>Jason Zucker</t>
  </si>
  <si>
    <t>Matthew Tkachuk</t>
  </si>
  <si>
    <t>Jack Quinn</t>
  </si>
  <si>
    <t>Daniil Tarasov</t>
  </si>
  <si>
    <t>Brock Faber</t>
  </si>
  <si>
    <t>James Reimer</t>
  </si>
  <si>
    <t>Noah Dobson</t>
  </si>
  <si>
    <t>Kirill Marchenko</t>
  </si>
  <si>
    <t>Louis Crevier</t>
  </si>
  <si>
    <t>Ivan Provorov</t>
  </si>
  <si>
    <t>Jake Sanderson</t>
  </si>
  <si>
    <t>Alex Iafallo</t>
  </si>
  <si>
    <t>Darnell Nurse</t>
  </si>
  <si>
    <t>Justin Brazeau</t>
  </si>
  <si>
    <t>Drake Batherson</t>
  </si>
  <si>
    <t>Tommy Novak</t>
  </si>
  <si>
    <t>Jaccob Slavin</t>
  </si>
  <si>
    <t>Artyom Levshunov</t>
  </si>
  <si>
    <t>Morgan Geekie</t>
  </si>
  <si>
    <t>Sam Montembeault</t>
  </si>
  <si>
    <t>Charlie McAvoy</t>
  </si>
  <si>
    <t>Carter Verhaeghe</t>
  </si>
  <si>
    <t>Vasily Podkolzin</t>
  </si>
  <si>
    <t>Alex Tuch</t>
  </si>
  <si>
    <t>Joonas Korpisalo</t>
  </si>
  <si>
    <t>Boone Jenner</t>
  </si>
  <si>
    <t>Jordan Martinook</t>
  </si>
  <si>
    <t>Tim Stuetzle</t>
  </si>
  <si>
    <t>Ryan McLeod</t>
  </si>
  <si>
    <t>Pavel Zacha</t>
  </si>
  <si>
    <t>Andrew Copp</t>
  </si>
  <si>
    <t>Jamie Benn</t>
  </si>
  <si>
    <t>Sean Monahan</t>
  </si>
  <si>
    <t>Ryan Greene</t>
  </si>
  <si>
    <t>Moritz Seider</t>
  </si>
  <si>
    <t>Shea Theodore</t>
  </si>
  <si>
    <t>Connor Bedard</t>
  </si>
  <si>
    <t>Sam Bennett</t>
  </si>
  <si>
    <t>Dylan Larkin</t>
  </si>
  <si>
    <t>Charlie Coyle</t>
  </si>
  <si>
    <t>Erik Haula</t>
  </si>
  <si>
    <t>Anthony Mantha</t>
  </si>
  <si>
    <t>Fabian Zetterlund</t>
  </si>
  <si>
    <t>Anton Lundell</t>
  </si>
  <si>
    <t>Sam Steel</t>
  </si>
  <si>
    <t>Marat Khusnutdinov</t>
  </si>
  <si>
    <t>Damon Severson</t>
  </si>
  <si>
    <t>Kent Johnson</t>
  </si>
  <si>
    <t>Patrick Kane</t>
  </si>
  <si>
    <t>Brett Kulak</t>
  </si>
  <si>
    <t>Michael Bunting</t>
  </si>
  <si>
    <t>Shane Pinto</t>
  </si>
  <si>
    <t>Tyler Bertuzzi</t>
  </si>
  <si>
    <t>Claude Giroux</t>
  </si>
  <si>
    <t>Jared Spurgeon</t>
  </si>
  <si>
    <t>Ben Kindel</t>
  </si>
  <si>
    <t>Isaac Howard</t>
  </si>
  <si>
    <t>Cole Perfetti</t>
  </si>
  <si>
    <t>Andre Burakovsky</t>
  </si>
  <si>
    <t>Nick Blankenburg</t>
  </si>
  <si>
    <t>Leon Draisaitl</t>
  </si>
  <si>
    <t>Marco Kasper</t>
  </si>
  <si>
    <t>Dylan DeMelo</t>
  </si>
  <si>
    <t>Dylan Samberg</t>
  </si>
  <si>
    <t>James van Riemsdyk</t>
  </si>
  <si>
    <t>Owen Power</t>
  </si>
  <si>
    <t>Jake Middleton</t>
  </si>
  <si>
    <t>Ben Chiarot</t>
  </si>
  <si>
    <t>Artem Zub</t>
  </si>
  <si>
    <t>Mason Lohrei</t>
  </si>
  <si>
    <t>Reilly Smith</t>
  </si>
  <si>
    <t>Bowen Byram</t>
  </si>
  <si>
    <t>Lucas Raymond</t>
  </si>
  <si>
    <t>Justin Hryckowian</t>
  </si>
  <si>
    <t>Brendan Gallagher</t>
  </si>
  <si>
    <t>Jalen Chatfield</t>
  </si>
  <si>
    <t>Simon Edvinsson</t>
  </si>
  <si>
    <t>Eetu Luostarinen</t>
  </si>
  <si>
    <t>Noah Hanifin</t>
  </si>
  <si>
    <t>Zach Benson</t>
  </si>
  <si>
    <t>Michael Amadio</t>
  </si>
  <si>
    <t>Fraser Minten</t>
  </si>
  <si>
    <t>Jonathan Marchessault</t>
  </si>
  <si>
    <t>Sam Reinhart</t>
  </si>
  <si>
    <t>Kaiden Guhle</t>
  </si>
  <si>
    <t>Josh Anderson</t>
  </si>
  <si>
    <t>Danila Yurov</t>
  </si>
  <si>
    <t>Nikita Zadorov</t>
  </si>
  <si>
    <t>Marcus Johansson</t>
  </si>
  <si>
    <t>Matthew Wood</t>
  </si>
  <si>
    <t>Braeden Bowman</t>
  </si>
  <si>
    <t>Parker Wotherspoon</t>
  </si>
  <si>
    <t>Cole Sillinger</t>
  </si>
  <si>
    <t>Erik Gudbranson</t>
  </si>
  <si>
    <t>Logan Stanley</t>
  </si>
  <si>
    <t>Gustav Forsling</t>
  </si>
  <si>
    <t>Evan Rodrigues</t>
  </si>
  <si>
    <t>Jeremy Lauzon</t>
  </si>
  <si>
    <t>Erik Karlsson</t>
  </si>
  <si>
    <t>Aaron Ekblad</t>
  </si>
  <si>
    <t>Mathieu Olivier</t>
  </si>
  <si>
    <t>Wyatt Kaiser</t>
  </si>
  <si>
    <t>Kaedan Korczak</t>
  </si>
  <si>
    <t>Marcus Foligno</t>
  </si>
  <si>
    <t>Frank Nazar</t>
  </si>
  <si>
    <t>Vladislav Namestnikov</t>
  </si>
  <si>
    <t>Andrew Peeke</t>
  </si>
  <si>
    <t>Brandon Bussi</t>
  </si>
  <si>
    <t>Alex Vlasic</t>
  </si>
  <si>
    <t>Nils Lundkvist</t>
  </si>
  <si>
    <t>Mackie Samoskevich</t>
  </si>
  <si>
    <t>Dylan Coghlan</t>
  </si>
  <si>
    <t>Keegan Kolesar</t>
  </si>
  <si>
    <t>Dmitri Voronkov</t>
  </si>
  <si>
    <t>A.J. Greer</t>
  </si>
  <si>
    <t>Adam Lowry</t>
  </si>
  <si>
    <t>Nino Niederreiter</t>
  </si>
  <si>
    <t>Jack St. Ivany</t>
  </si>
  <si>
    <t>Zack Bolduc</t>
  </si>
  <si>
    <t>Phillip Danault</t>
  </si>
  <si>
    <t>Ryan Donato</t>
  </si>
  <si>
    <t>Yakov Trenin</t>
  </si>
  <si>
    <t>Nicolas Hague</t>
  </si>
  <si>
    <t>Axel Sandin-Pellikka</t>
  </si>
  <si>
    <t>Nick Perbix</t>
  </si>
  <si>
    <t>Ilya Mikheyev</t>
  </si>
  <si>
    <t>Mark Jankowski</t>
  </si>
  <si>
    <t>Ty Emberson</t>
  </si>
  <si>
    <t>Alex Steeves</t>
  </si>
  <si>
    <t>Peyton Krebs</t>
  </si>
  <si>
    <t>Vinnie Hinostroza</t>
  </si>
  <si>
    <t>Michael Kesselring</t>
  </si>
  <si>
    <t>Niko Mikkola</t>
  </si>
  <si>
    <t>Connor Murphy</t>
  </si>
  <si>
    <t>Morgan Barron</t>
  </si>
  <si>
    <t>Connor Clifton</t>
  </si>
  <si>
    <t>Michael Rasmussen</t>
  </si>
  <si>
    <t>Jayden Struble</t>
  </si>
  <si>
    <t>Jake Evans</t>
  </si>
  <si>
    <t>J.T. Compher</t>
  </si>
  <si>
    <t>Jordan Spence</t>
  </si>
  <si>
    <t>Noel Acciari</t>
  </si>
  <si>
    <t>Alexander Petrovic</t>
  </si>
  <si>
    <t>John Gibson</t>
  </si>
  <si>
    <t>Jeff Petry</t>
  </si>
  <si>
    <t>Mason Appleton</t>
  </si>
  <si>
    <t>Tanner Laczynski</t>
  </si>
  <si>
    <t>Oskar Back</t>
  </si>
  <si>
    <t>Joe Veleno</t>
  </si>
  <si>
    <t>Jason Dickinson</t>
  </si>
  <si>
    <t>Alex Lyon</t>
  </si>
  <si>
    <t>Nick Jensen</t>
  </si>
  <si>
    <t>Nick Foligno</t>
  </si>
  <si>
    <t>William Carrier</t>
  </si>
  <si>
    <t>Blake Lizotte</t>
  </si>
  <si>
    <t>Leevi Merilainen</t>
  </si>
  <si>
    <t>Sean Kuraly</t>
  </si>
  <si>
    <t>Jake Oettinger</t>
  </si>
  <si>
    <t>Albert Johansson</t>
  </si>
  <si>
    <t>Tobias Bjornfot</t>
  </si>
  <si>
    <t>David Jiricek</t>
  </si>
  <si>
    <t>Emmitt Finnie</t>
  </si>
  <si>
    <t>Michael McCarron</t>
  </si>
  <si>
    <t>Fedor Svechkov</t>
  </si>
  <si>
    <t>Ben Hutton</t>
  </si>
  <si>
    <t>Matt Grzelcyk</t>
  </si>
  <si>
    <t>Radek Faksa</t>
  </si>
  <si>
    <t>Jonathan Aspirot</t>
  </si>
  <si>
    <t>Trent Frederic</t>
  </si>
  <si>
    <t>Cole Reinhardt</t>
  </si>
  <si>
    <t>Alexander Holtz</t>
  </si>
  <si>
    <t>Ethan Del Mastro</t>
  </si>
  <si>
    <t>name</t>
  </si>
  <si>
    <t>team</t>
  </si>
  <si>
    <t>position</t>
  </si>
  <si>
    <t>salary</t>
  </si>
  <si>
    <t>projected_fpts</t>
  </si>
  <si>
    <t>dk_avg_fpts</t>
  </si>
  <si>
    <t>edge</t>
  </si>
  <si>
    <t>value</t>
  </si>
  <si>
    <t>floor</t>
  </si>
  <si>
    <t>ceiling</t>
  </si>
  <si>
    <t>player_type</t>
  </si>
  <si>
    <t>EDM</t>
  </si>
  <si>
    <t>skater</t>
  </si>
  <si>
    <t>MIN</t>
  </si>
  <si>
    <t>L</t>
  </si>
  <si>
    <t>BOS</t>
  </si>
  <si>
    <t>R</t>
  </si>
  <si>
    <t>CBJ</t>
  </si>
  <si>
    <t>WPG</t>
  </si>
  <si>
    <t>VGK</t>
  </si>
  <si>
    <t>OTT</t>
  </si>
  <si>
    <t>BUF</t>
  </si>
  <si>
    <t>NSH</t>
  </si>
  <si>
    <t>FLA</t>
  </si>
  <si>
    <t>PIT</t>
  </si>
  <si>
    <t>CAR</t>
  </si>
  <si>
    <t>MTL</t>
  </si>
  <si>
    <t>DET</t>
  </si>
  <si>
    <t>DAL</t>
  </si>
  <si>
    <t>CHI</t>
  </si>
  <si>
    <t>Sam Rinzel</t>
  </si>
  <si>
    <t>Ville Koivunen</t>
  </si>
  <si>
    <t>William Karlsson</t>
  </si>
  <si>
    <t>Alex Pietrangelo</t>
  </si>
  <si>
    <t>Jiri Kulich</t>
  </si>
  <si>
    <t>Teuvo Teravainen</t>
  </si>
  <si>
    <t>Jonas Brodin</t>
  </si>
  <si>
    <t>Brett Howden</t>
  </si>
  <si>
    <t>David Perron</t>
  </si>
  <si>
    <t>Adam Wilsby</t>
  </si>
  <si>
    <t>Jesperi Kotkaniemi</t>
  </si>
  <si>
    <t>Kevin Hayes</t>
  </si>
  <si>
    <t>Luca Del Bel Belluz</t>
  </si>
  <si>
    <t>Colin Miller</t>
  </si>
  <si>
    <t>Elmer Soderblom</t>
  </si>
  <si>
    <t>Brayden McNabb</t>
  </si>
  <si>
    <t>Erik Gustafsson</t>
  </si>
  <si>
    <t>Denton Mateychuk</t>
  </si>
  <si>
    <t>Justin Danforth</t>
  </si>
  <si>
    <t>Eric Robinson</t>
  </si>
  <si>
    <t>Lian Bichsel</t>
  </si>
  <si>
    <t>Alex Newhook</t>
  </si>
  <si>
    <t>Tanner Pearson</t>
  </si>
  <si>
    <t>Rutger McGroarty</t>
  </si>
  <si>
    <t>Zach Bogosian</t>
  </si>
  <si>
    <t>Adam Henrique</t>
  </si>
  <si>
    <t>Travis Hamonic</t>
  </si>
  <si>
    <t>Nick Cousins</t>
  </si>
  <si>
    <t>Haydn Fleury</t>
  </si>
  <si>
    <t>Dmitry Kulikov</t>
  </si>
  <si>
    <t>Brendan Smith</t>
  </si>
  <si>
    <t>Tyler Kleven</t>
  </si>
  <si>
    <t>Oliver Moore</t>
  </si>
  <si>
    <t>Nikolas Matinpalo</t>
  </si>
  <si>
    <t>Jesper Boqvist</t>
  </si>
  <si>
    <t>Arber Xhekaj</t>
  </si>
  <si>
    <t>Colton Sissons</t>
  </si>
  <si>
    <t>Jake Christiansen</t>
  </si>
  <si>
    <t>Cole Koepke</t>
  </si>
  <si>
    <t>Ilya Lyubushkin</t>
  </si>
  <si>
    <t>Zach Aston-Reese</t>
  </si>
  <si>
    <t>Spencer Stastney</t>
  </si>
  <si>
    <t>Colin Blackwell</t>
  </si>
  <si>
    <t>Tyson Jost</t>
  </si>
  <si>
    <t>Joshua Roy</t>
  </si>
  <si>
    <t>Colton Dach</t>
  </si>
  <si>
    <t>Owen Pickering</t>
  </si>
  <si>
    <t>Mark Kastelic</t>
  </si>
  <si>
    <t>Jordan Harris</t>
  </si>
  <si>
    <t>Jordan Greenway</t>
  </si>
  <si>
    <t>Jacob Bryson</t>
  </si>
  <si>
    <t>Michael Callahan</t>
  </si>
  <si>
    <t>Ryan Graves</t>
  </si>
  <si>
    <t>Landon Slaggert</t>
  </si>
  <si>
    <t>Cole Smith</t>
  </si>
  <si>
    <t>Jaycob Megna</t>
  </si>
  <si>
    <t>Tyson Kozak</t>
  </si>
  <si>
    <t>Noah Philp</t>
  </si>
  <si>
    <t>Jonah Gadjovich</t>
  </si>
  <si>
    <t>Ozzy Wiesblatt</t>
  </si>
  <si>
    <t>Mattias Janmark</t>
  </si>
  <si>
    <t>Beck Malenstyn</t>
  </si>
  <si>
    <t>Isak Rosen</t>
  </si>
  <si>
    <t>Cole Schwindt</t>
  </si>
  <si>
    <t>Joona Koppanen</t>
  </si>
  <si>
    <t>Mikael Pyyhtia</t>
  </si>
  <si>
    <t>Sam Lafferty</t>
  </si>
  <si>
    <t>Tomas Nosek</t>
  </si>
  <si>
    <t>Riley Stillman</t>
  </si>
  <si>
    <t>Brendan Gaunce</t>
  </si>
  <si>
    <t>Owen Beck</t>
  </si>
  <si>
    <t>Joey Anderson</t>
  </si>
  <si>
    <t>Ben Jones</t>
  </si>
  <si>
    <t>Brad Lambert</t>
  </si>
  <si>
    <t>Dominic Toninato</t>
  </si>
  <si>
    <t>Riley Tufte</t>
  </si>
  <si>
    <t>goalie</t>
  </si>
  <si>
    <t>Linus Ullmark</t>
  </si>
  <si>
    <t>Jakub Dobes</t>
  </si>
  <si>
    <t>Eric Comrie</t>
  </si>
  <si>
    <t>Calvin Pickard</t>
  </si>
  <si>
    <t>Adin Hill</t>
  </si>
  <si>
    <t>Sergei Bobrovsky</t>
  </si>
  <si>
    <t>Arvid Soderblom</t>
  </si>
  <si>
    <t>Elvis Merzlikins</t>
  </si>
  <si>
    <t>Pyotr Kochetkov</t>
  </si>
  <si>
    <t>Stuart Skinner</t>
  </si>
  <si>
    <t>actual</t>
  </si>
  <si>
    <t>ownership</t>
  </si>
  <si>
    <t>Team</t>
  </si>
  <si>
    <t>Position</t>
  </si>
  <si>
    <t>GP</t>
  </si>
  <si>
    <t>TOI</t>
  </si>
  <si>
    <t>Goals</t>
  </si>
  <si>
    <t>Total Assists</t>
  </si>
  <si>
    <t>First Assists</t>
  </si>
  <si>
    <t>Second Assists</t>
  </si>
  <si>
    <t>Total Points</t>
  </si>
  <si>
    <t>IPP</t>
  </si>
  <si>
    <t>Shots</t>
  </si>
  <si>
    <t>SH%</t>
  </si>
  <si>
    <t>ixG</t>
  </si>
  <si>
    <t>iCF</t>
  </si>
  <si>
    <t>iFF</t>
  </si>
  <si>
    <t>iSCF</t>
  </si>
  <si>
    <t>iHDCF</t>
  </si>
  <si>
    <t>Rush Attempts</t>
  </si>
  <si>
    <t>Rebounds Created</t>
  </si>
  <si>
    <t>PIM</t>
  </si>
  <si>
    <t>Total Penalties</t>
  </si>
  <si>
    <t>Minor</t>
  </si>
  <si>
    <t>Major</t>
  </si>
  <si>
    <t>Misconduct</t>
  </si>
  <si>
    <t>Penalties Drawn</t>
  </si>
  <si>
    <t>Giveaways</t>
  </si>
  <si>
    <t>Takeaways</t>
  </si>
  <si>
    <t>Hits</t>
  </si>
  <si>
    <t>Hits Taken</t>
  </si>
  <si>
    <t>Shots Blocked</t>
  </si>
  <si>
    <t>Faceoffs Won</t>
  </si>
  <si>
    <t>Faceoffs Lost</t>
  </si>
  <si>
    <t>Faceoffs %</t>
  </si>
  <si>
    <t>-</t>
  </si>
  <si>
    <t>Lars Eller</t>
  </si>
  <si>
    <t>inf</t>
  </si>
  <si>
    <t>Tanner Jeannot</t>
  </si>
  <si>
    <t>Isac Lundeström</t>
  </si>
  <si>
    <t>Zachary Bolduc</t>
  </si>
  <si>
    <t>Joel Nystrom</t>
  </si>
  <si>
    <t>Stephen Halliday</t>
  </si>
  <si>
    <t>Nick Lardis</t>
  </si>
  <si>
    <t>Luke Schenn</t>
  </si>
  <si>
    <t>Tyler Pitlick</t>
  </si>
  <si>
    <t>Alex Petrovic</t>
  </si>
  <si>
    <t>Curtis Lazar</t>
  </si>
  <si>
    <t>Danton Heinen</t>
  </si>
  <si>
    <t>Andrew Mangiapane</t>
  </si>
  <si>
    <t>Luke Kunin</t>
  </si>
  <si>
    <t>Nathan Bastian</t>
  </si>
  <si>
    <t>Oskar Bäck</t>
  </si>
  <si>
    <t>Jacob Bernard-Docker</t>
  </si>
  <si>
    <t>Connor Dewar</t>
  </si>
  <si>
    <t>Egor Zamula</t>
  </si>
  <si>
    <t>Nico Sturm</t>
  </si>
  <si>
    <t>Daemon Hunt</t>
  </si>
  <si>
    <t>Justin Barron</t>
  </si>
  <si>
    <t>Tim Stützle</t>
  </si>
  <si>
    <t>Elias Salomonsson</t>
  </si>
  <si>
    <t>Juraj Slafkovský</t>
  </si>
  <si>
    <t>Sandis Vilmanis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</si>
</sst>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5E42-DEE9-444F-B9F4-BF1F3737C047}">
  <dimension ref="A1:D270"/>
  <sheetViews>
    <sheetView workbookViewId="0">
      <selection sqref="A1:D1048576"/>
    </sheetView>
  </sheetViews>
  <sheetFormatPr baseColWidth="10" defaultRowHeight="16" x14ac:dyDescent="0.2"/>
  <cols>
    <col min="1" max="1" width="20" bestFit="1" customWidth="1"/>
    <col min="2" max="2" width="13.33203125" bestFit="1" customWidth="1"/>
    <col min="3" max="3" width="8.83203125" bestFit="1" customWidth="1"/>
    <col min="4" max="4" width="5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>
        <v>0.26929999999999998</v>
      </c>
      <c r="D2">
        <v>1.5</v>
      </c>
    </row>
    <row r="3" spans="1:4" x14ac:dyDescent="0.2">
      <c r="A3" t="s">
        <v>6</v>
      </c>
      <c r="B3" t="s">
        <v>7</v>
      </c>
      <c r="C3" s="1">
        <v>0.21659999999999999</v>
      </c>
      <c r="D3">
        <v>6</v>
      </c>
    </row>
    <row r="4" spans="1:4" x14ac:dyDescent="0.2">
      <c r="A4" t="s">
        <v>8</v>
      </c>
      <c r="B4" t="s">
        <v>5</v>
      </c>
      <c r="C4" s="1">
        <v>0.20630000000000001</v>
      </c>
      <c r="D4">
        <v>3</v>
      </c>
    </row>
    <row r="5" spans="1:4" x14ac:dyDescent="0.2">
      <c r="A5" t="s">
        <v>9</v>
      </c>
      <c r="B5" t="s">
        <v>10</v>
      </c>
      <c r="C5" s="1">
        <v>0.18990000000000001</v>
      </c>
      <c r="D5">
        <v>15</v>
      </c>
    </row>
    <row r="6" spans="1:4" x14ac:dyDescent="0.2">
      <c r="A6" t="s">
        <v>11</v>
      </c>
      <c r="B6" t="s">
        <v>7</v>
      </c>
      <c r="C6" s="1">
        <v>0.182</v>
      </c>
      <c r="D6">
        <v>11.5</v>
      </c>
    </row>
    <row r="7" spans="1:4" x14ac:dyDescent="0.2">
      <c r="A7" t="s">
        <v>12</v>
      </c>
      <c r="B7" t="s">
        <v>13</v>
      </c>
      <c r="C7" s="1">
        <v>0.17910000000000001</v>
      </c>
      <c r="D7">
        <v>15.1</v>
      </c>
    </row>
    <row r="8" spans="1:4" x14ac:dyDescent="0.2">
      <c r="A8" t="s">
        <v>14</v>
      </c>
      <c r="B8" t="s">
        <v>5</v>
      </c>
      <c r="C8" s="1">
        <v>0.1593</v>
      </c>
      <c r="D8">
        <v>19.5</v>
      </c>
    </row>
    <row r="9" spans="1:4" x14ac:dyDescent="0.2">
      <c r="A9" t="s">
        <v>15</v>
      </c>
      <c r="B9" t="s">
        <v>5</v>
      </c>
      <c r="C9" s="1">
        <v>0.14799999999999999</v>
      </c>
      <c r="D9">
        <v>0</v>
      </c>
    </row>
    <row r="10" spans="1:4" x14ac:dyDescent="0.2">
      <c r="A10" t="s">
        <v>16</v>
      </c>
      <c r="B10" t="s">
        <v>10</v>
      </c>
      <c r="C10" s="1">
        <v>0.13830000000000001</v>
      </c>
      <c r="D10">
        <v>2.8</v>
      </c>
    </row>
    <row r="11" spans="1:4" x14ac:dyDescent="0.2">
      <c r="A11" t="s">
        <v>17</v>
      </c>
      <c r="B11" t="s">
        <v>13</v>
      </c>
      <c r="C11" s="1">
        <v>0.1338</v>
      </c>
      <c r="D11">
        <v>16.5</v>
      </c>
    </row>
    <row r="12" spans="1:4" x14ac:dyDescent="0.2">
      <c r="A12" t="s">
        <v>18</v>
      </c>
      <c r="B12" t="s">
        <v>19</v>
      </c>
      <c r="C12" s="1">
        <v>0.1321</v>
      </c>
      <c r="D12">
        <v>19.3</v>
      </c>
    </row>
    <row r="13" spans="1:4" x14ac:dyDescent="0.2">
      <c r="A13" t="s">
        <v>20</v>
      </c>
      <c r="B13" t="s">
        <v>7</v>
      </c>
      <c r="C13" s="1">
        <v>0.13039999999999999</v>
      </c>
      <c r="D13">
        <v>6</v>
      </c>
    </row>
    <row r="14" spans="1:4" x14ac:dyDescent="0.2">
      <c r="A14" t="s">
        <v>21</v>
      </c>
      <c r="B14" t="s">
        <v>7</v>
      </c>
      <c r="C14" s="1">
        <v>0.13039999999999999</v>
      </c>
      <c r="D14">
        <v>4.5</v>
      </c>
    </row>
    <row r="15" spans="1:4" x14ac:dyDescent="0.2">
      <c r="A15" t="s">
        <v>22</v>
      </c>
      <c r="B15" t="s">
        <v>7</v>
      </c>
      <c r="C15" s="1">
        <v>0.12640000000000001</v>
      </c>
      <c r="D15">
        <v>11</v>
      </c>
    </row>
    <row r="16" spans="1:4" x14ac:dyDescent="0.2">
      <c r="A16" t="s">
        <v>23</v>
      </c>
      <c r="B16" t="s">
        <v>5</v>
      </c>
      <c r="C16" s="1">
        <v>0.12130000000000001</v>
      </c>
      <c r="D16">
        <v>4.5</v>
      </c>
    </row>
    <row r="17" spans="1:4" x14ac:dyDescent="0.2">
      <c r="A17" t="s">
        <v>24</v>
      </c>
      <c r="B17" t="s">
        <v>5</v>
      </c>
      <c r="C17" s="1">
        <v>0.1179</v>
      </c>
      <c r="D17">
        <v>3</v>
      </c>
    </row>
    <row r="18" spans="1:4" x14ac:dyDescent="0.2">
      <c r="A18" t="s">
        <v>25</v>
      </c>
      <c r="B18" t="s">
        <v>7</v>
      </c>
      <c r="C18" s="1">
        <v>0.1168</v>
      </c>
      <c r="D18">
        <v>4.3</v>
      </c>
    </row>
    <row r="19" spans="1:4" x14ac:dyDescent="0.2">
      <c r="A19" t="s">
        <v>26</v>
      </c>
      <c r="B19" t="s">
        <v>7</v>
      </c>
      <c r="C19" s="1">
        <v>0.1162</v>
      </c>
      <c r="D19">
        <v>5.8</v>
      </c>
    </row>
    <row r="20" spans="1:4" x14ac:dyDescent="0.2">
      <c r="A20" t="s">
        <v>27</v>
      </c>
      <c r="B20" t="s">
        <v>10</v>
      </c>
      <c r="C20" s="1">
        <v>0.1139</v>
      </c>
      <c r="D20">
        <v>12.3</v>
      </c>
    </row>
    <row r="21" spans="1:4" x14ac:dyDescent="0.2">
      <c r="A21" t="s">
        <v>28</v>
      </c>
      <c r="B21" t="s">
        <v>10</v>
      </c>
      <c r="C21" s="1">
        <v>0.1094</v>
      </c>
      <c r="D21">
        <v>6</v>
      </c>
    </row>
    <row r="22" spans="1:4" x14ac:dyDescent="0.2">
      <c r="A22" t="s">
        <v>29</v>
      </c>
      <c r="B22" t="s">
        <v>13</v>
      </c>
      <c r="C22" s="1">
        <v>0.1071</v>
      </c>
      <c r="D22">
        <v>11.8</v>
      </c>
    </row>
    <row r="23" spans="1:4" x14ac:dyDescent="0.2">
      <c r="A23" t="s">
        <v>30</v>
      </c>
      <c r="B23" t="s">
        <v>19</v>
      </c>
      <c r="C23" s="1">
        <v>0.1026</v>
      </c>
      <c r="D23">
        <v>3</v>
      </c>
    </row>
    <row r="24" spans="1:4" x14ac:dyDescent="0.2">
      <c r="A24" t="s">
        <v>31</v>
      </c>
      <c r="B24" t="s">
        <v>7</v>
      </c>
      <c r="C24" s="1">
        <v>0.10150000000000001</v>
      </c>
      <c r="D24">
        <v>11.3</v>
      </c>
    </row>
    <row r="25" spans="1:4" x14ac:dyDescent="0.2">
      <c r="A25" t="s">
        <v>32</v>
      </c>
      <c r="B25" t="s">
        <v>7</v>
      </c>
      <c r="C25" s="1">
        <v>0.1003</v>
      </c>
      <c r="D25">
        <v>1.3</v>
      </c>
    </row>
    <row r="26" spans="1:4" x14ac:dyDescent="0.2">
      <c r="A26" t="s">
        <v>33</v>
      </c>
      <c r="B26" t="s">
        <v>7</v>
      </c>
      <c r="C26" s="1">
        <v>9.98E-2</v>
      </c>
      <c r="D26">
        <v>28</v>
      </c>
    </row>
    <row r="27" spans="1:4" x14ac:dyDescent="0.2">
      <c r="A27" t="s">
        <v>34</v>
      </c>
      <c r="B27" t="s">
        <v>7</v>
      </c>
      <c r="C27" s="1">
        <v>9.4700000000000006E-2</v>
      </c>
      <c r="D27">
        <v>40</v>
      </c>
    </row>
    <row r="28" spans="1:4" x14ac:dyDescent="0.2">
      <c r="A28" t="s">
        <v>35</v>
      </c>
      <c r="B28" t="s">
        <v>7</v>
      </c>
      <c r="C28" s="1">
        <v>9.35E-2</v>
      </c>
      <c r="D28">
        <v>4.3</v>
      </c>
    </row>
    <row r="29" spans="1:4" x14ac:dyDescent="0.2">
      <c r="A29" t="s">
        <v>36</v>
      </c>
      <c r="B29" t="s">
        <v>13</v>
      </c>
      <c r="C29" s="1">
        <v>9.01E-2</v>
      </c>
      <c r="D29">
        <v>11.2</v>
      </c>
    </row>
    <row r="30" spans="1:4" x14ac:dyDescent="0.2">
      <c r="A30" t="s">
        <v>37</v>
      </c>
      <c r="B30" t="s">
        <v>10</v>
      </c>
      <c r="C30" s="1">
        <v>8.8999999999999996E-2</v>
      </c>
      <c r="D30">
        <v>12.3</v>
      </c>
    </row>
    <row r="31" spans="1:4" x14ac:dyDescent="0.2">
      <c r="A31" t="s">
        <v>38</v>
      </c>
      <c r="B31" t="s">
        <v>7</v>
      </c>
      <c r="C31" s="1">
        <v>8.1100000000000005E-2</v>
      </c>
      <c r="D31">
        <v>5.8</v>
      </c>
    </row>
    <row r="32" spans="1:4" x14ac:dyDescent="0.2">
      <c r="A32" t="s">
        <v>39</v>
      </c>
      <c r="B32" t="s">
        <v>5</v>
      </c>
      <c r="C32" s="1">
        <v>7.8799999999999995E-2</v>
      </c>
      <c r="D32">
        <v>9.1</v>
      </c>
    </row>
    <row r="33" spans="1:4" x14ac:dyDescent="0.2">
      <c r="A33" t="s">
        <v>40</v>
      </c>
      <c r="B33" t="s">
        <v>5</v>
      </c>
      <c r="C33" s="1">
        <v>7.5399999999999995E-2</v>
      </c>
      <c r="D33">
        <v>19.5</v>
      </c>
    </row>
    <row r="34" spans="1:4" x14ac:dyDescent="0.2">
      <c r="A34" t="s">
        <v>41</v>
      </c>
      <c r="B34" t="s">
        <v>5</v>
      </c>
      <c r="C34" s="1">
        <v>7.4800000000000005E-2</v>
      </c>
      <c r="D34">
        <v>19</v>
      </c>
    </row>
    <row r="35" spans="1:4" x14ac:dyDescent="0.2">
      <c r="A35" t="s">
        <v>42</v>
      </c>
      <c r="B35" t="s">
        <v>10</v>
      </c>
      <c r="C35" s="1">
        <v>7.1999999999999995E-2</v>
      </c>
      <c r="D35">
        <v>1.5</v>
      </c>
    </row>
    <row r="36" spans="1:4" x14ac:dyDescent="0.2">
      <c r="A36" t="s">
        <v>43</v>
      </c>
      <c r="B36" t="s">
        <v>13</v>
      </c>
      <c r="C36" s="1">
        <v>7.1999999999999995E-2</v>
      </c>
      <c r="D36">
        <v>-9.8000000000000007</v>
      </c>
    </row>
    <row r="37" spans="1:4" x14ac:dyDescent="0.2">
      <c r="A37" t="s">
        <v>44</v>
      </c>
      <c r="B37" t="s">
        <v>10</v>
      </c>
      <c r="C37" s="1">
        <v>6.9199999999999998E-2</v>
      </c>
      <c r="D37">
        <v>7.8</v>
      </c>
    </row>
    <row r="38" spans="1:4" x14ac:dyDescent="0.2">
      <c r="A38" t="s">
        <v>45</v>
      </c>
      <c r="B38" t="s">
        <v>19</v>
      </c>
      <c r="C38" s="1">
        <v>6.8599999999999994E-2</v>
      </c>
      <c r="D38">
        <v>2.8</v>
      </c>
    </row>
    <row r="39" spans="1:4" x14ac:dyDescent="0.2">
      <c r="A39" t="s">
        <v>46</v>
      </c>
      <c r="B39" t="s">
        <v>10</v>
      </c>
      <c r="C39" s="1">
        <v>6.8000000000000005E-2</v>
      </c>
      <c r="D39">
        <v>22.5</v>
      </c>
    </row>
    <row r="40" spans="1:4" x14ac:dyDescent="0.2">
      <c r="A40" t="s">
        <v>47</v>
      </c>
      <c r="B40" t="s">
        <v>10</v>
      </c>
      <c r="C40" s="1">
        <v>6.8000000000000005E-2</v>
      </c>
      <c r="D40">
        <v>3</v>
      </c>
    </row>
    <row r="41" spans="1:4" x14ac:dyDescent="0.2">
      <c r="A41" t="s">
        <v>48</v>
      </c>
      <c r="B41" t="s">
        <v>7</v>
      </c>
      <c r="C41" s="1">
        <v>6.5199999999999994E-2</v>
      </c>
      <c r="D41">
        <v>37.5</v>
      </c>
    </row>
    <row r="42" spans="1:4" x14ac:dyDescent="0.2">
      <c r="A42" t="s">
        <v>49</v>
      </c>
      <c r="B42" t="s">
        <v>7</v>
      </c>
      <c r="C42" s="1">
        <v>6.3500000000000001E-2</v>
      </c>
      <c r="D42">
        <v>1.5</v>
      </c>
    </row>
    <row r="43" spans="1:4" x14ac:dyDescent="0.2">
      <c r="A43" t="s">
        <v>50</v>
      </c>
      <c r="B43" t="s">
        <v>7</v>
      </c>
      <c r="C43" s="1">
        <v>6.2899999999999998E-2</v>
      </c>
      <c r="D43">
        <v>6.3</v>
      </c>
    </row>
    <row r="44" spans="1:4" x14ac:dyDescent="0.2">
      <c r="A44" t="s">
        <v>51</v>
      </c>
      <c r="B44" t="s">
        <v>19</v>
      </c>
      <c r="C44" s="1">
        <v>6.1199999999999997E-2</v>
      </c>
      <c r="D44">
        <v>1.5</v>
      </c>
    </row>
    <row r="45" spans="1:4" x14ac:dyDescent="0.2">
      <c r="A45" t="s">
        <v>52</v>
      </c>
      <c r="B45" t="s">
        <v>10</v>
      </c>
      <c r="C45" s="1">
        <v>6.0699999999999997E-2</v>
      </c>
      <c r="D45">
        <v>9.5</v>
      </c>
    </row>
    <row r="46" spans="1:4" x14ac:dyDescent="0.2">
      <c r="A46" t="s">
        <v>53</v>
      </c>
      <c r="B46" t="s">
        <v>7</v>
      </c>
      <c r="C46" s="1">
        <v>6.0100000000000001E-2</v>
      </c>
      <c r="D46">
        <v>13</v>
      </c>
    </row>
    <row r="47" spans="1:4" x14ac:dyDescent="0.2">
      <c r="A47" t="s">
        <v>54</v>
      </c>
      <c r="B47" t="s">
        <v>7</v>
      </c>
      <c r="C47" s="1">
        <v>5.7799999999999997E-2</v>
      </c>
      <c r="D47">
        <v>0</v>
      </c>
    </row>
    <row r="48" spans="1:4" x14ac:dyDescent="0.2">
      <c r="A48" t="s">
        <v>55</v>
      </c>
      <c r="B48" t="s">
        <v>10</v>
      </c>
      <c r="C48" s="1">
        <v>5.6099999999999997E-2</v>
      </c>
      <c r="D48">
        <v>5.6</v>
      </c>
    </row>
    <row r="49" spans="1:4" x14ac:dyDescent="0.2">
      <c r="A49" t="s">
        <v>56</v>
      </c>
      <c r="B49" t="s">
        <v>10</v>
      </c>
      <c r="C49" s="1">
        <v>5.6099999999999997E-2</v>
      </c>
      <c r="D49">
        <v>4.0999999999999996</v>
      </c>
    </row>
    <row r="50" spans="1:4" x14ac:dyDescent="0.2">
      <c r="A50" t="s">
        <v>57</v>
      </c>
      <c r="B50" t="s">
        <v>7</v>
      </c>
      <c r="C50" s="1">
        <v>5.5599999999999997E-2</v>
      </c>
      <c r="D50">
        <v>15.8</v>
      </c>
    </row>
    <row r="51" spans="1:4" x14ac:dyDescent="0.2">
      <c r="A51" t="s">
        <v>58</v>
      </c>
      <c r="B51" t="s">
        <v>13</v>
      </c>
      <c r="C51" s="1">
        <v>5.5599999999999997E-2</v>
      </c>
      <c r="D51">
        <v>15.5</v>
      </c>
    </row>
    <row r="52" spans="1:4" x14ac:dyDescent="0.2">
      <c r="A52" t="s">
        <v>59</v>
      </c>
      <c r="B52" t="s">
        <v>5</v>
      </c>
      <c r="C52" s="1">
        <v>5.5E-2</v>
      </c>
      <c r="D52">
        <v>9.5</v>
      </c>
    </row>
    <row r="53" spans="1:4" x14ac:dyDescent="0.2">
      <c r="A53" t="s">
        <v>60</v>
      </c>
      <c r="B53" t="s">
        <v>7</v>
      </c>
      <c r="C53" s="1">
        <v>5.3900000000000003E-2</v>
      </c>
      <c r="D53">
        <v>13</v>
      </c>
    </row>
    <row r="54" spans="1:4" x14ac:dyDescent="0.2">
      <c r="A54" t="s">
        <v>61</v>
      </c>
      <c r="B54" t="s">
        <v>13</v>
      </c>
      <c r="C54" s="1">
        <v>5.0999999999999997E-2</v>
      </c>
      <c r="D54">
        <v>29.6</v>
      </c>
    </row>
    <row r="55" spans="1:4" x14ac:dyDescent="0.2">
      <c r="A55" t="s">
        <v>62</v>
      </c>
      <c r="B55" t="s">
        <v>10</v>
      </c>
      <c r="C55" s="1">
        <v>5.0500000000000003E-2</v>
      </c>
      <c r="D55">
        <v>2.6</v>
      </c>
    </row>
    <row r="56" spans="1:4" x14ac:dyDescent="0.2">
      <c r="A56" t="s">
        <v>63</v>
      </c>
      <c r="B56" t="s">
        <v>19</v>
      </c>
      <c r="C56" s="1">
        <v>5.0500000000000003E-2</v>
      </c>
      <c r="D56">
        <v>9.3000000000000007</v>
      </c>
    </row>
    <row r="57" spans="1:4" x14ac:dyDescent="0.2">
      <c r="A57" t="s">
        <v>64</v>
      </c>
      <c r="B57" t="s">
        <v>19</v>
      </c>
      <c r="C57" s="1">
        <v>5.0500000000000003E-2</v>
      </c>
      <c r="D57">
        <v>5</v>
      </c>
    </row>
    <row r="58" spans="1:4" x14ac:dyDescent="0.2">
      <c r="A58" t="s">
        <v>65</v>
      </c>
      <c r="B58" t="s">
        <v>10</v>
      </c>
      <c r="C58" s="1">
        <v>4.99E-2</v>
      </c>
      <c r="D58">
        <v>16.8</v>
      </c>
    </row>
    <row r="59" spans="1:4" x14ac:dyDescent="0.2">
      <c r="A59" t="s">
        <v>66</v>
      </c>
      <c r="B59" t="s">
        <v>13</v>
      </c>
      <c r="C59" s="1">
        <v>4.9299999999999997E-2</v>
      </c>
      <c r="D59">
        <v>20</v>
      </c>
    </row>
    <row r="60" spans="1:4" x14ac:dyDescent="0.2">
      <c r="A60" t="s">
        <v>67</v>
      </c>
      <c r="B60" t="s">
        <v>5</v>
      </c>
      <c r="C60" s="1">
        <v>4.7600000000000003E-2</v>
      </c>
      <c r="D60">
        <v>9.9</v>
      </c>
    </row>
    <row r="61" spans="1:4" x14ac:dyDescent="0.2">
      <c r="A61" t="s">
        <v>68</v>
      </c>
      <c r="B61" t="s">
        <v>13</v>
      </c>
      <c r="C61" s="1">
        <v>4.7100000000000003E-2</v>
      </c>
      <c r="D61">
        <v>11.6</v>
      </c>
    </row>
    <row r="62" spans="1:4" x14ac:dyDescent="0.2">
      <c r="A62" t="s">
        <v>69</v>
      </c>
      <c r="B62" t="s">
        <v>19</v>
      </c>
      <c r="C62" s="1">
        <v>4.7100000000000003E-2</v>
      </c>
      <c r="D62">
        <v>10</v>
      </c>
    </row>
    <row r="63" spans="1:4" x14ac:dyDescent="0.2">
      <c r="A63" t="s">
        <v>70</v>
      </c>
      <c r="B63" t="s">
        <v>10</v>
      </c>
      <c r="C63" s="1">
        <v>4.65E-2</v>
      </c>
      <c r="D63">
        <v>19.899999999999999</v>
      </c>
    </row>
    <row r="64" spans="1:4" x14ac:dyDescent="0.2">
      <c r="A64" t="s">
        <v>71</v>
      </c>
      <c r="B64" t="s">
        <v>7</v>
      </c>
      <c r="C64" s="1">
        <v>4.4200000000000003E-2</v>
      </c>
      <c r="D64">
        <v>6.3</v>
      </c>
    </row>
    <row r="65" spans="1:4" x14ac:dyDescent="0.2">
      <c r="A65" t="s">
        <v>72</v>
      </c>
      <c r="B65" t="s">
        <v>19</v>
      </c>
      <c r="C65" s="1">
        <v>4.3700000000000003E-2</v>
      </c>
      <c r="D65">
        <v>15</v>
      </c>
    </row>
    <row r="66" spans="1:4" x14ac:dyDescent="0.2">
      <c r="A66" t="s">
        <v>73</v>
      </c>
      <c r="B66" t="s">
        <v>19</v>
      </c>
      <c r="C66" s="1">
        <v>4.3099999999999999E-2</v>
      </c>
      <c r="D66">
        <v>14.3</v>
      </c>
    </row>
    <row r="67" spans="1:4" x14ac:dyDescent="0.2">
      <c r="A67" t="s">
        <v>74</v>
      </c>
      <c r="B67" t="s">
        <v>7</v>
      </c>
      <c r="C67" s="1">
        <v>4.2000000000000003E-2</v>
      </c>
      <c r="D67">
        <v>7.3</v>
      </c>
    </row>
    <row r="68" spans="1:4" x14ac:dyDescent="0.2">
      <c r="A68" t="s">
        <v>75</v>
      </c>
      <c r="B68" t="s">
        <v>7</v>
      </c>
      <c r="C68" s="1">
        <v>4.2000000000000003E-2</v>
      </c>
      <c r="D68">
        <v>1.3</v>
      </c>
    </row>
    <row r="69" spans="1:4" x14ac:dyDescent="0.2">
      <c r="A69" t="s">
        <v>76</v>
      </c>
      <c r="B69" t="s">
        <v>10</v>
      </c>
      <c r="C69" s="1">
        <v>4.1399999999999999E-2</v>
      </c>
      <c r="D69">
        <v>4.5</v>
      </c>
    </row>
    <row r="70" spans="1:4" x14ac:dyDescent="0.2">
      <c r="A70" t="s">
        <v>77</v>
      </c>
      <c r="B70" t="s">
        <v>19</v>
      </c>
      <c r="C70" s="1">
        <v>4.1399999999999999E-2</v>
      </c>
      <c r="D70">
        <v>27.6</v>
      </c>
    </row>
    <row r="71" spans="1:4" x14ac:dyDescent="0.2">
      <c r="A71" t="s">
        <v>78</v>
      </c>
      <c r="B71" t="s">
        <v>10</v>
      </c>
      <c r="C71" s="1">
        <v>4.0800000000000003E-2</v>
      </c>
      <c r="D71">
        <v>7.3</v>
      </c>
    </row>
    <row r="72" spans="1:4" x14ac:dyDescent="0.2">
      <c r="A72" t="s">
        <v>79</v>
      </c>
      <c r="B72" t="s">
        <v>19</v>
      </c>
      <c r="C72" s="1">
        <v>3.9100000000000003E-2</v>
      </c>
      <c r="D72">
        <v>4.3</v>
      </c>
    </row>
    <row r="73" spans="1:4" x14ac:dyDescent="0.2">
      <c r="A73" t="s">
        <v>80</v>
      </c>
      <c r="B73" t="s">
        <v>7</v>
      </c>
      <c r="C73" s="1">
        <v>3.9100000000000003E-2</v>
      </c>
      <c r="D73">
        <v>0</v>
      </c>
    </row>
    <row r="74" spans="1:4" x14ac:dyDescent="0.2">
      <c r="A74" t="s">
        <v>81</v>
      </c>
      <c r="B74" t="s">
        <v>19</v>
      </c>
      <c r="C74" s="1">
        <v>3.85E-2</v>
      </c>
      <c r="D74">
        <v>13</v>
      </c>
    </row>
    <row r="75" spans="1:4" x14ac:dyDescent="0.2">
      <c r="A75" t="s">
        <v>82</v>
      </c>
      <c r="B75" t="s">
        <v>19</v>
      </c>
      <c r="C75" s="1">
        <v>3.85E-2</v>
      </c>
      <c r="D75">
        <v>1.5</v>
      </c>
    </row>
    <row r="76" spans="1:4" x14ac:dyDescent="0.2">
      <c r="A76" t="s">
        <v>83</v>
      </c>
      <c r="B76" t="s">
        <v>10</v>
      </c>
      <c r="C76" s="1">
        <v>3.6799999999999999E-2</v>
      </c>
      <c r="D76">
        <v>5.8</v>
      </c>
    </row>
    <row r="77" spans="1:4" x14ac:dyDescent="0.2">
      <c r="A77" t="s">
        <v>84</v>
      </c>
      <c r="B77" t="s">
        <v>13</v>
      </c>
      <c r="C77" s="1">
        <v>3.6799999999999999E-2</v>
      </c>
      <c r="D77">
        <v>2.8</v>
      </c>
    </row>
    <row r="78" spans="1:4" x14ac:dyDescent="0.2">
      <c r="A78" t="s">
        <v>85</v>
      </c>
      <c r="B78" t="s">
        <v>19</v>
      </c>
      <c r="C78" s="1">
        <v>3.6799999999999999E-2</v>
      </c>
      <c r="D78">
        <v>11.5</v>
      </c>
    </row>
    <row r="79" spans="1:4" x14ac:dyDescent="0.2">
      <c r="A79" t="s">
        <v>86</v>
      </c>
      <c r="B79" t="s">
        <v>19</v>
      </c>
      <c r="C79" s="1">
        <v>3.6299999999999999E-2</v>
      </c>
      <c r="D79">
        <v>11.8</v>
      </c>
    </row>
    <row r="80" spans="1:4" x14ac:dyDescent="0.2">
      <c r="A80" t="s">
        <v>87</v>
      </c>
      <c r="B80" t="s">
        <v>13</v>
      </c>
      <c r="C80" s="1">
        <v>3.6299999999999999E-2</v>
      </c>
      <c r="D80">
        <v>21.4</v>
      </c>
    </row>
    <row r="81" spans="1:4" x14ac:dyDescent="0.2">
      <c r="A81" t="s">
        <v>88</v>
      </c>
      <c r="B81" t="s">
        <v>7</v>
      </c>
      <c r="C81" s="1">
        <v>3.5700000000000003E-2</v>
      </c>
      <c r="D81">
        <v>4.5</v>
      </c>
    </row>
    <row r="82" spans="1:4" x14ac:dyDescent="0.2">
      <c r="A82" t="s">
        <v>89</v>
      </c>
      <c r="B82" t="s">
        <v>19</v>
      </c>
      <c r="C82" s="1">
        <v>3.4599999999999999E-2</v>
      </c>
      <c r="D82">
        <v>10</v>
      </c>
    </row>
    <row r="83" spans="1:4" x14ac:dyDescent="0.2">
      <c r="A83" t="s">
        <v>90</v>
      </c>
      <c r="B83" t="s">
        <v>7</v>
      </c>
      <c r="C83" s="1">
        <v>3.4599999999999999E-2</v>
      </c>
      <c r="D83">
        <v>5.8</v>
      </c>
    </row>
    <row r="84" spans="1:4" x14ac:dyDescent="0.2">
      <c r="A84" t="s">
        <v>91</v>
      </c>
      <c r="B84" t="s">
        <v>7</v>
      </c>
      <c r="C84" s="1">
        <v>3.4599999999999999E-2</v>
      </c>
      <c r="D84">
        <v>33.5</v>
      </c>
    </row>
    <row r="85" spans="1:4" x14ac:dyDescent="0.2">
      <c r="A85" t="s">
        <v>92</v>
      </c>
      <c r="B85" t="s">
        <v>10</v>
      </c>
      <c r="C85" s="1">
        <v>3.4000000000000002E-2</v>
      </c>
      <c r="D85">
        <v>4.3</v>
      </c>
    </row>
    <row r="86" spans="1:4" x14ac:dyDescent="0.2">
      <c r="A86" t="s">
        <v>93</v>
      </c>
      <c r="B86" t="s">
        <v>10</v>
      </c>
      <c r="C86" s="1">
        <v>3.2899999999999999E-2</v>
      </c>
      <c r="D86">
        <v>9.6</v>
      </c>
    </row>
    <row r="87" spans="1:4" x14ac:dyDescent="0.2">
      <c r="A87" t="s">
        <v>94</v>
      </c>
      <c r="B87" t="s">
        <v>7</v>
      </c>
      <c r="C87" s="1">
        <v>3.2899999999999999E-2</v>
      </c>
      <c r="D87">
        <v>7.8</v>
      </c>
    </row>
    <row r="88" spans="1:4" x14ac:dyDescent="0.2">
      <c r="A88" t="s">
        <v>95</v>
      </c>
      <c r="B88" t="s">
        <v>7</v>
      </c>
      <c r="C88" s="1">
        <v>3.2899999999999999E-2</v>
      </c>
      <c r="D88">
        <v>9.3000000000000007</v>
      </c>
    </row>
    <row r="89" spans="1:4" x14ac:dyDescent="0.2">
      <c r="A89" t="s">
        <v>96</v>
      </c>
      <c r="B89" t="s">
        <v>13</v>
      </c>
      <c r="C89" s="1">
        <v>3.2300000000000002E-2</v>
      </c>
      <c r="D89">
        <v>4.8</v>
      </c>
    </row>
    <row r="90" spans="1:4" x14ac:dyDescent="0.2">
      <c r="A90" t="s">
        <v>97</v>
      </c>
      <c r="B90" t="s">
        <v>10</v>
      </c>
      <c r="C90" s="1">
        <v>3.2300000000000002E-2</v>
      </c>
      <c r="D90">
        <v>1.5</v>
      </c>
    </row>
    <row r="91" spans="1:4" x14ac:dyDescent="0.2">
      <c r="A91" t="s">
        <v>98</v>
      </c>
      <c r="B91" t="s">
        <v>7</v>
      </c>
      <c r="C91" s="1">
        <v>3.1699999999999999E-2</v>
      </c>
      <c r="D91">
        <v>0</v>
      </c>
    </row>
    <row r="92" spans="1:4" x14ac:dyDescent="0.2">
      <c r="A92" t="s">
        <v>99</v>
      </c>
      <c r="B92" t="s">
        <v>5</v>
      </c>
      <c r="C92" s="1">
        <v>3.1699999999999999E-2</v>
      </c>
      <c r="D92">
        <v>19.3</v>
      </c>
    </row>
    <row r="93" spans="1:4" x14ac:dyDescent="0.2">
      <c r="A93" t="s">
        <v>100</v>
      </c>
      <c r="B93" t="s">
        <v>7</v>
      </c>
      <c r="C93" s="1">
        <v>3.1699999999999999E-2</v>
      </c>
      <c r="D93">
        <v>3</v>
      </c>
    </row>
    <row r="94" spans="1:4" x14ac:dyDescent="0.2">
      <c r="A94" t="s">
        <v>101</v>
      </c>
      <c r="B94" t="s">
        <v>7</v>
      </c>
      <c r="C94" s="1">
        <v>3.1699999999999999E-2</v>
      </c>
      <c r="D94">
        <v>2.8</v>
      </c>
    </row>
    <row r="95" spans="1:4" x14ac:dyDescent="0.2">
      <c r="A95" t="s">
        <v>102</v>
      </c>
      <c r="B95" t="s">
        <v>5</v>
      </c>
      <c r="C95" s="1">
        <v>3.1199999999999999E-2</v>
      </c>
      <c r="D95">
        <v>10</v>
      </c>
    </row>
    <row r="96" spans="1:4" x14ac:dyDescent="0.2">
      <c r="A96" t="s">
        <v>103</v>
      </c>
      <c r="B96" t="s">
        <v>19</v>
      </c>
      <c r="C96" s="1">
        <v>3.0599999999999999E-2</v>
      </c>
      <c r="D96">
        <v>1.3</v>
      </c>
    </row>
    <row r="97" spans="1:4" x14ac:dyDescent="0.2">
      <c r="A97" t="s">
        <v>104</v>
      </c>
      <c r="B97" t="s">
        <v>10</v>
      </c>
      <c r="C97" s="1">
        <v>3.0599999999999999E-2</v>
      </c>
      <c r="D97">
        <v>4.0999999999999996</v>
      </c>
    </row>
    <row r="98" spans="1:4" x14ac:dyDescent="0.2">
      <c r="A98" t="s">
        <v>105</v>
      </c>
      <c r="B98" t="s">
        <v>5</v>
      </c>
      <c r="C98" s="1">
        <v>3.0599999999999999E-2</v>
      </c>
      <c r="D98">
        <v>8</v>
      </c>
    </row>
    <row r="99" spans="1:4" x14ac:dyDescent="0.2">
      <c r="A99" t="s">
        <v>106</v>
      </c>
      <c r="B99" t="s">
        <v>7</v>
      </c>
      <c r="C99" s="1">
        <v>2.8899999999999999E-2</v>
      </c>
      <c r="D99">
        <v>12.8</v>
      </c>
    </row>
    <row r="100" spans="1:4" x14ac:dyDescent="0.2">
      <c r="A100" t="s">
        <v>107</v>
      </c>
      <c r="B100" t="s">
        <v>7</v>
      </c>
      <c r="C100" s="1">
        <v>2.8899999999999999E-2</v>
      </c>
      <c r="D100">
        <v>6.5</v>
      </c>
    </row>
    <row r="101" spans="1:4" x14ac:dyDescent="0.2">
      <c r="A101" t="s">
        <v>108</v>
      </c>
      <c r="B101" t="s">
        <v>19</v>
      </c>
      <c r="C101" s="1">
        <v>2.8299999999999999E-2</v>
      </c>
      <c r="D101">
        <v>6.5</v>
      </c>
    </row>
    <row r="102" spans="1:4" x14ac:dyDescent="0.2">
      <c r="A102" t="s">
        <v>109</v>
      </c>
      <c r="B102" t="s">
        <v>13</v>
      </c>
      <c r="C102" s="1">
        <v>2.8299999999999999E-2</v>
      </c>
      <c r="D102">
        <v>14.4</v>
      </c>
    </row>
    <row r="103" spans="1:4" x14ac:dyDescent="0.2">
      <c r="A103" t="s">
        <v>110</v>
      </c>
      <c r="B103" t="s">
        <v>10</v>
      </c>
      <c r="C103" s="1">
        <v>2.8299999999999999E-2</v>
      </c>
      <c r="D103">
        <v>13.6</v>
      </c>
    </row>
    <row r="104" spans="1:4" x14ac:dyDescent="0.2">
      <c r="A104" t="s">
        <v>111</v>
      </c>
      <c r="B104" t="s">
        <v>13</v>
      </c>
      <c r="C104" s="1">
        <v>2.7799999999999998E-2</v>
      </c>
      <c r="D104">
        <v>0.7</v>
      </c>
    </row>
    <row r="105" spans="1:4" x14ac:dyDescent="0.2">
      <c r="A105" t="s">
        <v>112</v>
      </c>
      <c r="B105" t="s">
        <v>10</v>
      </c>
      <c r="C105" s="1">
        <v>2.7799999999999998E-2</v>
      </c>
      <c r="D105">
        <v>8.4</v>
      </c>
    </row>
    <row r="106" spans="1:4" x14ac:dyDescent="0.2">
      <c r="A106" t="s">
        <v>113</v>
      </c>
      <c r="B106" t="s">
        <v>7</v>
      </c>
      <c r="C106" s="1">
        <v>2.7799999999999998E-2</v>
      </c>
      <c r="D106">
        <v>4.5</v>
      </c>
    </row>
    <row r="107" spans="1:4" x14ac:dyDescent="0.2">
      <c r="A107" t="s">
        <v>114</v>
      </c>
      <c r="B107" t="s">
        <v>10</v>
      </c>
      <c r="C107" s="1">
        <v>2.7199999999999998E-2</v>
      </c>
      <c r="D107">
        <v>9.6999999999999993</v>
      </c>
    </row>
    <row r="108" spans="1:4" x14ac:dyDescent="0.2">
      <c r="A108" t="s">
        <v>115</v>
      </c>
      <c r="B108" t="s">
        <v>10</v>
      </c>
      <c r="C108" s="1">
        <v>2.7199999999999998E-2</v>
      </c>
      <c r="D108">
        <v>3</v>
      </c>
    </row>
    <row r="109" spans="1:4" x14ac:dyDescent="0.2">
      <c r="A109" t="s">
        <v>116</v>
      </c>
      <c r="B109" t="s">
        <v>10</v>
      </c>
      <c r="C109" s="1">
        <v>2.6599999999999999E-2</v>
      </c>
      <c r="D109">
        <v>15.8</v>
      </c>
    </row>
    <row r="110" spans="1:4" x14ac:dyDescent="0.2">
      <c r="A110" t="s">
        <v>117</v>
      </c>
      <c r="B110" t="s">
        <v>7</v>
      </c>
      <c r="C110" s="1">
        <v>2.6100000000000002E-2</v>
      </c>
      <c r="D110">
        <v>0</v>
      </c>
    </row>
    <row r="111" spans="1:4" x14ac:dyDescent="0.2">
      <c r="A111" t="s">
        <v>118</v>
      </c>
      <c r="B111" t="s">
        <v>10</v>
      </c>
      <c r="C111" s="1">
        <v>2.5499999999999998E-2</v>
      </c>
      <c r="D111">
        <v>3</v>
      </c>
    </row>
    <row r="112" spans="1:4" x14ac:dyDescent="0.2">
      <c r="A112" t="s">
        <v>119</v>
      </c>
      <c r="B112" t="s">
        <v>7</v>
      </c>
      <c r="C112" s="1">
        <v>2.4899999999999999E-2</v>
      </c>
      <c r="D112">
        <v>11.5</v>
      </c>
    </row>
    <row r="113" spans="1:4" x14ac:dyDescent="0.2">
      <c r="A113" t="s">
        <v>120</v>
      </c>
      <c r="B113" t="s">
        <v>19</v>
      </c>
      <c r="C113" s="1">
        <v>2.4899999999999999E-2</v>
      </c>
      <c r="D113">
        <v>1.5</v>
      </c>
    </row>
    <row r="114" spans="1:4" x14ac:dyDescent="0.2">
      <c r="A114" t="s">
        <v>121</v>
      </c>
      <c r="B114" t="s">
        <v>5</v>
      </c>
      <c r="C114" s="1">
        <v>2.4899999999999999E-2</v>
      </c>
      <c r="D114">
        <v>8</v>
      </c>
    </row>
    <row r="115" spans="1:4" x14ac:dyDescent="0.2">
      <c r="A115" t="s">
        <v>122</v>
      </c>
      <c r="B115" t="s">
        <v>10</v>
      </c>
      <c r="C115" s="1">
        <v>2.3800000000000002E-2</v>
      </c>
      <c r="D115">
        <v>7.8</v>
      </c>
    </row>
    <row r="116" spans="1:4" x14ac:dyDescent="0.2">
      <c r="A116" t="s">
        <v>123</v>
      </c>
      <c r="B116" t="s">
        <v>10</v>
      </c>
      <c r="C116" s="1">
        <v>2.3800000000000002E-2</v>
      </c>
      <c r="D116">
        <v>0</v>
      </c>
    </row>
    <row r="117" spans="1:4" x14ac:dyDescent="0.2">
      <c r="A117" t="s">
        <v>124</v>
      </c>
      <c r="B117" t="s">
        <v>7</v>
      </c>
      <c r="C117" s="1">
        <v>2.3199999999999998E-2</v>
      </c>
      <c r="D117">
        <v>11.5</v>
      </c>
    </row>
    <row r="118" spans="1:4" x14ac:dyDescent="0.2">
      <c r="A118" t="s">
        <v>125</v>
      </c>
      <c r="B118" t="s">
        <v>13</v>
      </c>
      <c r="C118" s="1">
        <v>2.3199999999999998E-2</v>
      </c>
      <c r="D118">
        <v>-1.4</v>
      </c>
    </row>
    <row r="119" spans="1:4" x14ac:dyDescent="0.2">
      <c r="A119" t="s">
        <v>126</v>
      </c>
      <c r="B119" t="s">
        <v>10</v>
      </c>
      <c r="C119" s="1">
        <v>2.3199999999999998E-2</v>
      </c>
      <c r="D119">
        <v>21.4</v>
      </c>
    </row>
    <row r="120" spans="1:4" x14ac:dyDescent="0.2">
      <c r="A120" t="s">
        <v>127</v>
      </c>
      <c r="B120" t="s">
        <v>7</v>
      </c>
      <c r="C120" s="1">
        <v>2.3199999999999998E-2</v>
      </c>
      <c r="D120">
        <v>0</v>
      </c>
    </row>
    <row r="121" spans="1:4" x14ac:dyDescent="0.2">
      <c r="A121" t="s">
        <v>128</v>
      </c>
      <c r="B121" t="s">
        <v>7</v>
      </c>
      <c r="C121" s="1">
        <v>2.2700000000000001E-2</v>
      </c>
      <c r="D121">
        <v>3</v>
      </c>
    </row>
    <row r="122" spans="1:4" x14ac:dyDescent="0.2">
      <c r="A122" t="s">
        <v>129</v>
      </c>
      <c r="B122" t="s">
        <v>7</v>
      </c>
      <c r="C122" s="1">
        <v>2.2700000000000001E-2</v>
      </c>
      <c r="D122">
        <v>12.9</v>
      </c>
    </row>
    <row r="123" spans="1:4" x14ac:dyDescent="0.2">
      <c r="A123" t="s">
        <v>130</v>
      </c>
      <c r="B123" t="s">
        <v>13</v>
      </c>
      <c r="C123" s="1">
        <v>2.2100000000000002E-2</v>
      </c>
      <c r="D123">
        <v>16.5</v>
      </c>
    </row>
    <row r="124" spans="1:4" x14ac:dyDescent="0.2">
      <c r="A124" t="s">
        <v>131</v>
      </c>
      <c r="B124" t="s">
        <v>7</v>
      </c>
      <c r="C124" s="1">
        <v>2.2100000000000002E-2</v>
      </c>
      <c r="D124">
        <v>2.6</v>
      </c>
    </row>
    <row r="125" spans="1:4" x14ac:dyDescent="0.2">
      <c r="A125" t="s">
        <v>132</v>
      </c>
      <c r="B125" t="s">
        <v>7</v>
      </c>
      <c r="C125" s="1">
        <v>2.2100000000000002E-2</v>
      </c>
      <c r="D125">
        <v>5</v>
      </c>
    </row>
    <row r="126" spans="1:4" x14ac:dyDescent="0.2">
      <c r="A126" t="s">
        <v>133</v>
      </c>
      <c r="B126" t="s">
        <v>5</v>
      </c>
      <c r="C126" s="1">
        <v>2.2100000000000002E-2</v>
      </c>
      <c r="D126">
        <v>5.8</v>
      </c>
    </row>
    <row r="127" spans="1:4" x14ac:dyDescent="0.2">
      <c r="A127" t="s">
        <v>134</v>
      </c>
      <c r="B127" t="s">
        <v>5</v>
      </c>
      <c r="C127" s="1">
        <v>2.2100000000000002E-2</v>
      </c>
      <c r="D127">
        <v>5</v>
      </c>
    </row>
    <row r="128" spans="1:4" x14ac:dyDescent="0.2">
      <c r="A128" t="s">
        <v>135</v>
      </c>
      <c r="B128" t="s">
        <v>5</v>
      </c>
      <c r="C128" s="1">
        <v>2.1499999999999998E-2</v>
      </c>
      <c r="D128">
        <v>7.3</v>
      </c>
    </row>
    <row r="129" spans="1:4" x14ac:dyDescent="0.2">
      <c r="A129" t="s">
        <v>136</v>
      </c>
      <c r="B129" t="s">
        <v>19</v>
      </c>
      <c r="C129" s="1">
        <v>2.1499999999999998E-2</v>
      </c>
      <c r="D129">
        <v>3</v>
      </c>
    </row>
    <row r="130" spans="1:4" x14ac:dyDescent="0.2">
      <c r="A130" t="s">
        <v>137</v>
      </c>
      <c r="B130" t="s">
        <v>7</v>
      </c>
      <c r="C130" s="1">
        <v>2.1499999999999998E-2</v>
      </c>
      <c r="D130">
        <v>1.5</v>
      </c>
    </row>
    <row r="131" spans="1:4" x14ac:dyDescent="0.2">
      <c r="A131" t="s">
        <v>138</v>
      </c>
      <c r="B131" t="s">
        <v>5</v>
      </c>
      <c r="C131" s="1">
        <v>2.1000000000000001E-2</v>
      </c>
      <c r="D131">
        <v>0</v>
      </c>
    </row>
    <row r="132" spans="1:4" x14ac:dyDescent="0.2">
      <c r="A132" t="s">
        <v>139</v>
      </c>
      <c r="B132" t="s">
        <v>7</v>
      </c>
      <c r="C132" s="1">
        <v>2.1000000000000001E-2</v>
      </c>
      <c r="D132">
        <v>2.8</v>
      </c>
    </row>
    <row r="133" spans="1:4" x14ac:dyDescent="0.2">
      <c r="A133" t="s">
        <v>140</v>
      </c>
      <c r="B133" t="s">
        <v>10</v>
      </c>
      <c r="C133" s="1">
        <v>2.0400000000000001E-2</v>
      </c>
      <c r="D133">
        <v>16.399999999999999</v>
      </c>
    </row>
    <row r="134" spans="1:4" x14ac:dyDescent="0.2">
      <c r="A134" t="s">
        <v>141</v>
      </c>
      <c r="B134" t="s">
        <v>10</v>
      </c>
      <c r="C134" s="1">
        <v>2.0400000000000001E-2</v>
      </c>
      <c r="D134">
        <v>14.7</v>
      </c>
    </row>
    <row r="135" spans="1:4" x14ac:dyDescent="0.2">
      <c r="A135" t="s">
        <v>142</v>
      </c>
      <c r="B135" t="s">
        <v>5</v>
      </c>
      <c r="C135" s="1">
        <v>2.0400000000000001E-2</v>
      </c>
      <c r="D135">
        <v>6</v>
      </c>
    </row>
    <row r="136" spans="1:4" x14ac:dyDescent="0.2">
      <c r="A136" t="s">
        <v>143</v>
      </c>
      <c r="B136" t="s">
        <v>5</v>
      </c>
      <c r="C136" s="1">
        <v>2.0400000000000001E-2</v>
      </c>
      <c r="D136">
        <v>14.3</v>
      </c>
    </row>
    <row r="137" spans="1:4" x14ac:dyDescent="0.2">
      <c r="A137" t="s">
        <v>144</v>
      </c>
      <c r="B137" t="s">
        <v>5</v>
      </c>
      <c r="C137" s="1">
        <v>1.9300000000000001E-2</v>
      </c>
      <c r="D137">
        <v>8</v>
      </c>
    </row>
    <row r="138" spans="1:4" x14ac:dyDescent="0.2">
      <c r="A138" t="s">
        <v>145</v>
      </c>
      <c r="B138" t="s">
        <v>5</v>
      </c>
      <c r="C138" s="1">
        <v>1.8700000000000001E-2</v>
      </c>
      <c r="D138">
        <v>4.0999999999999996</v>
      </c>
    </row>
    <row r="139" spans="1:4" x14ac:dyDescent="0.2">
      <c r="A139" t="s">
        <v>146</v>
      </c>
      <c r="B139" t="s">
        <v>5</v>
      </c>
      <c r="C139" s="1">
        <v>1.8700000000000001E-2</v>
      </c>
      <c r="D139">
        <v>5</v>
      </c>
    </row>
    <row r="140" spans="1:4" x14ac:dyDescent="0.2">
      <c r="A140" t="s">
        <v>147</v>
      </c>
      <c r="B140" t="s">
        <v>7</v>
      </c>
      <c r="C140" s="1">
        <v>1.8700000000000001E-2</v>
      </c>
      <c r="D140">
        <v>21.5</v>
      </c>
    </row>
    <row r="141" spans="1:4" x14ac:dyDescent="0.2">
      <c r="A141" t="s">
        <v>148</v>
      </c>
      <c r="B141" t="s">
        <v>7</v>
      </c>
      <c r="C141" s="1">
        <v>1.8700000000000001E-2</v>
      </c>
      <c r="D141">
        <v>0</v>
      </c>
    </row>
    <row r="142" spans="1:4" x14ac:dyDescent="0.2">
      <c r="A142" t="s">
        <v>149</v>
      </c>
      <c r="B142" t="s">
        <v>5</v>
      </c>
      <c r="C142" s="1">
        <v>1.8100000000000002E-2</v>
      </c>
      <c r="D142">
        <v>2.8</v>
      </c>
    </row>
    <row r="143" spans="1:4" x14ac:dyDescent="0.2">
      <c r="A143" t="s">
        <v>150</v>
      </c>
      <c r="B143" t="s">
        <v>7</v>
      </c>
      <c r="C143" s="1">
        <v>1.8100000000000002E-2</v>
      </c>
      <c r="D143">
        <v>1.5</v>
      </c>
    </row>
    <row r="144" spans="1:4" x14ac:dyDescent="0.2">
      <c r="A144" t="s">
        <v>151</v>
      </c>
      <c r="B144" t="s">
        <v>7</v>
      </c>
      <c r="C144" s="1">
        <v>1.8100000000000002E-2</v>
      </c>
      <c r="D144">
        <v>1.3</v>
      </c>
    </row>
    <row r="145" spans="1:4" x14ac:dyDescent="0.2">
      <c r="A145" t="s">
        <v>152</v>
      </c>
      <c r="B145" t="s">
        <v>10</v>
      </c>
      <c r="C145" s="1">
        <v>1.8100000000000002E-2</v>
      </c>
      <c r="D145">
        <v>7.8</v>
      </c>
    </row>
    <row r="146" spans="1:4" x14ac:dyDescent="0.2">
      <c r="A146" t="s">
        <v>153</v>
      </c>
      <c r="B146" t="s">
        <v>7</v>
      </c>
      <c r="C146" s="1">
        <v>1.7600000000000001E-2</v>
      </c>
      <c r="D146">
        <v>0</v>
      </c>
    </row>
    <row r="147" spans="1:4" x14ac:dyDescent="0.2">
      <c r="A147" t="s">
        <v>154</v>
      </c>
      <c r="B147" t="s">
        <v>7</v>
      </c>
      <c r="C147" s="1">
        <v>1.7600000000000001E-2</v>
      </c>
      <c r="D147">
        <v>4.5</v>
      </c>
    </row>
    <row r="148" spans="1:4" x14ac:dyDescent="0.2">
      <c r="A148" t="s">
        <v>155</v>
      </c>
      <c r="B148" t="s">
        <v>10</v>
      </c>
      <c r="C148" s="1">
        <v>1.7600000000000001E-2</v>
      </c>
      <c r="D148">
        <v>6.5</v>
      </c>
    </row>
    <row r="149" spans="1:4" x14ac:dyDescent="0.2">
      <c r="A149" t="s">
        <v>156</v>
      </c>
      <c r="B149" t="s">
        <v>7</v>
      </c>
      <c r="C149" s="1">
        <v>1.7000000000000001E-2</v>
      </c>
      <c r="D149">
        <v>6.5</v>
      </c>
    </row>
    <row r="150" spans="1:4" x14ac:dyDescent="0.2">
      <c r="A150" t="s">
        <v>157</v>
      </c>
      <c r="B150" t="s">
        <v>5</v>
      </c>
      <c r="C150" s="1">
        <v>1.7000000000000001E-2</v>
      </c>
      <c r="D150">
        <v>1.5</v>
      </c>
    </row>
    <row r="151" spans="1:4" x14ac:dyDescent="0.2">
      <c r="A151" t="s">
        <v>158</v>
      </c>
      <c r="B151" t="s">
        <v>7</v>
      </c>
      <c r="C151" s="1">
        <v>1.6400000000000001E-2</v>
      </c>
      <c r="D151">
        <v>6.3</v>
      </c>
    </row>
    <row r="152" spans="1:4" x14ac:dyDescent="0.2">
      <c r="A152" t="s">
        <v>159</v>
      </c>
      <c r="B152" t="s">
        <v>19</v>
      </c>
      <c r="C152" s="1">
        <v>1.5900000000000001E-2</v>
      </c>
      <c r="D152">
        <v>0</v>
      </c>
    </row>
    <row r="153" spans="1:4" x14ac:dyDescent="0.2">
      <c r="A153" t="s">
        <v>160</v>
      </c>
      <c r="B153" t="s">
        <v>10</v>
      </c>
      <c r="C153" s="1">
        <v>1.5900000000000001E-2</v>
      </c>
      <c r="D153">
        <v>1.3</v>
      </c>
    </row>
    <row r="154" spans="1:4" x14ac:dyDescent="0.2">
      <c r="A154" t="s">
        <v>161</v>
      </c>
      <c r="B154" t="s">
        <v>5</v>
      </c>
      <c r="C154" s="1">
        <v>1.5299999999999999E-2</v>
      </c>
      <c r="D154">
        <v>2.6</v>
      </c>
    </row>
    <row r="155" spans="1:4" x14ac:dyDescent="0.2">
      <c r="A155" t="s">
        <v>162</v>
      </c>
      <c r="B155" t="s">
        <v>7</v>
      </c>
      <c r="C155" s="1">
        <v>1.5299999999999999E-2</v>
      </c>
      <c r="D155">
        <v>5.8</v>
      </c>
    </row>
    <row r="156" spans="1:4" x14ac:dyDescent="0.2">
      <c r="A156" t="s">
        <v>163</v>
      </c>
      <c r="B156" t="s">
        <v>7</v>
      </c>
      <c r="C156" s="1">
        <v>1.47E-2</v>
      </c>
      <c r="D156">
        <v>11.5</v>
      </c>
    </row>
    <row r="157" spans="1:4" x14ac:dyDescent="0.2">
      <c r="A157" t="s">
        <v>164</v>
      </c>
      <c r="B157" t="s">
        <v>7</v>
      </c>
      <c r="C157" s="1">
        <v>1.47E-2</v>
      </c>
      <c r="D157">
        <v>4.0999999999999996</v>
      </c>
    </row>
    <row r="158" spans="1:4" x14ac:dyDescent="0.2">
      <c r="A158" t="s">
        <v>165</v>
      </c>
      <c r="B158" t="s">
        <v>10</v>
      </c>
      <c r="C158" s="1">
        <v>1.4200000000000001E-2</v>
      </c>
      <c r="D158">
        <v>6.3</v>
      </c>
    </row>
    <row r="159" spans="1:4" x14ac:dyDescent="0.2">
      <c r="A159" t="s">
        <v>166</v>
      </c>
      <c r="B159" t="s">
        <v>19</v>
      </c>
      <c r="C159" s="1">
        <v>1.3599999999999999E-2</v>
      </c>
      <c r="D159">
        <v>6</v>
      </c>
    </row>
    <row r="160" spans="1:4" x14ac:dyDescent="0.2">
      <c r="A160" t="s">
        <v>167</v>
      </c>
      <c r="B160" t="s">
        <v>19</v>
      </c>
      <c r="C160" s="1">
        <v>1.3599999999999999E-2</v>
      </c>
      <c r="D160">
        <v>5</v>
      </c>
    </row>
    <row r="161" spans="1:4" x14ac:dyDescent="0.2">
      <c r="A161" t="s">
        <v>168</v>
      </c>
      <c r="B161" t="s">
        <v>10</v>
      </c>
      <c r="C161" s="1">
        <v>1.2999999999999999E-2</v>
      </c>
      <c r="D161">
        <v>3</v>
      </c>
    </row>
    <row r="162" spans="1:4" x14ac:dyDescent="0.2">
      <c r="A162" t="s">
        <v>169</v>
      </c>
      <c r="B162" t="s">
        <v>10</v>
      </c>
      <c r="C162" s="1">
        <v>1.2999999999999999E-2</v>
      </c>
      <c r="D162">
        <v>1.5</v>
      </c>
    </row>
    <row r="163" spans="1:4" x14ac:dyDescent="0.2">
      <c r="A163" t="s">
        <v>170</v>
      </c>
      <c r="B163" t="s">
        <v>7</v>
      </c>
      <c r="C163" s="1">
        <v>1.2999999999999999E-2</v>
      </c>
      <c r="D163">
        <v>10</v>
      </c>
    </row>
    <row r="164" spans="1:4" x14ac:dyDescent="0.2">
      <c r="A164" t="s">
        <v>171</v>
      </c>
      <c r="B164" t="s">
        <v>10</v>
      </c>
      <c r="C164" s="1">
        <v>1.2500000000000001E-2</v>
      </c>
      <c r="D164">
        <v>2.6</v>
      </c>
    </row>
    <row r="165" spans="1:4" x14ac:dyDescent="0.2">
      <c r="A165" t="s">
        <v>172</v>
      </c>
      <c r="B165" t="s">
        <v>10</v>
      </c>
      <c r="C165" s="1">
        <v>1.2500000000000001E-2</v>
      </c>
      <c r="D165">
        <v>8.4</v>
      </c>
    </row>
    <row r="166" spans="1:4" x14ac:dyDescent="0.2">
      <c r="A166" t="s">
        <v>173</v>
      </c>
      <c r="B166" t="s">
        <v>10</v>
      </c>
      <c r="C166" s="1">
        <v>1.1900000000000001E-2</v>
      </c>
      <c r="D166">
        <v>12.9</v>
      </c>
    </row>
    <row r="167" spans="1:4" x14ac:dyDescent="0.2">
      <c r="A167" t="s">
        <v>174</v>
      </c>
      <c r="B167" t="s">
        <v>10</v>
      </c>
      <c r="C167" s="1">
        <v>1.1900000000000001E-2</v>
      </c>
      <c r="D167">
        <v>7.8</v>
      </c>
    </row>
    <row r="168" spans="1:4" x14ac:dyDescent="0.2">
      <c r="A168" t="s">
        <v>175</v>
      </c>
      <c r="B168" t="s">
        <v>10</v>
      </c>
      <c r="C168" s="1">
        <v>1.1299999999999999E-2</v>
      </c>
      <c r="D168">
        <v>4.0999999999999996</v>
      </c>
    </row>
    <row r="169" spans="1:4" x14ac:dyDescent="0.2">
      <c r="A169" t="s">
        <v>176</v>
      </c>
      <c r="B169" t="s">
        <v>7</v>
      </c>
      <c r="C169" s="1">
        <v>1.1299999999999999E-2</v>
      </c>
      <c r="D169">
        <v>0</v>
      </c>
    </row>
    <row r="170" spans="1:4" x14ac:dyDescent="0.2">
      <c r="A170" t="s">
        <v>177</v>
      </c>
      <c r="B170" t="s">
        <v>10</v>
      </c>
      <c r="C170" s="1">
        <v>1.1299999999999999E-2</v>
      </c>
      <c r="D170">
        <v>1.5</v>
      </c>
    </row>
    <row r="171" spans="1:4" x14ac:dyDescent="0.2">
      <c r="A171" t="s">
        <v>178</v>
      </c>
      <c r="B171" t="s">
        <v>7</v>
      </c>
      <c r="C171" s="1">
        <v>1.0800000000000001E-2</v>
      </c>
      <c r="D171">
        <v>21.5</v>
      </c>
    </row>
    <row r="172" spans="1:4" x14ac:dyDescent="0.2">
      <c r="A172" t="s">
        <v>179</v>
      </c>
      <c r="B172" t="s">
        <v>5</v>
      </c>
      <c r="C172" s="1">
        <v>1.0800000000000001E-2</v>
      </c>
      <c r="D172">
        <v>8.4</v>
      </c>
    </row>
    <row r="173" spans="1:4" x14ac:dyDescent="0.2">
      <c r="A173" t="s">
        <v>180</v>
      </c>
      <c r="B173" t="s">
        <v>7</v>
      </c>
      <c r="C173" s="1">
        <v>1.0200000000000001E-2</v>
      </c>
      <c r="D173">
        <v>4.5</v>
      </c>
    </row>
    <row r="174" spans="1:4" x14ac:dyDescent="0.2">
      <c r="A174" t="s">
        <v>181</v>
      </c>
      <c r="B174" t="s">
        <v>10</v>
      </c>
      <c r="C174" s="1">
        <v>1.0200000000000001E-2</v>
      </c>
      <c r="D174">
        <v>0</v>
      </c>
    </row>
    <row r="175" spans="1:4" x14ac:dyDescent="0.2">
      <c r="A175" t="s">
        <v>182</v>
      </c>
      <c r="B175" t="s">
        <v>10</v>
      </c>
      <c r="C175" s="1">
        <v>9.5999999999999992E-3</v>
      </c>
      <c r="D175">
        <v>0</v>
      </c>
    </row>
    <row r="176" spans="1:4" x14ac:dyDescent="0.2">
      <c r="A176" t="s">
        <v>183</v>
      </c>
      <c r="B176" t="s">
        <v>7</v>
      </c>
      <c r="C176" s="1">
        <v>9.5999999999999992E-3</v>
      </c>
      <c r="D176">
        <v>0</v>
      </c>
    </row>
    <row r="177" spans="1:4" x14ac:dyDescent="0.2">
      <c r="A177" t="s">
        <v>184</v>
      </c>
      <c r="B177" t="s">
        <v>10</v>
      </c>
      <c r="C177" s="1">
        <v>9.5999999999999992E-3</v>
      </c>
      <c r="D177">
        <v>9.3000000000000007</v>
      </c>
    </row>
    <row r="178" spans="1:4" x14ac:dyDescent="0.2">
      <c r="A178" t="s">
        <v>185</v>
      </c>
      <c r="B178" t="s">
        <v>19</v>
      </c>
      <c r="C178" s="1">
        <v>9.5999999999999992E-3</v>
      </c>
      <c r="D178">
        <v>11.5</v>
      </c>
    </row>
    <row r="179" spans="1:4" x14ac:dyDescent="0.2">
      <c r="A179" t="s">
        <v>186</v>
      </c>
      <c r="B179" t="s">
        <v>7</v>
      </c>
      <c r="C179" s="1">
        <v>9.1000000000000004E-3</v>
      </c>
      <c r="D179">
        <v>6.5</v>
      </c>
    </row>
    <row r="180" spans="1:4" x14ac:dyDescent="0.2">
      <c r="A180" t="s">
        <v>187</v>
      </c>
      <c r="B180" t="s">
        <v>5</v>
      </c>
      <c r="C180" s="1">
        <v>9.1000000000000004E-3</v>
      </c>
      <c r="D180">
        <v>1.5</v>
      </c>
    </row>
    <row r="181" spans="1:4" x14ac:dyDescent="0.2">
      <c r="A181" t="s">
        <v>188</v>
      </c>
      <c r="B181" t="s">
        <v>7</v>
      </c>
      <c r="C181" s="1">
        <v>9.1000000000000004E-3</v>
      </c>
      <c r="D181">
        <v>19</v>
      </c>
    </row>
    <row r="182" spans="1:4" x14ac:dyDescent="0.2">
      <c r="A182" t="s">
        <v>189</v>
      </c>
      <c r="B182" t="s">
        <v>7</v>
      </c>
      <c r="C182" s="1">
        <v>8.5000000000000006E-3</v>
      </c>
      <c r="D182">
        <v>4.0999999999999996</v>
      </c>
    </row>
    <row r="183" spans="1:4" x14ac:dyDescent="0.2">
      <c r="A183" t="s">
        <v>190</v>
      </c>
      <c r="B183" t="s">
        <v>10</v>
      </c>
      <c r="C183" s="1">
        <v>8.5000000000000006E-3</v>
      </c>
      <c r="D183">
        <v>2.6</v>
      </c>
    </row>
    <row r="184" spans="1:4" x14ac:dyDescent="0.2">
      <c r="A184" t="s">
        <v>191</v>
      </c>
      <c r="B184" t="s">
        <v>7</v>
      </c>
      <c r="C184" s="1">
        <v>8.5000000000000006E-3</v>
      </c>
      <c r="D184">
        <v>3</v>
      </c>
    </row>
    <row r="185" spans="1:4" x14ac:dyDescent="0.2">
      <c r="A185" t="s">
        <v>192</v>
      </c>
      <c r="B185" t="s">
        <v>19</v>
      </c>
      <c r="C185" s="1">
        <v>8.5000000000000006E-3</v>
      </c>
      <c r="D185">
        <v>0</v>
      </c>
    </row>
    <row r="186" spans="1:4" x14ac:dyDescent="0.2">
      <c r="A186" t="s">
        <v>193</v>
      </c>
      <c r="B186" t="s">
        <v>10</v>
      </c>
      <c r="C186" s="1">
        <v>8.5000000000000006E-3</v>
      </c>
      <c r="D186">
        <v>9.1</v>
      </c>
    </row>
    <row r="187" spans="1:4" x14ac:dyDescent="0.2">
      <c r="A187" t="s">
        <v>194</v>
      </c>
      <c r="B187" t="s">
        <v>7</v>
      </c>
      <c r="C187" s="1">
        <v>7.9000000000000008E-3</v>
      </c>
      <c r="D187">
        <v>4.3</v>
      </c>
    </row>
    <row r="188" spans="1:4" x14ac:dyDescent="0.2">
      <c r="A188" t="s">
        <v>195</v>
      </c>
      <c r="B188" t="s">
        <v>19</v>
      </c>
      <c r="C188" s="1">
        <v>7.9000000000000008E-3</v>
      </c>
      <c r="D188">
        <v>0</v>
      </c>
    </row>
    <row r="189" spans="1:4" x14ac:dyDescent="0.2">
      <c r="A189" t="s">
        <v>196</v>
      </c>
      <c r="B189" t="s">
        <v>7</v>
      </c>
      <c r="C189" s="1">
        <v>7.9000000000000008E-3</v>
      </c>
      <c r="D189">
        <v>1.3</v>
      </c>
    </row>
    <row r="190" spans="1:4" x14ac:dyDescent="0.2">
      <c r="A190" t="s">
        <v>197</v>
      </c>
      <c r="B190" t="s">
        <v>10</v>
      </c>
      <c r="C190" s="1">
        <v>7.4000000000000003E-3</v>
      </c>
      <c r="D190">
        <v>2.6</v>
      </c>
    </row>
    <row r="191" spans="1:4" x14ac:dyDescent="0.2">
      <c r="A191" t="s">
        <v>198</v>
      </c>
      <c r="B191" t="s">
        <v>7</v>
      </c>
      <c r="C191" s="1">
        <v>7.4000000000000003E-3</v>
      </c>
      <c r="D191">
        <v>1.3</v>
      </c>
    </row>
    <row r="192" spans="1:4" x14ac:dyDescent="0.2">
      <c r="A192" t="s">
        <v>199</v>
      </c>
      <c r="B192" t="s">
        <v>10</v>
      </c>
      <c r="C192" s="1">
        <v>7.4000000000000003E-3</v>
      </c>
      <c r="D192">
        <v>9.6999999999999993</v>
      </c>
    </row>
    <row r="193" spans="1:4" x14ac:dyDescent="0.2">
      <c r="A193" t="s">
        <v>200</v>
      </c>
      <c r="B193" t="s">
        <v>10</v>
      </c>
      <c r="C193" s="1">
        <v>7.4000000000000003E-3</v>
      </c>
      <c r="D193">
        <v>1.3</v>
      </c>
    </row>
    <row r="194" spans="1:4" x14ac:dyDescent="0.2">
      <c r="A194" t="s">
        <v>201</v>
      </c>
      <c r="B194" t="s">
        <v>19</v>
      </c>
      <c r="C194" s="1">
        <v>7.4000000000000003E-3</v>
      </c>
      <c r="D194">
        <v>4.3</v>
      </c>
    </row>
    <row r="195" spans="1:4" x14ac:dyDescent="0.2">
      <c r="A195" t="s">
        <v>202</v>
      </c>
      <c r="B195" t="s">
        <v>5</v>
      </c>
      <c r="C195" s="1">
        <v>6.7999999999999996E-3</v>
      </c>
      <c r="D195">
        <v>13.1</v>
      </c>
    </row>
    <row r="196" spans="1:4" x14ac:dyDescent="0.2">
      <c r="A196" t="s">
        <v>203</v>
      </c>
      <c r="B196" t="s">
        <v>10</v>
      </c>
      <c r="C196" s="1">
        <v>6.7999999999999996E-3</v>
      </c>
      <c r="D196">
        <v>0</v>
      </c>
    </row>
    <row r="197" spans="1:4" x14ac:dyDescent="0.2">
      <c r="A197" t="s">
        <v>204</v>
      </c>
      <c r="B197" t="s">
        <v>10</v>
      </c>
      <c r="C197" s="1">
        <v>6.1999999999999998E-3</v>
      </c>
      <c r="D197">
        <v>0</v>
      </c>
    </row>
    <row r="198" spans="1:4" x14ac:dyDescent="0.2">
      <c r="A198" t="s">
        <v>205</v>
      </c>
      <c r="B198" t="s">
        <v>10</v>
      </c>
      <c r="C198" s="1">
        <v>6.1999999999999998E-3</v>
      </c>
      <c r="D198">
        <v>4.3</v>
      </c>
    </row>
    <row r="199" spans="1:4" x14ac:dyDescent="0.2">
      <c r="A199" t="s">
        <v>206</v>
      </c>
      <c r="B199" t="s">
        <v>19</v>
      </c>
      <c r="C199" s="1">
        <v>6.1999999999999998E-3</v>
      </c>
      <c r="D199">
        <v>11.8</v>
      </c>
    </row>
    <row r="200" spans="1:4" x14ac:dyDescent="0.2">
      <c r="A200" t="s">
        <v>207</v>
      </c>
      <c r="B200" t="s">
        <v>10</v>
      </c>
      <c r="C200" s="1">
        <v>5.7000000000000002E-3</v>
      </c>
      <c r="D200">
        <v>3</v>
      </c>
    </row>
    <row r="201" spans="1:4" x14ac:dyDescent="0.2">
      <c r="A201" t="s">
        <v>208</v>
      </c>
      <c r="B201" t="s">
        <v>10</v>
      </c>
      <c r="C201" s="1">
        <v>5.1000000000000004E-3</v>
      </c>
      <c r="D201">
        <v>9.5</v>
      </c>
    </row>
    <row r="202" spans="1:4" x14ac:dyDescent="0.2">
      <c r="A202" t="s">
        <v>209</v>
      </c>
      <c r="B202" t="s">
        <v>7</v>
      </c>
      <c r="C202" s="1">
        <v>5.1000000000000004E-3</v>
      </c>
      <c r="D202">
        <v>3</v>
      </c>
    </row>
    <row r="203" spans="1:4" x14ac:dyDescent="0.2">
      <c r="A203" t="s">
        <v>210</v>
      </c>
      <c r="B203" t="s">
        <v>5</v>
      </c>
      <c r="C203" s="1">
        <v>5.1000000000000004E-3</v>
      </c>
      <c r="D203">
        <v>6</v>
      </c>
    </row>
    <row r="204" spans="1:4" x14ac:dyDescent="0.2">
      <c r="A204" t="s">
        <v>211</v>
      </c>
      <c r="B204" t="s">
        <v>7</v>
      </c>
      <c r="C204" s="1">
        <v>4.4999999999999997E-3</v>
      </c>
      <c r="D204">
        <v>1.3</v>
      </c>
    </row>
    <row r="205" spans="1:4" x14ac:dyDescent="0.2">
      <c r="A205" t="s">
        <v>212</v>
      </c>
      <c r="B205" t="s">
        <v>10</v>
      </c>
      <c r="C205" s="1">
        <v>4.0000000000000001E-3</v>
      </c>
      <c r="D205">
        <v>2.6</v>
      </c>
    </row>
    <row r="206" spans="1:4" x14ac:dyDescent="0.2">
      <c r="A206" t="s">
        <v>213</v>
      </c>
      <c r="B206" t="s">
        <v>13</v>
      </c>
      <c r="C206" s="1">
        <v>4.0000000000000001E-3</v>
      </c>
      <c r="D206">
        <v>0</v>
      </c>
    </row>
    <row r="207" spans="1:4" x14ac:dyDescent="0.2">
      <c r="A207" t="s">
        <v>214</v>
      </c>
      <c r="B207" t="s">
        <v>10</v>
      </c>
      <c r="C207" s="1">
        <v>4.0000000000000001E-3</v>
      </c>
      <c r="D207">
        <v>0</v>
      </c>
    </row>
    <row r="208" spans="1:4" x14ac:dyDescent="0.2">
      <c r="A208" t="s">
        <v>215</v>
      </c>
      <c r="B208" t="s">
        <v>10</v>
      </c>
      <c r="C208" s="1">
        <v>4.0000000000000001E-3</v>
      </c>
      <c r="D208">
        <v>2.8</v>
      </c>
    </row>
    <row r="209" spans="1:4" x14ac:dyDescent="0.2">
      <c r="A209" t="s">
        <v>216</v>
      </c>
      <c r="B209" t="s">
        <v>7</v>
      </c>
      <c r="C209" s="1">
        <v>4.0000000000000001E-3</v>
      </c>
      <c r="D209">
        <v>3</v>
      </c>
    </row>
    <row r="210" spans="1:4" x14ac:dyDescent="0.2">
      <c r="A210" t="s">
        <v>217</v>
      </c>
      <c r="B210" t="s">
        <v>10</v>
      </c>
      <c r="C210" s="1">
        <v>4.0000000000000001E-3</v>
      </c>
      <c r="D210">
        <v>2.8</v>
      </c>
    </row>
    <row r="211" spans="1:4" x14ac:dyDescent="0.2">
      <c r="A211" t="s">
        <v>218</v>
      </c>
      <c r="B211" t="s">
        <v>7</v>
      </c>
      <c r="C211" s="1">
        <v>4.0000000000000001E-3</v>
      </c>
      <c r="D211">
        <v>0</v>
      </c>
    </row>
    <row r="212" spans="1:4" x14ac:dyDescent="0.2">
      <c r="A212" t="s">
        <v>219</v>
      </c>
      <c r="B212" t="s">
        <v>7</v>
      </c>
      <c r="C212" s="1">
        <v>4.0000000000000001E-3</v>
      </c>
      <c r="D212">
        <v>3</v>
      </c>
    </row>
    <row r="213" spans="1:4" x14ac:dyDescent="0.2">
      <c r="A213" t="s">
        <v>220</v>
      </c>
      <c r="B213" t="s">
        <v>19</v>
      </c>
      <c r="C213" s="1">
        <v>3.3999999999999998E-3</v>
      </c>
      <c r="D213">
        <v>3</v>
      </c>
    </row>
    <row r="214" spans="1:4" x14ac:dyDescent="0.2">
      <c r="A214" t="s">
        <v>221</v>
      </c>
      <c r="B214" t="s">
        <v>5</v>
      </c>
      <c r="C214" s="1">
        <v>3.3999999999999998E-3</v>
      </c>
      <c r="D214">
        <v>4.5</v>
      </c>
    </row>
    <row r="215" spans="1:4" x14ac:dyDescent="0.2">
      <c r="A215" t="s">
        <v>222</v>
      </c>
      <c r="B215" t="s">
        <v>7</v>
      </c>
      <c r="C215" s="1">
        <v>3.3999999999999998E-3</v>
      </c>
      <c r="D215">
        <v>1.5</v>
      </c>
    </row>
    <row r="216" spans="1:4" x14ac:dyDescent="0.2">
      <c r="A216" t="s">
        <v>223</v>
      </c>
      <c r="B216" t="s">
        <v>10</v>
      </c>
      <c r="C216" s="1">
        <v>3.3999999999999998E-3</v>
      </c>
      <c r="D216">
        <v>12.6</v>
      </c>
    </row>
    <row r="217" spans="1:4" x14ac:dyDescent="0.2">
      <c r="A217" t="s">
        <v>224</v>
      </c>
      <c r="B217" t="s">
        <v>7</v>
      </c>
      <c r="C217" s="1">
        <v>3.3999999999999998E-3</v>
      </c>
      <c r="D217">
        <v>10.6</v>
      </c>
    </row>
    <row r="218" spans="1:4" x14ac:dyDescent="0.2">
      <c r="A218" t="s">
        <v>225</v>
      </c>
      <c r="B218" t="s">
        <v>5</v>
      </c>
      <c r="C218" s="1">
        <v>3.3999999999999998E-3</v>
      </c>
      <c r="D218">
        <v>2.8</v>
      </c>
    </row>
    <row r="219" spans="1:4" x14ac:dyDescent="0.2">
      <c r="A219" t="s">
        <v>226</v>
      </c>
      <c r="B219" t="s">
        <v>7</v>
      </c>
      <c r="C219" s="1">
        <v>2.8E-3</v>
      </c>
      <c r="D219">
        <v>6.5</v>
      </c>
    </row>
    <row r="220" spans="1:4" x14ac:dyDescent="0.2">
      <c r="A220" t="s">
        <v>227</v>
      </c>
      <c r="B220" t="s">
        <v>7</v>
      </c>
      <c r="C220" s="1">
        <v>2.8E-3</v>
      </c>
      <c r="D220">
        <v>0</v>
      </c>
    </row>
    <row r="221" spans="1:4" x14ac:dyDescent="0.2">
      <c r="A221" t="s">
        <v>228</v>
      </c>
      <c r="B221" t="s">
        <v>10</v>
      </c>
      <c r="C221" s="1">
        <v>2.8E-3</v>
      </c>
      <c r="D221">
        <v>2.8</v>
      </c>
    </row>
    <row r="222" spans="1:4" x14ac:dyDescent="0.2">
      <c r="A222" t="s">
        <v>229</v>
      </c>
      <c r="B222" t="s">
        <v>10</v>
      </c>
      <c r="C222" s="1">
        <v>2.8E-3</v>
      </c>
      <c r="D222">
        <v>4.5</v>
      </c>
    </row>
    <row r="223" spans="1:4" x14ac:dyDescent="0.2">
      <c r="A223" t="s">
        <v>230</v>
      </c>
      <c r="B223" t="s">
        <v>10</v>
      </c>
      <c r="C223" s="1">
        <v>2.8E-3</v>
      </c>
      <c r="D223">
        <v>1.5</v>
      </c>
    </row>
    <row r="224" spans="1:4" x14ac:dyDescent="0.2">
      <c r="A224" t="s">
        <v>231</v>
      </c>
      <c r="B224" t="s">
        <v>7</v>
      </c>
      <c r="C224" s="1">
        <v>2.8E-3</v>
      </c>
      <c r="D224">
        <v>19.8</v>
      </c>
    </row>
    <row r="225" spans="1:4" x14ac:dyDescent="0.2">
      <c r="A225" t="s">
        <v>232</v>
      </c>
      <c r="B225" t="s">
        <v>5</v>
      </c>
      <c r="C225" s="1">
        <v>2.3E-3</v>
      </c>
      <c r="D225">
        <v>0</v>
      </c>
    </row>
    <row r="226" spans="1:4" x14ac:dyDescent="0.2">
      <c r="A226" t="s">
        <v>233</v>
      </c>
      <c r="B226" t="s">
        <v>10</v>
      </c>
      <c r="C226" s="1">
        <v>2.3E-3</v>
      </c>
      <c r="D226">
        <v>1.3</v>
      </c>
    </row>
    <row r="227" spans="1:4" x14ac:dyDescent="0.2">
      <c r="A227" t="s">
        <v>234</v>
      </c>
      <c r="B227" t="s">
        <v>7</v>
      </c>
      <c r="C227" s="1">
        <v>2.3E-3</v>
      </c>
      <c r="D227">
        <v>0</v>
      </c>
    </row>
    <row r="228" spans="1:4" x14ac:dyDescent="0.2">
      <c r="A228" t="s">
        <v>235</v>
      </c>
      <c r="B228" t="s">
        <v>5</v>
      </c>
      <c r="C228" s="1">
        <v>2.3E-3</v>
      </c>
      <c r="D228">
        <v>10</v>
      </c>
    </row>
    <row r="229" spans="1:4" x14ac:dyDescent="0.2">
      <c r="A229" t="s">
        <v>236</v>
      </c>
      <c r="B229" t="s">
        <v>7</v>
      </c>
      <c r="C229" s="1">
        <v>2.3E-3</v>
      </c>
      <c r="D229">
        <v>1.5</v>
      </c>
    </row>
    <row r="230" spans="1:4" x14ac:dyDescent="0.2">
      <c r="A230" t="s">
        <v>237</v>
      </c>
      <c r="B230" t="s">
        <v>10</v>
      </c>
      <c r="C230" s="1">
        <v>1.6999999999999999E-3</v>
      </c>
      <c r="D230">
        <v>4.3</v>
      </c>
    </row>
    <row r="231" spans="1:4" x14ac:dyDescent="0.2">
      <c r="A231" t="s">
        <v>238</v>
      </c>
      <c r="B231" t="s">
        <v>10</v>
      </c>
      <c r="C231" s="1">
        <v>1.6999999999999999E-3</v>
      </c>
      <c r="D231">
        <v>2.8</v>
      </c>
    </row>
    <row r="232" spans="1:4" x14ac:dyDescent="0.2">
      <c r="A232" t="s">
        <v>239</v>
      </c>
      <c r="B232" t="s">
        <v>10</v>
      </c>
      <c r="C232" s="1">
        <v>1.6999999999999999E-3</v>
      </c>
      <c r="D232">
        <v>11.3</v>
      </c>
    </row>
    <row r="233" spans="1:4" x14ac:dyDescent="0.2">
      <c r="A233" t="s">
        <v>240</v>
      </c>
      <c r="B233" t="s">
        <v>5</v>
      </c>
      <c r="C233" s="1">
        <v>1.6999999999999999E-3</v>
      </c>
      <c r="D233">
        <v>1.5</v>
      </c>
    </row>
    <row r="234" spans="1:4" x14ac:dyDescent="0.2">
      <c r="A234" t="s">
        <v>241</v>
      </c>
      <c r="B234" t="s">
        <v>10</v>
      </c>
      <c r="C234" s="1">
        <v>1.6999999999999999E-3</v>
      </c>
      <c r="D234">
        <v>6.5</v>
      </c>
    </row>
    <row r="235" spans="1:4" x14ac:dyDescent="0.2">
      <c r="A235" t="s">
        <v>242</v>
      </c>
      <c r="B235" t="s">
        <v>19</v>
      </c>
      <c r="C235" s="1">
        <v>1.6999999999999999E-3</v>
      </c>
      <c r="D235">
        <v>8.4</v>
      </c>
    </row>
    <row r="236" spans="1:4" x14ac:dyDescent="0.2">
      <c r="A236" t="s">
        <v>243</v>
      </c>
      <c r="B236" t="s">
        <v>10</v>
      </c>
      <c r="C236" s="1">
        <v>1.6999999999999999E-3</v>
      </c>
      <c r="D236">
        <v>0</v>
      </c>
    </row>
    <row r="237" spans="1:4" x14ac:dyDescent="0.2">
      <c r="A237" t="s">
        <v>244</v>
      </c>
      <c r="B237" t="s">
        <v>19</v>
      </c>
      <c r="C237" s="1">
        <v>1.6999999999999999E-3</v>
      </c>
      <c r="D237">
        <v>3</v>
      </c>
    </row>
    <row r="238" spans="1:4" x14ac:dyDescent="0.2">
      <c r="A238" t="s">
        <v>245</v>
      </c>
      <c r="B238" t="s">
        <v>19</v>
      </c>
      <c r="C238" s="1">
        <v>1.6999999999999999E-3</v>
      </c>
      <c r="D238">
        <v>0</v>
      </c>
    </row>
    <row r="239" spans="1:4" x14ac:dyDescent="0.2">
      <c r="A239" t="s">
        <v>246</v>
      </c>
      <c r="B239" t="s">
        <v>10</v>
      </c>
      <c r="C239" s="1">
        <v>1.6999999999999999E-3</v>
      </c>
      <c r="D239">
        <v>1.3</v>
      </c>
    </row>
    <row r="240" spans="1:4" x14ac:dyDescent="0.2">
      <c r="A240" t="s">
        <v>247</v>
      </c>
      <c r="B240" t="s">
        <v>7</v>
      </c>
      <c r="C240" s="1">
        <v>1.1000000000000001E-3</v>
      </c>
      <c r="D240">
        <v>1.5</v>
      </c>
    </row>
    <row r="241" spans="1:4" x14ac:dyDescent="0.2">
      <c r="A241" t="s">
        <v>248</v>
      </c>
      <c r="B241" t="s">
        <v>10</v>
      </c>
      <c r="C241" s="1">
        <v>1.1000000000000001E-3</v>
      </c>
      <c r="D241">
        <v>0</v>
      </c>
    </row>
    <row r="242" spans="1:4" x14ac:dyDescent="0.2">
      <c r="A242" t="s">
        <v>249</v>
      </c>
      <c r="B242" t="s">
        <v>13</v>
      </c>
      <c r="C242" s="1">
        <v>1.1000000000000001E-3</v>
      </c>
      <c r="D242">
        <v>0</v>
      </c>
    </row>
    <row r="243" spans="1:4" x14ac:dyDescent="0.2">
      <c r="A243" t="s">
        <v>250</v>
      </c>
      <c r="B243" t="s">
        <v>10</v>
      </c>
      <c r="C243" s="1">
        <v>1.1000000000000001E-3</v>
      </c>
      <c r="D243">
        <v>2.8</v>
      </c>
    </row>
    <row r="244" spans="1:4" x14ac:dyDescent="0.2">
      <c r="A244" t="s">
        <v>251</v>
      </c>
      <c r="B244" t="s">
        <v>7</v>
      </c>
      <c r="C244" s="1">
        <v>1.1000000000000001E-3</v>
      </c>
      <c r="D244">
        <v>1.5</v>
      </c>
    </row>
    <row r="245" spans="1:4" x14ac:dyDescent="0.2">
      <c r="A245" t="s">
        <v>252</v>
      </c>
      <c r="B245" t="s">
        <v>5</v>
      </c>
      <c r="C245" s="1">
        <v>1.1000000000000001E-3</v>
      </c>
      <c r="D245">
        <v>3</v>
      </c>
    </row>
    <row r="246" spans="1:4" x14ac:dyDescent="0.2">
      <c r="A246" t="s">
        <v>253</v>
      </c>
      <c r="B246" t="s">
        <v>7</v>
      </c>
      <c r="C246" s="1">
        <v>1.1000000000000001E-3</v>
      </c>
      <c r="D246">
        <v>4.3</v>
      </c>
    </row>
    <row r="247" spans="1:4" x14ac:dyDescent="0.2">
      <c r="A247" t="s">
        <v>254</v>
      </c>
      <c r="B247" t="s">
        <v>7</v>
      </c>
      <c r="C247" s="1">
        <v>1.1000000000000001E-3</v>
      </c>
      <c r="D247">
        <v>1.5</v>
      </c>
    </row>
    <row r="248" spans="1:4" x14ac:dyDescent="0.2">
      <c r="A248" t="s">
        <v>255</v>
      </c>
      <c r="B248" t="s">
        <v>5</v>
      </c>
      <c r="C248" s="1">
        <v>1.1000000000000001E-3</v>
      </c>
      <c r="D248">
        <v>0</v>
      </c>
    </row>
    <row r="249" spans="1:4" x14ac:dyDescent="0.2">
      <c r="A249" t="s">
        <v>256</v>
      </c>
      <c r="B249" t="s">
        <v>13</v>
      </c>
      <c r="C249" s="1">
        <v>1.1000000000000001E-3</v>
      </c>
      <c r="D249">
        <v>0</v>
      </c>
    </row>
    <row r="250" spans="1:4" x14ac:dyDescent="0.2">
      <c r="A250" t="s">
        <v>257</v>
      </c>
      <c r="B250" t="s">
        <v>10</v>
      </c>
      <c r="C250" s="1">
        <v>1.1000000000000001E-3</v>
      </c>
      <c r="D250">
        <v>8.4</v>
      </c>
    </row>
    <row r="251" spans="1:4" x14ac:dyDescent="0.2">
      <c r="A251" t="s">
        <v>258</v>
      </c>
      <c r="B251" t="s">
        <v>19</v>
      </c>
      <c r="C251" s="1">
        <v>1.1000000000000001E-3</v>
      </c>
      <c r="D251">
        <v>4.0999999999999996</v>
      </c>
    </row>
    <row r="252" spans="1:4" x14ac:dyDescent="0.2">
      <c r="A252" t="s">
        <v>259</v>
      </c>
      <c r="B252" t="s">
        <v>7</v>
      </c>
      <c r="C252" s="1">
        <v>5.9999999999999995E-4</v>
      </c>
      <c r="D252">
        <v>5.8</v>
      </c>
    </row>
    <row r="253" spans="1:4" x14ac:dyDescent="0.2">
      <c r="A253" t="s">
        <v>260</v>
      </c>
      <c r="B253" t="s">
        <v>5</v>
      </c>
      <c r="C253" s="1">
        <v>5.9999999999999995E-4</v>
      </c>
      <c r="D253">
        <v>1.5</v>
      </c>
    </row>
    <row r="254" spans="1:4" x14ac:dyDescent="0.2">
      <c r="A254" t="s">
        <v>261</v>
      </c>
      <c r="B254" t="s">
        <v>13</v>
      </c>
      <c r="C254" s="1">
        <v>5.9999999999999995E-4</v>
      </c>
      <c r="D254">
        <v>0</v>
      </c>
    </row>
    <row r="255" spans="1:4" x14ac:dyDescent="0.2">
      <c r="A255" t="s">
        <v>262</v>
      </c>
      <c r="B255" t="s">
        <v>5</v>
      </c>
      <c r="C255" s="1">
        <v>5.9999999999999995E-4</v>
      </c>
      <c r="D255">
        <v>11.9</v>
      </c>
    </row>
    <row r="256" spans="1:4" x14ac:dyDescent="0.2">
      <c r="A256" t="s">
        <v>263</v>
      </c>
      <c r="B256" t="s">
        <v>13</v>
      </c>
      <c r="C256" s="1">
        <v>5.9999999999999995E-4</v>
      </c>
      <c r="D256">
        <v>0</v>
      </c>
    </row>
    <row r="257" spans="1:4" x14ac:dyDescent="0.2">
      <c r="A257" t="s">
        <v>264</v>
      </c>
      <c r="B257" t="s">
        <v>10</v>
      </c>
      <c r="C257" s="1">
        <v>5.9999999999999995E-4</v>
      </c>
      <c r="D257">
        <v>4.3</v>
      </c>
    </row>
    <row r="258" spans="1:4" x14ac:dyDescent="0.2">
      <c r="A258" t="s">
        <v>265</v>
      </c>
      <c r="B258" t="s">
        <v>10</v>
      </c>
      <c r="C258" s="1">
        <v>5.9999999999999995E-4</v>
      </c>
      <c r="D258">
        <v>2.6</v>
      </c>
    </row>
    <row r="259" spans="1:4" x14ac:dyDescent="0.2">
      <c r="A259" t="s">
        <v>266</v>
      </c>
      <c r="B259" t="s">
        <v>10</v>
      </c>
      <c r="C259" s="1">
        <v>5.9999999999999995E-4</v>
      </c>
      <c r="D259">
        <v>2.8</v>
      </c>
    </row>
    <row r="260" spans="1:4" x14ac:dyDescent="0.2">
      <c r="A260" t="s">
        <v>267</v>
      </c>
      <c r="B260" t="s">
        <v>7</v>
      </c>
      <c r="C260" s="1">
        <v>5.9999999999999995E-4</v>
      </c>
      <c r="D260">
        <v>8</v>
      </c>
    </row>
    <row r="261" spans="1:4" x14ac:dyDescent="0.2">
      <c r="A261" t="s">
        <v>268</v>
      </c>
      <c r="B261" t="s">
        <v>5</v>
      </c>
      <c r="C261" s="1">
        <v>5.9999999999999995E-4</v>
      </c>
      <c r="D261">
        <v>4.0999999999999996</v>
      </c>
    </row>
    <row r="262" spans="1:4" x14ac:dyDescent="0.2">
      <c r="A262" t="s">
        <v>269</v>
      </c>
      <c r="B262" t="s">
        <v>19</v>
      </c>
      <c r="C262" s="1">
        <v>5.9999999999999995E-4</v>
      </c>
      <c r="D262">
        <v>1.3</v>
      </c>
    </row>
    <row r="263" spans="1:4" x14ac:dyDescent="0.2">
      <c r="A263" t="s">
        <v>270</v>
      </c>
      <c r="B263" t="s">
        <v>19</v>
      </c>
      <c r="C263" s="1">
        <v>5.9999999999999995E-4</v>
      </c>
      <c r="D263">
        <v>0</v>
      </c>
    </row>
    <row r="264" spans="1:4" x14ac:dyDescent="0.2">
      <c r="A264" t="s">
        <v>271</v>
      </c>
      <c r="B264" t="s">
        <v>10</v>
      </c>
      <c r="C264" s="1">
        <v>5.9999999999999995E-4</v>
      </c>
      <c r="D264">
        <v>1.5</v>
      </c>
    </row>
    <row r="265" spans="1:4" x14ac:dyDescent="0.2">
      <c r="A265" t="s">
        <v>272</v>
      </c>
      <c r="B265" t="s">
        <v>19</v>
      </c>
      <c r="C265" s="1">
        <v>5.9999999999999995E-4</v>
      </c>
      <c r="D265">
        <v>0</v>
      </c>
    </row>
    <row r="266" spans="1:4" x14ac:dyDescent="0.2">
      <c r="A266" t="s">
        <v>273</v>
      </c>
      <c r="B266" t="s">
        <v>10</v>
      </c>
      <c r="C266" s="1">
        <v>5.9999999999999995E-4</v>
      </c>
      <c r="D266">
        <v>5.6</v>
      </c>
    </row>
    <row r="267" spans="1:4" x14ac:dyDescent="0.2">
      <c r="A267" t="s">
        <v>274</v>
      </c>
      <c r="B267" t="s">
        <v>7</v>
      </c>
      <c r="C267" s="1">
        <v>5.9999999999999995E-4</v>
      </c>
      <c r="D267">
        <v>2.8</v>
      </c>
    </row>
    <row r="268" spans="1:4" x14ac:dyDescent="0.2">
      <c r="A268" t="s">
        <v>275</v>
      </c>
      <c r="B268" t="s">
        <v>7</v>
      </c>
      <c r="C268" s="1">
        <v>5.9999999999999995E-4</v>
      </c>
      <c r="D268">
        <v>3</v>
      </c>
    </row>
    <row r="269" spans="1:4" x14ac:dyDescent="0.2">
      <c r="A269" t="s">
        <v>276</v>
      </c>
      <c r="B269" t="s">
        <v>7</v>
      </c>
      <c r="C269" s="1">
        <v>5.9999999999999995E-4</v>
      </c>
      <c r="D269">
        <v>4.0999999999999996</v>
      </c>
    </row>
    <row r="270" spans="1:4" x14ac:dyDescent="0.2">
      <c r="A270" t="s">
        <v>277</v>
      </c>
      <c r="B270" t="s">
        <v>10</v>
      </c>
      <c r="C270" s="1">
        <v>5.9999999999999995E-4</v>
      </c>
      <c r="D2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07EF-DFFD-004C-9FB0-347BFCDF0603}">
  <dimension ref="A1:N299"/>
  <sheetViews>
    <sheetView tabSelected="1" workbookViewId="0">
      <selection activeCell="A5" sqref="A5:XFD5"/>
    </sheetView>
  </sheetViews>
  <sheetFormatPr baseColWidth="10" defaultRowHeight="16" x14ac:dyDescent="0.2"/>
  <cols>
    <col min="1" max="1" width="20" bestFit="1" customWidth="1"/>
    <col min="2" max="2" width="5.33203125" bestFit="1" customWidth="1"/>
    <col min="3" max="3" width="7.6640625" bestFit="1" customWidth="1"/>
    <col min="4" max="4" width="6.1640625" bestFit="1" customWidth="1"/>
    <col min="5" max="5" width="12.83203125" bestFit="1" customWidth="1"/>
    <col min="6" max="6" width="10.33203125" bestFit="1" customWidth="1"/>
    <col min="7" max="7" width="12.83203125" bestFit="1" customWidth="1"/>
    <col min="8" max="10" width="12.1640625" bestFit="1" customWidth="1"/>
    <col min="11" max="11" width="10.5" bestFit="1" customWidth="1"/>
  </cols>
  <sheetData>
    <row r="1" spans="1:14" x14ac:dyDescent="0.2">
      <c r="A1" t="s">
        <v>278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  <c r="J1" t="s">
        <v>287</v>
      </c>
      <c r="K1" t="s">
        <v>288</v>
      </c>
      <c r="L1" t="s">
        <v>395</v>
      </c>
      <c r="M1" t="s">
        <v>396</v>
      </c>
      <c r="N1" t="s">
        <v>400</v>
      </c>
    </row>
    <row r="2" spans="1:14" x14ac:dyDescent="0.2">
      <c r="A2" t="s">
        <v>359</v>
      </c>
      <c r="B2" t="s">
        <v>293</v>
      </c>
      <c r="C2" t="s">
        <v>10</v>
      </c>
      <c r="D2">
        <v>2500</v>
      </c>
      <c r="E2">
        <v>3.7799891347452901</v>
      </c>
      <c r="F2">
        <v>5.04</v>
      </c>
      <c r="G2">
        <v>-1.2600108652547</v>
      </c>
      <c r="H2">
        <v>1.5119956538981101</v>
      </c>
      <c r="I2">
        <v>1.5119956538981101</v>
      </c>
      <c r="J2">
        <v>14.4499728368632</v>
      </c>
      <c r="K2" t="s">
        <v>290</v>
      </c>
      <c r="L2" t="e">
        <f>VLOOKUP($A2,Actual!$A:$D,4,FALSE)</f>
        <v>#N/A</v>
      </c>
      <c r="M2" t="e">
        <f>VLOOKUP($A2,Actual!$A:$D,3,FALSE)</f>
        <v>#N/A</v>
      </c>
      <c r="N2" t="e">
        <f>VLOOKUP(A2,NHT!B:F,5,FALSE)</f>
        <v>#N/A</v>
      </c>
    </row>
    <row r="3" spans="1:14" x14ac:dyDescent="0.2">
      <c r="A3" t="s">
        <v>383</v>
      </c>
      <c r="B3" t="s">
        <v>293</v>
      </c>
      <c r="C3" t="s">
        <v>292</v>
      </c>
      <c r="D3">
        <v>2500</v>
      </c>
      <c r="E3">
        <v>1.07434687500001</v>
      </c>
      <c r="F3">
        <v>3.95</v>
      </c>
      <c r="G3">
        <v>-2.8756531249999799</v>
      </c>
      <c r="H3">
        <v>0.429738750000006</v>
      </c>
      <c r="I3">
        <v>0.429738750000006</v>
      </c>
      <c r="J3">
        <v>7.6858671875000404</v>
      </c>
      <c r="K3" t="s">
        <v>290</v>
      </c>
      <c r="L3" t="e">
        <f>VLOOKUP($A3,Actual!$A:$D,4,FALSE)</f>
        <v>#N/A</v>
      </c>
      <c r="M3" t="e">
        <f>VLOOKUP($A3,Actual!$A:$D,3,FALSE)</f>
        <v>#N/A</v>
      </c>
      <c r="N3" t="e">
        <f>VLOOKUP(A3,NHT!B:F,5,FALSE)</f>
        <v>#N/A</v>
      </c>
    </row>
    <row r="4" spans="1:14" x14ac:dyDescent="0.2">
      <c r="A4" t="s">
        <v>130</v>
      </c>
      <c r="B4" t="s">
        <v>293</v>
      </c>
      <c r="C4" t="s">
        <v>13</v>
      </c>
      <c r="D4">
        <v>7600</v>
      </c>
      <c r="E4">
        <v>12.0622855448837</v>
      </c>
      <c r="F4">
        <v>10.33</v>
      </c>
      <c r="G4">
        <v>1.73228554488376</v>
      </c>
      <c r="H4">
        <v>1.58714283485312</v>
      </c>
      <c r="I4">
        <v>3.6186856634651199</v>
      </c>
      <c r="J4">
        <v>34.1245710897675</v>
      </c>
      <c r="K4" t="s">
        <v>384</v>
      </c>
      <c r="L4">
        <f>VLOOKUP($A4,Actual!$A:$D,4,FALSE)</f>
        <v>16.5</v>
      </c>
      <c r="M4">
        <f>VLOOKUP($A4,Actual!$A:$D,3,FALSE)</f>
        <v>2.2100000000000002E-2</v>
      </c>
      <c r="N4" t="e">
        <f>VLOOKUP(A4,NHT!B:F,5,FALSE)</f>
        <v>#N/A</v>
      </c>
    </row>
    <row r="5" spans="1:14" x14ac:dyDescent="0.2">
      <c r="A5" t="s">
        <v>197</v>
      </c>
      <c r="B5" t="s">
        <v>293</v>
      </c>
      <c r="C5" t="s">
        <v>10</v>
      </c>
      <c r="D5">
        <v>2800</v>
      </c>
      <c r="E5">
        <v>4.4076842509381802</v>
      </c>
      <c r="F5">
        <v>6.08</v>
      </c>
      <c r="G5">
        <v>-1.6723157490618099</v>
      </c>
      <c r="H5">
        <v>1.5741729467636301</v>
      </c>
      <c r="I5">
        <v>1.7630737003752699</v>
      </c>
      <c r="J5">
        <v>16.019210627345402</v>
      </c>
      <c r="K5" t="s">
        <v>290</v>
      </c>
      <c r="L5">
        <f>VLOOKUP($A5,Actual!$A:$D,4,FALSE)</f>
        <v>2.6</v>
      </c>
      <c r="M5">
        <f>VLOOKUP($A5,Actual!$A:$D,3,FALSE)</f>
        <v>7.4000000000000003E-3</v>
      </c>
      <c r="N5">
        <f>VLOOKUP(A5,NHT!B:F,5,FALSE)</f>
        <v>19.216666666666999</v>
      </c>
    </row>
    <row r="6" spans="1:14" x14ac:dyDescent="0.2">
      <c r="A6" t="s">
        <v>193</v>
      </c>
      <c r="B6" t="s">
        <v>293</v>
      </c>
      <c r="C6" t="s">
        <v>10</v>
      </c>
      <c r="D6">
        <v>2600</v>
      </c>
      <c r="E6">
        <v>6.1779678271346601</v>
      </c>
      <c r="F6">
        <v>6.17</v>
      </c>
      <c r="G6">
        <v>7.9678271346619294E-3</v>
      </c>
      <c r="H6">
        <v>2.3761414719748699</v>
      </c>
      <c r="I6">
        <v>2.4711871308538602</v>
      </c>
      <c r="J6">
        <v>20.4449195678366</v>
      </c>
      <c r="K6" t="s">
        <v>290</v>
      </c>
      <c r="L6">
        <f>VLOOKUP($A6,Actual!$A:$D,4,FALSE)</f>
        <v>9.1</v>
      </c>
      <c r="M6">
        <f>VLOOKUP($A6,Actual!$A:$D,3,FALSE)</f>
        <v>8.5000000000000006E-3</v>
      </c>
      <c r="N6">
        <f>VLOOKUP(A6,NHT!B:F,5,FALSE)</f>
        <v>20.616666666667001</v>
      </c>
    </row>
    <row r="7" spans="1:14" x14ac:dyDescent="0.2">
      <c r="A7" t="s">
        <v>126</v>
      </c>
      <c r="B7" t="s">
        <v>293</v>
      </c>
      <c r="C7" t="s">
        <v>10</v>
      </c>
      <c r="D7">
        <v>4900</v>
      </c>
      <c r="E7">
        <v>8.8111187583718795</v>
      </c>
      <c r="F7">
        <v>9.75</v>
      </c>
      <c r="G7">
        <v>-0.93888124162812003</v>
      </c>
      <c r="H7">
        <v>1.79818750170854</v>
      </c>
      <c r="I7">
        <v>3.5244475033487501</v>
      </c>
      <c r="J7">
        <v>27.027796895929601</v>
      </c>
      <c r="K7" t="s">
        <v>290</v>
      </c>
      <c r="L7">
        <f>VLOOKUP($A7,Actual!$A:$D,4,FALSE)</f>
        <v>21.4</v>
      </c>
      <c r="M7">
        <f>VLOOKUP($A7,Actual!$A:$D,3,FALSE)</f>
        <v>2.3199999999999998E-2</v>
      </c>
      <c r="N7">
        <f>VLOOKUP(A7,NHT!B:F,5,FALSE)</f>
        <v>27.016666666667</v>
      </c>
    </row>
    <row r="8" spans="1:14" x14ac:dyDescent="0.2">
      <c r="A8" t="s">
        <v>212</v>
      </c>
      <c r="B8" t="s">
        <v>293</v>
      </c>
      <c r="C8" t="s">
        <v>10</v>
      </c>
      <c r="D8">
        <v>2500</v>
      </c>
      <c r="E8">
        <v>5.3597052862656298</v>
      </c>
      <c r="F8">
        <v>6.16</v>
      </c>
      <c r="G8">
        <v>-0.80029471373436101</v>
      </c>
      <c r="H8">
        <v>2.1438821145062499</v>
      </c>
      <c r="I8">
        <v>2.1438821145062499</v>
      </c>
      <c r="J8">
        <v>18.399263215664</v>
      </c>
      <c r="K8" t="s">
        <v>290</v>
      </c>
      <c r="L8">
        <f>VLOOKUP($A8,Actual!$A:$D,4,FALSE)</f>
        <v>2.6</v>
      </c>
      <c r="M8">
        <f>VLOOKUP($A8,Actual!$A:$D,3,FALSE)</f>
        <v>4.0000000000000001E-3</v>
      </c>
      <c r="N8">
        <f>VLOOKUP(A8,NHT!B:F,5,FALSE)</f>
        <v>20.45</v>
      </c>
    </row>
    <row r="9" spans="1:14" x14ac:dyDescent="0.2">
      <c r="A9" t="s">
        <v>99</v>
      </c>
      <c r="B9" t="s">
        <v>293</v>
      </c>
      <c r="C9" t="s">
        <v>5</v>
      </c>
      <c r="D9">
        <v>4500</v>
      </c>
      <c r="E9">
        <v>7.8066327788372298</v>
      </c>
      <c r="F9">
        <v>8.8000000000000007</v>
      </c>
      <c r="G9">
        <v>-0.99336722116276199</v>
      </c>
      <c r="H9">
        <v>1.73480728418605</v>
      </c>
      <c r="I9">
        <v>3.1226531115348899</v>
      </c>
      <c r="J9">
        <v>24.516581947093002</v>
      </c>
      <c r="K9" t="s">
        <v>290</v>
      </c>
      <c r="L9">
        <f>VLOOKUP($A9,Actual!$A:$D,4,FALSE)</f>
        <v>19.3</v>
      </c>
      <c r="M9">
        <f>VLOOKUP($A9,Actual!$A:$D,3,FALSE)</f>
        <v>3.1699999999999999E-2</v>
      </c>
      <c r="N9">
        <f>VLOOKUP(A9,NHT!B:F,5,FALSE)</f>
        <v>19.733333333333</v>
      </c>
    </row>
    <row r="10" spans="1:14" x14ac:dyDescent="0.2">
      <c r="A10" t="s">
        <v>91</v>
      </c>
      <c r="B10" t="s">
        <v>293</v>
      </c>
      <c r="C10" t="s">
        <v>294</v>
      </c>
      <c r="D10">
        <v>8800</v>
      </c>
      <c r="E10">
        <v>16.863320302308299</v>
      </c>
      <c r="F10">
        <v>15.14</v>
      </c>
      <c r="G10">
        <v>1.7233203023082999</v>
      </c>
      <c r="H10">
        <v>1.9162863979895799</v>
      </c>
      <c r="I10">
        <v>6.74532812092332</v>
      </c>
      <c r="J10">
        <v>47.158300755770703</v>
      </c>
      <c r="K10" t="s">
        <v>290</v>
      </c>
      <c r="L10">
        <f>VLOOKUP($A10,Actual!$A:$D,4,FALSE)</f>
        <v>33.5</v>
      </c>
      <c r="M10">
        <f>VLOOKUP($A10,Actual!$A:$D,3,FALSE)</f>
        <v>3.4599999999999999E-2</v>
      </c>
      <c r="N10">
        <f>VLOOKUP(A10,NHT!B:F,5,FALSE)</f>
        <v>17.533333333333001</v>
      </c>
    </row>
    <row r="11" spans="1:14" x14ac:dyDescent="0.2">
      <c r="A11" t="s">
        <v>124</v>
      </c>
      <c r="B11" t="s">
        <v>293</v>
      </c>
      <c r="C11" t="s">
        <v>5</v>
      </c>
      <c r="D11">
        <v>5000</v>
      </c>
      <c r="E11">
        <v>9.5919488080575199</v>
      </c>
      <c r="F11">
        <v>10.55</v>
      </c>
      <c r="G11">
        <v>-0.95805119194248001</v>
      </c>
      <c r="H11">
        <v>1.9183897616115</v>
      </c>
      <c r="I11">
        <v>3.836779523223</v>
      </c>
      <c r="J11">
        <v>28.979872020143802</v>
      </c>
      <c r="K11" t="s">
        <v>290</v>
      </c>
      <c r="L11">
        <f>VLOOKUP($A11,Actual!$A:$D,4,FALSE)</f>
        <v>11.5</v>
      </c>
      <c r="M11">
        <f>VLOOKUP($A11,Actual!$A:$D,3,FALSE)</f>
        <v>2.3199999999999998E-2</v>
      </c>
      <c r="N11">
        <f>VLOOKUP(A11,NHT!B:F,5,FALSE)</f>
        <v>15.516666666667</v>
      </c>
    </row>
    <row r="12" spans="1:14" x14ac:dyDescent="0.2">
      <c r="A12" t="s">
        <v>135</v>
      </c>
      <c r="B12" t="s">
        <v>293</v>
      </c>
      <c r="C12" t="s">
        <v>5</v>
      </c>
      <c r="D12">
        <v>3700</v>
      </c>
      <c r="E12">
        <v>7.1684525719731402</v>
      </c>
      <c r="F12">
        <v>7.68</v>
      </c>
      <c r="G12">
        <v>-0.51154742802685305</v>
      </c>
      <c r="H12">
        <v>1.9374196140467901</v>
      </c>
      <c r="I12">
        <v>2.8673810287892501</v>
      </c>
      <c r="J12">
        <v>22.9211314299328</v>
      </c>
      <c r="K12" t="s">
        <v>290</v>
      </c>
      <c r="L12">
        <f>VLOOKUP($A12,Actual!$A:$D,4,FALSE)</f>
        <v>7.3</v>
      </c>
      <c r="M12">
        <f>VLOOKUP($A12,Actual!$A:$D,3,FALSE)</f>
        <v>2.1499999999999998E-2</v>
      </c>
      <c r="N12">
        <f>VLOOKUP(A12,NHT!B:F,5,FALSE)</f>
        <v>17.149999999999999</v>
      </c>
    </row>
    <row r="13" spans="1:14" x14ac:dyDescent="0.2">
      <c r="A13" t="s">
        <v>175</v>
      </c>
      <c r="B13" t="s">
        <v>293</v>
      </c>
      <c r="C13" t="s">
        <v>10</v>
      </c>
      <c r="D13">
        <v>2500</v>
      </c>
      <c r="E13">
        <v>6.7955117947475898</v>
      </c>
      <c r="F13">
        <v>6.48</v>
      </c>
      <c r="G13">
        <v>0.315511794747591</v>
      </c>
      <c r="H13">
        <v>2.7182047178990301</v>
      </c>
      <c r="I13">
        <v>2.7182047178990301</v>
      </c>
      <c r="J13">
        <v>21.9887794868689</v>
      </c>
      <c r="K13" t="s">
        <v>290</v>
      </c>
      <c r="L13">
        <f>VLOOKUP($A13,Actual!$A:$D,4,FALSE)</f>
        <v>4.0999999999999996</v>
      </c>
      <c r="M13">
        <f>VLOOKUP($A13,Actual!$A:$D,3,FALSE)</f>
        <v>1.1299999999999999E-2</v>
      </c>
      <c r="N13">
        <f>VLOOKUP(A13,NHT!B:F,5,FALSE)</f>
        <v>13.016666666667</v>
      </c>
    </row>
    <row r="14" spans="1:14" x14ac:dyDescent="0.2">
      <c r="A14" t="s">
        <v>62</v>
      </c>
      <c r="B14" t="s">
        <v>293</v>
      </c>
      <c r="C14" t="s">
        <v>10</v>
      </c>
      <c r="D14">
        <v>2800</v>
      </c>
      <c r="E14">
        <v>8.86160517172077</v>
      </c>
      <c r="F14">
        <v>8.1199999999999992</v>
      </c>
      <c r="G14">
        <v>0.741605171720779</v>
      </c>
      <c r="H14">
        <v>3.1648589899002699</v>
      </c>
      <c r="I14">
        <v>3.5446420686883102</v>
      </c>
      <c r="J14">
        <v>27.154012929301899</v>
      </c>
      <c r="K14" t="s">
        <v>290</v>
      </c>
      <c r="L14">
        <f>VLOOKUP($A14,Actual!$A:$D,4,FALSE)</f>
        <v>2.6</v>
      </c>
      <c r="M14">
        <f>VLOOKUP($A14,Actual!$A:$D,3,FALSE)</f>
        <v>5.0500000000000003E-2</v>
      </c>
      <c r="N14">
        <f>VLOOKUP(A14,NHT!B:F,5,FALSE)</f>
        <v>19.7</v>
      </c>
    </row>
    <row r="15" spans="1:14" x14ac:dyDescent="0.2">
      <c r="A15" t="s">
        <v>346</v>
      </c>
      <c r="B15" t="s">
        <v>293</v>
      </c>
      <c r="C15" t="s">
        <v>292</v>
      </c>
      <c r="D15">
        <v>2500</v>
      </c>
      <c r="E15">
        <v>4.3592642661770302</v>
      </c>
      <c r="F15">
        <v>3.87</v>
      </c>
      <c r="G15">
        <v>0.489264266177038</v>
      </c>
      <c r="H15">
        <v>1.7437057064708099</v>
      </c>
      <c r="I15">
        <v>1.7437057064708099</v>
      </c>
      <c r="J15">
        <v>15.8981606654425</v>
      </c>
      <c r="K15" t="s">
        <v>290</v>
      </c>
      <c r="L15" t="e">
        <f>VLOOKUP($A15,Actual!$A:$D,4,FALSE)</f>
        <v>#N/A</v>
      </c>
      <c r="M15" t="e">
        <f>VLOOKUP($A15,Actual!$A:$D,3,FALSE)</f>
        <v>#N/A</v>
      </c>
      <c r="N15">
        <f>VLOOKUP(A15,NHT!B:F,5,FALSE)</f>
        <v>8.1999999999999993</v>
      </c>
    </row>
    <row r="16" spans="1:14" x14ac:dyDescent="0.2">
      <c r="A16" t="s">
        <v>355</v>
      </c>
      <c r="B16" t="s">
        <v>293</v>
      </c>
      <c r="C16" t="s">
        <v>5</v>
      </c>
      <c r="D16">
        <v>2500</v>
      </c>
      <c r="E16">
        <v>4.0258048556707298</v>
      </c>
      <c r="F16">
        <v>5.61</v>
      </c>
      <c r="G16">
        <v>-1.5841951443292599</v>
      </c>
      <c r="H16">
        <v>1.61032194226829</v>
      </c>
      <c r="I16">
        <v>1.61032194226829</v>
      </c>
      <c r="J16">
        <v>15.0645121391768</v>
      </c>
      <c r="K16" t="s">
        <v>290</v>
      </c>
      <c r="L16" t="e">
        <f>VLOOKUP($A16,Actual!$A:$D,4,FALSE)</f>
        <v>#N/A</v>
      </c>
      <c r="M16" t="e">
        <f>VLOOKUP($A16,Actual!$A:$D,3,FALSE)</f>
        <v>#N/A</v>
      </c>
      <c r="N16">
        <f>VLOOKUP(A16,NHT!B:F,5,FALSE)</f>
        <v>9.6333333333333009</v>
      </c>
    </row>
    <row r="17" spans="1:14" x14ac:dyDescent="0.2">
      <c r="A17" t="s">
        <v>312</v>
      </c>
      <c r="B17" t="s">
        <v>299</v>
      </c>
      <c r="C17" t="s">
        <v>5</v>
      </c>
      <c r="D17">
        <v>2500</v>
      </c>
      <c r="E17">
        <v>7.5020427266253398</v>
      </c>
      <c r="F17">
        <v>6.76</v>
      </c>
      <c r="G17">
        <v>0.74204272662534199</v>
      </c>
      <c r="H17">
        <v>3.0008170906501301</v>
      </c>
      <c r="I17">
        <v>3.0008170906501301</v>
      </c>
      <c r="J17">
        <v>23.755106816563298</v>
      </c>
      <c r="K17" t="s">
        <v>290</v>
      </c>
      <c r="L17" t="e">
        <f>VLOOKUP($A17,Actual!$A:$D,4,FALSE)</f>
        <v>#N/A</v>
      </c>
      <c r="M17" t="e">
        <f>VLOOKUP($A17,Actual!$A:$D,3,FALSE)</f>
        <v>#N/A</v>
      </c>
      <c r="N17" t="e">
        <f>VLOOKUP(A17,NHT!B:F,5,FALSE)</f>
        <v>#N/A</v>
      </c>
    </row>
    <row r="18" spans="1:14" x14ac:dyDescent="0.2">
      <c r="A18" t="s">
        <v>364</v>
      </c>
      <c r="B18" t="s">
        <v>299</v>
      </c>
      <c r="C18" t="s">
        <v>5</v>
      </c>
      <c r="D18">
        <v>2500</v>
      </c>
      <c r="E18">
        <v>3.3320755412789098</v>
      </c>
      <c r="F18">
        <v>3.58</v>
      </c>
      <c r="G18">
        <v>-0.24792445872108901</v>
      </c>
      <c r="H18">
        <v>1.33283021651156</v>
      </c>
      <c r="I18">
        <v>1.33283021651156</v>
      </c>
      <c r="J18">
        <v>13.3301888531972</v>
      </c>
      <c r="K18" t="s">
        <v>290</v>
      </c>
      <c r="L18" t="e">
        <f>VLOOKUP($A18,Actual!$A:$D,4,FALSE)</f>
        <v>#N/A</v>
      </c>
      <c r="M18" t="e">
        <f>VLOOKUP($A18,Actual!$A:$D,3,FALSE)</f>
        <v>#N/A</v>
      </c>
      <c r="N18" t="e">
        <f>VLOOKUP(A18,NHT!B:F,5,FALSE)</f>
        <v>#N/A</v>
      </c>
    </row>
    <row r="19" spans="1:14" x14ac:dyDescent="0.2">
      <c r="A19" t="s">
        <v>370</v>
      </c>
      <c r="B19" t="s">
        <v>299</v>
      </c>
      <c r="C19" t="s">
        <v>294</v>
      </c>
      <c r="D19">
        <v>2500</v>
      </c>
      <c r="E19">
        <v>3.0071588900796198</v>
      </c>
      <c r="F19">
        <v>6.02</v>
      </c>
      <c r="G19">
        <v>-3.01284110992037</v>
      </c>
      <c r="H19">
        <v>1.2028635560318499</v>
      </c>
      <c r="I19">
        <v>1.2028635560318499</v>
      </c>
      <c r="J19">
        <v>12.517897225199</v>
      </c>
      <c r="K19" t="s">
        <v>290</v>
      </c>
      <c r="L19" t="e">
        <f>VLOOKUP($A19,Actual!$A:$D,4,FALSE)</f>
        <v>#N/A</v>
      </c>
      <c r="M19" t="e">
        <f>VLOOKUP($A19,Actual!$A:$D,3,FALSE)</f>
        <v>#N/A</v>
      </c>
      <c r="N19" t="e">
        <f>VLOOKUP(A19,NHT!B:F,5,FALSE)</f>
        <v>#N/A</v>
      </c>
    </row>
    <row r="20" spans="1:14" x14ac:dyDescent="0.2">
      <c r="A20" t="s">
        <v>374</v>
      </c>
      <c r="B20" t="s">
        <v>299</v>
      </c>
      <c r="C20" t="s">
        <v>5</v>
      </c>
      <c r="D20">
        <v>2500</v>
      </c>
      <c r="E20">
        <v>2.92591817392106</v>
      </c>
      <c r="F20">
        <v>1.39</v>
      </c>
      <c r="G20">
        <v>1.5359181739210599</v>
      </c>
      <c r="H20">
        <v>1.17036726956842</v>
      </c>
      <c r="I20">
        <v>1.17036726956842</v>
      </c>
      <c r="J20">
        <v>12.314795434802599</v>
      </c>
      <c r="K20" t="s">
        <v>290</v>
      </c>
      <c r="L20" t="e">
        <f>VLOOKUP($A20,Actual!$A:$D,4,FALSE)</f>
        <v>#N/A</v>
      </c>
      <c r="M20" t="e">
        <f>VLOOKUP($A20,Actual!$A:$D,3,FALSE)</f>
        <v>#N/A</v>
      </c>
      <c r="N20" t="e">
        <f>VLOOKUP(A20,NHT!B:F,5,FALSE)</f>
        <v>#N/A</v>
      </c>
    </row>
    <row r="21" spans="1:14" x14ac:dyDescent="0.2">
      <c r="A21" t="s">
        <v>87</v>
      </c>
      <c r="B21" t="s">
        <v>299</v>
      </c>
      <c r="C21" t="s">
        <v>13</v>
      </c>
      <c r="D21">
        <v>7200</v>
      </c>
      <c r="E21">
        <v>10.3579581624012</v>
      </c>
      <c r="F21">
        <v>11.22</v>
      </c>
      <c r="G21">
        <v>-0.86204183759874997</v>
      </c>
      <c r="H21">
        <v>1.4386053003335</v>
      </c>
      <c r="I21">
        <v>3.1073874487203699</v>
      </c>
      <c r="J21">
        <v>30.7159163248025</v>
      </c>
      <c r="K21" t="s">
        <v>384</v>
      </c>
      <c r="L21">
        <f>VLOOKUP($A21,Actual!$A:$D,4,FALSE)</f>
        <v>21.4</v>
      </c>
      <c r="M21">
        <f>VLOOKUP($A21,Actual!$A:$D,3,FALSE)</f>
        <v>3.6299999999999999E-2</v>
      </c>
      <c r="N21" t="e">
        <f>VLOOKUP(A21,NHT!B:F,5,FALSE)</f>
        <v>#N/A</v>
      </c>
    </row>
    <row r="22" spans="1:14" x14ac:dyDescent="0.2">
      <c r="A22" t="s">
        <v>171</v>
      </c>
      <c r="B22" t="s">
        <v>299</v>
      </c>
      <c r="C22" t="s">
        <v>10</v>
      </c>
      <c r="D22">
        <v>3200</v>
      </c>
      <c r="E22">
        <v>8.35233706553608</v>
      </c>
      <c r="F22">
        <v>5.58</v>
      </c>
      <c r="G22">
        <v>2.7723370655360799</v>
      </c>
      <c r="H22">
        <v>2.6101053329800199</v>
      </c>
      <c r="I22">
        <v>3.3409348262144301</v>
      </c>
      <c r="J22">
        <v>25.880842663840198</v>
      </c>
      <c r="K22" t="s">
        <v>290</v>
      </c>
      <c r="L22">
        <f>VLOOKUP($A22,Actual!$A:$D,4,FALSE)</f>
        <v>2.6</v>
      </c>
      <c r="M22">
        <f>VLOOKUP($A22,Actual!$A:$D,3,FALSE)</f>
        <v>1.2500000000000001E-2</v>
      </c>
      <c r="N22">
        <f>VLOOKUP(A22,NHT!B:F,5,FALSE)</f>
        <v>26.416666666666998</v>
      </c>
    </row>
    <row r="23" spans="1:14" x14ac:dyDescent="0.2">
      <c r="A23" t="s">
        <v>177</v>
      </c>
      <c r="B23" t="s">
        <v>299</v>
      </c>
      <c r="C23" t="s">
        <v>10</v>
      </c>
      <c r="D23">
        <v>3600</v>
      </c>
      <c r="E23">
        <v>6.9410638648314196</v>
      </c>
      <c r="F23">
        <v>7.24</v>
      </c>
      <c r="G23">
        <v>-0.29893613516857298</v>
      </c>
      <c r="H23">
        <v>1.9280732957865001</v>
      </c>
      <c r="I23">
        <v>2.77642554593257</v>
      </c>
      <c r="J23">
        <v>22.352659662078501</v>
      </c>
      <c r="K23" t="s">
        <v>290</v>
      </c>
      <c r="L23">
        <f>VLOOKUP($A23,Actual!$A:$D,4,FALSE)</f>
        <v>1.5</v>
      </c>
      <c r="M23">
        <f>VLOOKUP($A23,Actual!$A:$D,3,FALSE)</f>
        <v>1.1299999999999999E-2</v>
      </c>
      <c r="N23">
        <f>VLOOKUP(A23,NHT!B:F,5,FALSE)</f>
        <v>27.35</v>
      </c>
    </row>
    <row r="24" spans="1:14" x14ac:dyDescent="0.2">
      <c r="A24" t="s">
        <v>241</v>
      </c>
      <c r="B24" t="s">
        <v>299</v>
      </c>
      <c r="C24" t="s">
        <v>10</v>
      </c>
      <c r="D24">
        <v>2500</v>
      </c>
      <c r="E24">
        <v>5.0174746059870996</v>
      </c>
      <c r="F24">
        <v>4.4000000000000004</v>
      </c>
      <c r="G24">
        <v>0.61747460598710402</v>
      </c>
      <c r="H24">
        <v>2.00698984239484</v>
      </c>
      <c r="I24">
        <v>2.00698984239484</v>
      </c>
      <c r="J24">
        <v>17.5436865149677</v>
      </c>
      <c r="K24" t="s">
        <v>290</v>
      </c>
      <c r="L24">
        <f>VLOOKUP($A24,Actual!$A:$D,4,FALSE)</f>
        <v>6.5</v>
      </c>
      <c r="M24">
        <f>VLOOKUP($A24,Actual!$A:$D,3,FALSE)</f>
        <v>1.6999999999999999E-3</v>
      </c>
      <c r="N24">
        <f>VLOOKUP(A24,NHT!B:F,5,FALSE)</f>
        <v>19.933333333333</v>
      </c>
    </row>
    <row r="25" spans="1:14" x14ac:dyDescent="0.2">
      <c r="A25" t="s">
        <v>56</v>
      </c>
      <c r="B25" t="s">
        <v>299</v>
      </c>
      <c r="C25" t="s">
        <v>10</v>
      </c>
      <c r="D25">
        <v>6600</v>
      </c>
      <c r="E25">
        <v>13.1422757056839</v>
      </c>
      <c r="F25">
        <v>11.31</v>
      </c>
      <c r="G25">
        <v>1.8322757056839201</v>
      </c>
      <c r="H25">
        <v>1.99125389480059</v>
      </c>
      <c r="I25">
        <v>5.2569102822735596</v>
      </c>
      <c r="J25">
        <v>37.855689264209801</v>
      </c>
      <c r="K25" t="s">
        <v>290</v>
      </c>
      <c r="L25">
        <f>VLOOKUP($A25,Actual!$A:$D,4,FALSE)</f>
        <v>4.0999999999999996</v>
      </c>
      <c r="M25">
        <f>VLOOKUP($A25,Actual!$A:$D,3,FALSE)</f>
        <v>5.6099999999999997E-2</v>
      </c>
      <c r="N25">
        <f>VLOOKUP(A25,NHT!B:F,5,FALSE)</f>
        <v>22.883333333332999</v>
      </c>
    </row>
    <row r="26" spans="1:14" x14ac:dyDescent="0.2">
      <c r="A26" t="s">
        <v>93</v>
      </c>
      <c r="B26" t="s">
        <v>299</v>
      </c>
      <c r="C26" t="s">
        <v>10</v>
      </c>
      <c r="D26">
        <v>3500</v>
      </c>
      <c r="E26">
        <v>5.1091076937848303</v>
      </c>
      <c r="F26">
        <v>9.3699999999999992</v>
      </c>
      <c r="G26">
        <v>-4.26089230621516</v>
      </c>
      <c r="H26">
        <v>1.4597450553670901</v>
      </c>
      <c r="I26">
        <v>2.0436430775139298</v>
      </c>
      <c r="J26">
        <v>17.772769234462</v>
      </c>
      <c r="K26" t="s">
        <v>290</v>
      </c>
      <c r="L26">
        <f>VLOOKUP($A26,Actual!$A:$D,4,FALSE)</f>
        <v>9.6</v>
      </c>
      <c r="M26">
        <f>VLOOKUP($A26,Actual!$A:$D,3,FALSE)</f>
        <v>3.2899999999999999E-2</v>
      </c>
      <c r="N26">
        <f>VLOOKUP(A26,NHT!B:F,5,FALSE)</f>
        <v>23.05</v>
      </c>
    </row>
    <row r="27" spans="1:14" x14ac:dyDescent="0.2">
      <c r="A27" t="s">
        <v>134</v>
      </c>
      <c r="B27" t="s">
        <v>299</v>
      </c>
      <c r="C27" t="s">
        <v>5</v>
      </c>
      <c r="D27">
        <v>3500</v>
      </c>
      <c r="E27">
        <v>7.2531040929070301</v>
      </c>
      <c r="F27">
        <v>6.56</v>
      </c>
      <c r="G27">
        <v>0.69310409290703701</v>
      </c>
      <c r="H27">
        <v>2.0723154551162901</v>
      </c>
      <c r="I27">
        <v>2.9012416371628098</v>
      </c>
      <c r="J27">
        <v>23.132760232267501</v>
      </c>
      <c r="K27" t="s">
        <v>290</v>
      </c>
      <c r="L27">
        <f>VLOOKUP($A27,Actual!$A:$D,4,FALSE)</f>
        <v>5</v>
      </c>
      <c r="M27">
        <f>VLOOKUP($A27,Actual!$A:$D,3,FALSE)</f>
        <v>2.2100000000000002E-2</v>
      </c>
      <c r="N27">
        <f>VLOOKUP(A27,NHT!B:F,5,FALSE)</f>
        <v>20.883333333332999</v>
      </c>
    </row>
    <row r="28" spans="1:14" x14ac:dyDescent="0.2">
      <c r="A28" t="s">
        <v>106</v>
      </c>
      <c r="B28" t="s">
        <v>299</v>
      </c>
      <c r="C28" t="s">
        <v>292</v>
      </c>
      <c r="D28">
        <v>4800</v>
      </c>
      <c r="E28">
        <v>8.9805827522138504</v>
      </c>
      <c r="F28">
        <v>9.1300000000000008</v>
      </c>
      <c r="G28">
        <v>-0.14941724778615001</v>
      </c>
      <c r="H28">
        <v>1.8709547400445501</v>
      </c>
      <c r="I28">
        <v>3.5922331008855402</v>
      </c>
      <c r="J28">
        <v>27.4514568805346</v>
      </c>
      <c r="K28" t="s">
        <v>290</v>
      </c>
      <c r="L28">
        <f>VLOOKUP($A28,Actual!$A:$D,4,FALSE)</f>
        <v>12.8</v>
      </c>
      <c r="M28">
        <f>VLOOKUP($A28,Actual!$A:$D,3,FALSE)</f>
        <v>2.8899999999999999E-2</v>
      </c>
      <c r="N28">
        <f>VLOOKUP(A28,NHT!B:F,5,FALSE)</f>
        <v>17</v>
      </c>
    </row>
    <row r="29" spans="1:14" x14ac:dyDescent="0.2">
      <c r="A29" t="s">
        <v>108</v>
      </c>
      <c r="B29" t="s">
        <v>299</v>
      </c>
      <c r="C29" t="s">
        <v>294</v>
      </c>
      <c r="D29">
        <v>3500</v>
      </c>
      <c r="E29">
        <v>7.0358991762412098</v>
      </c>
      <c r="F29">
        <v>7.45</v>
      </c>
      <c r="G29">
        <v>-0.41410082375878599</v>
      </c>
      <c r="H29">
        <v>2.0102569074974799</v>
      </c>
      <c r="I29">
        <v>2.8143596704964802</v>
      </c>
      <c r="J29">
        <v>22.589747940603001</v>
      </c>
      <c r="K29" t="s">
        <v>290</v>
      </c>
      <c r="L29">
        <f>VLOOKUP($A29,Actual!$A:$D,4,FALSE)</f>
        <v>6.5</v>
      </c>
      <c r="M29">
        <f>VLOOKUP($A29,Actual!$A:$D,3,FALSE)</f>
        <v>2.8299999999999999E-2</v>
      </c>
      <c r="N29">
        <f>VLOOKUP(A29,NHT!B:F,5,FALSE)</f>
        <v>16.95</v>
      </c>
    </row>
    <row r="30" spans="1:14" x14ac:dyDescent="0.2">
      <c r="A30" t="s">
        <v>129</v>
      </c>
      <c r="B30" t="s">
        <v>299</v>
      </c>
      <c r="C30" t="s">
        <v>294</v>
      </c>
      <c r="D30">
        <v>6400</v>
      </c>
      <c r="E30">
        <v>11.1189896002822</v>
      </c>
      <c r="F30">
        <v>11.08</v>
      </c>
      <c r="G30">
        <v>3.8989600282235401E-2</v>
      </c>
      <c r="H30">
        <v>1.7373421250440899</v>
      </c>
      <c r="I30">
        <v>4.4475958401128901</v>
      </c>
      <c r="J30">
        <v>32.797474000705499</v>
      </c>
      <c r="K30" t="s">
        <v>290</v>
      </c>
      <c r="L30">
        <f>VLOOKUP($A30,Actual!$A:$D,4,FALSE)</f>
        <v>12.9</v>
      </c>
      <c r="M30">
        <f>VLOOKUP($A30,Actual!$A:$D,3,FALSE)</f>
        <v>2.2700000000000001E-2</v>
      </c>
      <c r="N30">
        <f>VLOOKUP(A30,NHT!B:F,5,FALSE)</f>
        <v>19.766666666667</v>
      </c>
    </row>
    <row r="31" spans="1:14" x14ac:dyDescent="0.2">
      <c r="A31" t="s">
        <v>39</v>
      </c>
      <c r="B31" t="s">
        <v>299</v>
      </c>
      <c r="C31" t="s">
        <v>5</v>
      </c>
      <c r="D31">
        <v>8100</v>
      </c>
      <c r="E31">
        <v>13.6735043797872</v>
      </c>
      <c r="F31">
        <v>14.41</v>
      </c>
      <c r="G31">
        <v>-0.73649562021276704</v>
      </c>
      <c r="H31">
        <v>1.6880869604675499</v>
      </c>
      <c r="I31">
        <v>5.4694017519148899</v>
      </c>
      <c r="J31">
        <v>39.183760949468002</v>
      </c>
      <c r="K31" t="s">
        <v>290</v>
      </c>
      <c r="L31">
        <f>VLOOKUP($A31,Actual!$A:$D,4,FALSE)</f>
        <v>9.1</v>
      </c>
      <c r="M31">
        <f>VLOOKUP($A31,Actual!$A:$D,3,FALSE)</f>
        <v>7.8799999999999995E-2</v>
      </c>
      <c r="N31">
        <f>VLOOKUP(A31,NHT!B:F,5,FALSE)</f>
        <v>17.233333333333</v>
      </c>
    </row>
    <row r="32" spans="1:14" x14ac:dyDescent="0.2">
      <c r="A32" t="s">
        <v>64</v>
      </c>
      <c r="B32" t="s">
        <v>299</v>
      </c>
      <c r="C32" t="s">
        <v>5</v>
      </c>
      <c r="D32">
        <v>3100</v>
      </c>
      <c r="E32">
        <v>1.5764634024271</v>
      </c>
      <c r="F32">
        <v>5.63</v>
      </c>
      <c r="G32">
        <v>-4.0535365975728901</v>
      </c>
      <c r="H32">
        <v>0.50853658142809599</v>
      </c>
      <c r="I32">
        <v>0.63058536097083995</v>
      </c>
      <c r="J32">
        <v>8.9411585060677492</v>
      </c>
      <c r="K32" t="s">
        <v>290</v>
      </c>
      <c r="L32">
        <f>VLOOKUP($A32,Actual!$A:$D,4,FALSE)</f>
        <v>5</v>
      </c>
      <c r="M32">
        <f>VLOOKUP($A32,Actual!$A:$D,3,FALSE)</f>
        <v>5.0500000000000003E-2</v>
      </c>
      <c r="N32">
        <f>VLOOKUP(A32,NHT!B:F,5,FALSE)</f>
        <v>13.033333333332999</v>
      </c>
    </row>
    <row r="33" spans="1:14" x14ac:dyDescent="0.2">
      <c r="A33" t="s">
        <v>235</v>
      </c>
      <c r="B33" t="s">
        <v>299</v>
      </c>
      <c r="C33" t="s">
        <v>5</v>
      </c>
      <c r="D33">
        <v>2600</v>
      </c>
      <c r="E33">
        <v>4.57284448617939</v>
      </c>
      <c r="F33">
        <v>4.96</v>
      </c>
      <c r="G33">
        <v>-0.38715551382060298</v>
      </c>
      <c r="H33">
        <v>1.7587863408382201</v>
      </c>
      <c r="I33">
        <v>1.82913779447175</v>
      </c>
      <c r="J33">
        <v>16.432111215448401</v>
      </c>
      <c r="K33" t="s">
        <v>290</v>
      </c>
      <c r="L33">
        <f>VLOOKUP($A33,Actual!$A:$D,4,FALSE)</f>
        <v>10</v>
      </c>
      <c r="M33">
        <f>VLOOKUP($A33,Actual!$A:$D,3,FALSE)</f>
        <v>2.3E-3</v>
      </c>
      <c r="N33">
        <f>VLOOKUP(A33,NHT!B:F,5,FALSE)</f>
        <v>10.633333333333001</v>
      </c>
    </row>
    <row r="34" spans="1:14" x14ac:dyDescent="0.2">
      <c r="A34" t="s">
        <v>185</v>
      </c>
      <c r="B34" t="s">
        <v>299</v>
      </c>
      <c r="C34" t="s">
        <v>292</v>
      </c>
      <c r="D34">
        <v>3700</v>
      </c>
      <c r="E34">
        <v>5.8792473329388297</v>
      </c>
      <c r="F34">
        <v>7.23</v>
      </c>
      <c r="G34">
        <v>-1.35075266706116</v>
      </c>
      <c r="H34">
        <v>1.58898576565914</v>
      </c>
      <c r="I34">
        <v>2.35169893317553</v>
      </c>
      <c r="J34">
        <v>19.698118332347001</v>
      </c>
      <c r="K34" t="s">
        <v>290</v>
      </c>
      <c r="L34">
        <f>VLOOKUP($A34,Actual!$A:$D,4,FALSE)</f>
        <v>11.5</v>
      </c>
      <c r="M34">
        <f>VLOOKUP($A34,Actual!$A:$D,3,FALSE)</f>
        <v>9.5999999999999992E-3</v>
      </c>
      <c r="N34">
        <f>VLOOKUP(A34,NHT!B:F,5,FALSE)</f>
        <v>10.783333333332999</v>
      </c>
    </row>
    <row r="35" spans="1:14" x14ac:dyDescent="0.2">
      <c r="A35" t="s">
        <v>369</v>
      </c>
      <c r="B35" t="s">
        <v>299</v>
      </c>
      <c r="C35" t="s">
        <v>292</v>
      </c>
      <c r="D35">
        <v>2500</v>
      </c>
      <c r="E35">
        <v>3.0301061914921701</v>
      </c>
      <c r="F35">
        <v>3.72</v>
      </c>
      <c r="G35">
        <v>-0.689893808507825</v>
      </c>
      <c r="H35">
        <v>1.21204247659686</v>
      </c>
      <c r="I35">
        <v>1.21204247659686</v>
      </c>
      <c r="J35">
        <v>12.575265478730399</v>
      </c>
      <c r="K35" t="s">
        <v>290</v>
      </c>
      <c r="L35" t="e">
        <f>VLOOKUP($A35,Actual!$A:$D,4,FALSE)</f>
        <v>#N/A</v>
      </c>
      <c r="M35" t="e">
        <f>VLOOKUP($A35,Actual!$A:$D,3,FALSE)</f>
        <v>#N/A</v>
      </c>
      <c r="N35">
        <f>VLOOKUP(A35,NHT!B:F,5,FALSE)</f>
        <v>11.683333333333</v>
      </c>
    </row>
    <row r="36" spans="1:14" x14ac:dyDescent="0.2">
      <c r="A36" t="s">
        <v>357</v>
      </c>
      <c r="B36" t="s">
        <v>299</v>
      </c>
      <c r="C36" t="s">
        <v>292</v>
      </c>
      <c r="D36">
        <v>2500</v>
      </c>
      <c r="E36">
        <v>3.9836399355762002</v>
      </c>
      <c r="F36">
        <v>2.95</v>
      </c>
      <c r="G36">
        <v>1.0336399355762</v>
      </c>
      <c r="H36">
        <v>1.5934559742304799</v>
      </c>
      <c r="I36">
        <v>1.5934559742304799</v>
      </c>
      <c r="J36">
        <v>14.959099838940499</v>
      </c>
      <c r="K36" t="s">
        <v>290</v>
      </c>
      <c r="L36" t="e">
        <f>VLOOKUP($A36,Actual!$A:$D,4,FALSE)</f>
        <v>#N/A</v>
      </c>
      <c r="M36" t="e">
        <f>VLOOKUP($A36,Actual!$A:$D,3,FALSE)</f>
        <v>#N/A</v>
      </c>
      <c r="N36">
        <f>VLOOKUP(A36,NHT!B:F,5,FALSE)</f>
        <v>10.95</v>
      </c>
    </row>
    <row r="37" spans="1:14" x14ac:dyDescent="0.2">
      <c r="A37" t="s">
        <v>358</v>
      </c>
      <c r="B37" t="s">
        <v>299</v>
      </c>
      <c r="C37" t="s">
        <v>10</v>
      </c>
      <c r="D37">
        <v>2500</v>
      </c>
      <c r="E37">
        <v>3.8179992553616202</v>
      </c>
      <c r="F37">
        <v>2.25</v>
      </c>
      <c r="G37">
        <v>1.56799925536162</v>
      </c>
      <c r="H37">
        <v>1.52719970214465</v>
      </c>
      <c r="I37">
        <v>1.52719970214465</v>
      </c>
      <c r="J37">
        <v>14.544998138404001</v>
      </c>
      <c r="K37" t="s">
        <v>290</v>
      </c>
      <c r="L37" t="e">
        <f>VLOOKUP($A37,Actual!$A:$D,4,FALSE)</f>
        <v>#N/A</v>
      </c>
      <c r="M37" t="e">
        <f>VLOOKUP($A37,Actual!$A:$D,3,FALSE)</f>
        <v>#N/A</v>
      </c>
      <c r="N37">
        <f>VLOOKUP(A37,NHT!B:F,5,FALSE)</f>
        <v>6.2833333333333004</v>
      </c>
    </row>
    <row r="38" spans="1:14" x14ac:dyDescent="0.2">
      <c r="A38" t="s">
        <v>327</v>
      </c>
      <c r="B38" t="s">
        <v>303</v>
      </c>
      <c r="C38" t="s">
        <v>292</v>
      </c>
      <c r="D38">
        <v>2500</v>
      </c>
      <c r="E38">
        <v>5.64130013890468</v>
      </c>
      <c r="F38">
        <v>4.9000000000000004</v>
      </c>
      <c r="G38">
        <v>0.74130013890468704</v>
      </c>
      <c r="H38">
        <v>2.2565200555618699</v>
      </c>
      <c r="I38">
        <v>2.2565200555618699</v>
      </c>
      <c r="J38">
        <v>19.103250347261699</v>
      </c>
      <c r="K38" t="s">
        <v>290</v>
      </c>
      <c r="L38" t="e">
        <f>VLOOKUP($A38,Actual!$A:$D,4,FALSE)</f>
        <v>#N/A</v>
      </c>
      <c r="M38" t="e">
        <f>VLOOKUP($A38,Actual!$A:$D,3,FALSE)</f>
        <v>#N/A</v>
      </c>
      <c r="N38" t="e">
        <f>VLOOKUP(A38,NHT!B:F,5,FALSE)</f>
        <v>#N/A</v>
      </c>
    </row>
    <row r="39" spans="1:14" x14ac:dyDescent="0.2">
      <c r="A39" t="s">
        <v>351</v>
      </c>
      <c r="B39" t="s">
        <v>303</v>
      </c>
      <c r="C39" t="s">
        <v>5</v>
      </c>
      <c r="D39">
        <v>2500</v>
      </c>
      <c r="E39">
        <v>4.1761948696901703</v>
      </c>
      <c r="F39">
        <v>3.31</v>
      </c>
      <c r="G39">
        <v>0.86619486969017001</v>
      </c>
      <c r="H39">
        <v>1.6704779478760601</v>
      </c>
      <c r="I39">
        <v>1.6704779478760601</v>
      </c>
      <c r="J39">
        <v>15.4404871742254</v>
      </c>
      <c r="K39" t="s">
        <v>290</v>
      </c>
      <c r="L39" t="e">
        <f>VLOOKUP($A39,Actual!$A:$D,4,FALSE)</f>
        <v>#N/A</v>
      </c>
      <c r="M39" t="e">
        <f>VLOOKUP($A39,Actual!$A:$D,3,FALSE)</f>
        <v>#N/A</v>
      </c>
      <c r="N39" t="e">
        <f>VLOOKUP(A39,NHT!B:F,5,FALSE)</f>
        <v>#N/A</v>
      </c>
    </row>
    <row r="40" spans="1:14" x14ac:dyDescent="0.2">
      <c r="A40" t="s">
        <v>376</v>
      </c>
      <c r="B40" t="s">
        <v>303</v>
      </c>
      <c r="C40" t="s">
        <v>10</v>
      </c>
      <c r="D40">
        <v>2500</v>
      </c>
      <c r="E40">
        <v>2.7736714285761699</v>
      </c>
      <c r="F40">
        <v>1.68</v>
      </c>
      <c r="G40">
        <v>1.0936714285761699</v>
      </c>
      <c r="H40">
        <v>1.10946857143046</v>
      </c>
      <c r="I40">
        <v>1.10946857143046</v>
      </c>
      <c r="J40">
        <v>11.9341785714404</v>
      </c>
      <c r="K40" t="s">
        <v>290</v>
      </c>
      <c r="L40" t="e">
        <f>VLOOKUP($A40,Actual!$A:$D,4,FALSE)</f>
        <v>#N/A</v>
      </c>
      <c r="M40" t="e">
        <f>VLOOKUP($A40,Actual!$A:$D,3,FALSE)</f>
        <v>#N/A</v>
      </c>
      <c r="N40" t="e">
        <f>VLOOKUP(A40,NHT!B:F,5,FALSE)</f>
        <v>#N/A</v>
      </c>
    </row>
    <row r="41" spans="1:14" x14ac:dyDescent="0.2">
      <c r="A41" t="s">
        <v>96</v>
      </c>
      <c r="B41" t="s">
        <v>303</v>
      </c>
      <c r="C41" t="s">
        <v>13</v>
      </c>
      <c r="D41">
        <v>8400</v>
      </c>
      <c r="E41">
        <v>12.6966947685878</v>
      </c>
      <c r="F41">
        <v>6.26</v>
      </c>
      <c r="G41">
        <v>6.4366947685878797</v>
      </c>
      <c r="H41">
        <v>1.5115112819747401</v>
      </c>
      <c r="I41">
        <v>3.8090084305763598</v>
      </c>
      <c r="J41">
        <v>35.3933895371757</v>
      </c>
      <c r="K41" t="s">
        <v>384</v>
      </c>
      <c r="L41">
        <f>VLOOKUP($A41,Actual!$A:$D,4,FALSE)</f>
        <v>4.8</v>
      </c>
      <c r="M41">
        <f>VLOOKUP($A41,Actual!$A:$D,3,FALSE)</f>
        <v>3.2300000000000002E-2</v>
      </c>
      <c r="N41" t="e">
        <f>VLOOKUP(A41,NHT!B:F,5,FALSE)</f>
        <v>#N/A</v>
      </c>
    </row>
    <row r="42" spans="1:14" x14ac:dyDescent="0.2">
      <c r="A42" t="s">
        <v>393</v>
      </c>
      <c r="B42" t="s">
        <v>303</v>
      </c>
      <c r="C42" t="s">
        <v>13</v>
      </c>
      <c r="D42">
        <v>8200</v>
      </c>
      <c r="E42">
        <v>12.3683970094384</v>
      </c>
      <c r="F42">
        <v>10.28</v>
      </c>
      <c r="G42">
        <v>2.0883970094383999</v>
      </c>
      <c r="H42">
        <v>1.5083410987120001</v>
      </c>
      <c r="I42">
        <v>3.7105191028315199</v>
      </c>
      <c r="J42">
        <v>34.7367940188768</v>
      </c>
      <c r="K42" t="s">
        <v>384</v>
      </c>
      <c r="L42" t="e">
        <f>VLOOKUP($A42,Actual!$A:$D,4,FALSE)</f>
        <v>#N/A</v>
      </c>
      <c r="M42" t="e">
        <f>VLOOKUP($A42,Actual!$A:$D,3,FALSE)</f>
        <v>#N/A</v>
      </c>
      <c r="N42" t="e">
        <f>VLOOKUP(A42,NHT!B:F,5,FALSE)</f>
        <v>#N/A</v>
      </c>
    </row>
    <row r="43" spans="1:14" x14ac:dyDescent="0.2">
      <c r="A43" t="s">
        <v>122</v>
      </c>
      <c r="B43" t="s">
        <v>303</v>
      </c>
      <c r="C43" t="s">
        <v>10</v>
      </c>
      <c r="D43">
        <v>2900</v>
      </c>
      <c r="E43">
        <v>6.8123773555418099</v>
      </c>
      <c r="F43">
        <v>4.29</v>
      </c>
      <c r="G43">
        <v>2.5223773555418099</v>
      </c>
      <c r="H43">
        <v>2.349095639842</v>
      </c>
      <c r="I43">
        <v>2.72495094221672</v>
      </c>
      <c r="J43">
        <v>22.030943388854499</v>
      </c>
      <c r="K43" t="s">
        <v>290</v>
      </c>
      <c r="L43">
        <f>VLOOKUP($A43,Actual!$A:$D,4,FALSE)</f>
        <v>7.8</v>
      </c>
      <c r="M43">
        <f>VLOOKUP($A43,Actual!$A:$D,3,FALSE)</f>
        <v>2.3800000000000002E-2</v>
      </c>
      <c r="N43">
        <f>VLOOKUP(A43,NHT!B:F,5,FALSE)</f>
        <v>23.533333333333001</v>
      </c>
    </row>
    <row r="44" spans="1:14" x14ac:dyDescent="0.2">
      <c r="A44" t="s">
        <v>181</v>
      </c>
      <c r="B44" t="s">
        <v>303</v>
      </c>
      <c r="C44" t="s">
        <v>10</v>
      </c>
      <c r="D44">
        <v>2500</v>
      </c>
      <c r="E44">
        <v>6.3817647725561599</v>
      </c>
      <c r="F44">
        <v>4.79</v>
      </c>
      <c r="G44">
        <v>1.5917647725561599</v>
      </c>
      <c r="H44">
        <v>2.55270590902246</v>
      </c>
      <c r="I44">
        <v>2.55270590902246</v>
      </c>
      <c r="J44">
        <v>20.9544119313904</v>
      </c>
      <c r="K44" t="s">
        <v>290</v>
      </c>
      <c r="L44">
        <f>VLOOKUP($A44,Actual!$A:$D,4,FALSE)</f>
        <v>0</v>
      </c>
      <c r="M44">
        <f>VLOOKUP($A44,Actual!$A:$D,3,FALSE)</f>
        <v>1.0200000000000001E-2</v>
      </c>
      <c r="N44">
        <f>VLOOKUP(A44,NHT!B:F,5,FALSE)</f>
        <v>19.983333333333</v>
      </c>
    </row>
    <row r="45" spans="1:14" x14ac:dyDescent="0.2">
      <c r="A45" t="s">
        <v>76</v>
      </c>
      <c r="B45" t="s">
        <v>303</v>
      </c>
      <c r="C45" t="s">
        <v>10</v>
      </c>
      <c r="D45">
        <v>3200</v>
      </c>
      <c r="E45">
        <v>6.7311415968307102</v>
      </c>
      <c r="F45">
        <v>7.75</v>
      </c>
      <c r="G45">
        <v>-1.01885840316928</v>
      </c>
      <c r="H45">
        <v>2.1034817490095898</v>
      </c>
      <c r="I45">
        <v>2.6924566387322799</v>
      </c>
      <c r="J45">
        <v>21.827853992076701</v>
      </c>
      <c r="K45" t="s">
        <v>290</v>
      </c>
      <c r="L45">
        <f>VLOOKUP($A45,Actual!$A:$D,4,FALSE)</f>
        <v>4.5</v>
      </c>
      <c r="M45">
        <f>VLOOKUP($A45,Actual!$A:$D,3,FALSE)</f>
        <v>4.1399999999999999E-2</v>
      </c>
      <c r="N45">
        <f>VLOOKUP(A45,NHT!B:F,5,FALSE)</f>
        <v>20.3</v>
      </c>
    </row>
    <row r="46" spans="1:14" x14ac:dyDescent="0.2">
      <c r="A46" t="s">
        <v>75</v>
      </c>
      <c r="B46" t="s">
        <v>303</v>
      </c>
      <c r="C46" t="s">
        <v>5</v>
      </c>
      <c r="D46">
        <v>3600</v>
      </c>
      <c r="E46">
        <v>7.2323652194209096</v>
      </c>
      <c r="F46">
        <v>7.94</v>
      </c>
      <c r="G46">
        <v>-0.70763478057908202</v>
      </c>
      <c r="H46">
        <v>2.0089903387280299</v>
      </c>
      <c r="I46">
        <v>2.8929460877683599</v>
      </c>
      <c r="J46">
        <v>23.080913048552201</v>
      </c>
      <c r="K46" t="s">
        <v>290</v>
      </c>
      <c r="L46">
        <f>VLOOKUP($A46,Actual!$A:$D,4,FALSE)</f>
        <v>1.3</v>
      </c>
      <c r="M46">
        <f>VLOOKUP($A46,Actual!$A:$D,3,FALSE)</f>
        <v>4.2000000000000003E-2</v>
      </c>
      <c r="N46">
        <f>VLOOKUP(A46,NHT!B:F,5,FALSE)</f>
        <v>16.366666666667001</v>
      </c>
    </row>
    <row r="47" spans="1:14" x14ac:dyDescent="0.2">
      <c r="A47" t="s">
        <v>23</v>
      </c>
      <c r="B47" t="s">
        <v>303</v>
      </c>
      <c r="C47" t="s">
        <v>5</v>
      </c>
      <c r="D47">
        <v>6600</v>
      </c>
      <c r="E47">
        <v>12.0550974788978</v>
      </c>
      <c r="F47">
        <v>10.86</v>
      </c>
      <c r="G47">
        <v>1.1950974788978499</v>
      </c>
      <c r="H47">
        <v>1.82652992104512</v>
      </c>
      <c r="I47">
        <v>4.8220389915591397</v>
      </c>
      <c r="J47">
        <v>35.137743697244602</v>
      </c>
      <c r="K47" t="s">
        <v>290</v>
      </c>
      <c r="L47">
        <f>VLOOKUP($A47,Actual!$A:$D,4,FALSE)</f>
        <v>4.5</v>
      </c>
      <c r="M47">
        <f>VLOOKUP($A47,Actual!$A:$D,3,FALSE)</f>
        <v>0.12130000000000001</v>
      </c>
      <c r="N47">
        <f>VLOOKUP(A47,NHT!B:F,5,FALSE)</f>
        <v>23.6</v>
      </c>
    </row>
    <row r="48" spans="1:14" x14ac:dyDescent="0.2">
      <c r="A48" t="s">
        <v>89</v>
      </c>
      <c r="B48" t="s">
        <v>303</v>
      </c>
      <c r="C48" t="s">
        <v>5</v>
      </c>
      <c r="D48">
        <v>3100</v>
      </c>
      <c r="E48">
        <v>6.3344648048963501</v>
      </c>
      <c r="F48">
        <v>5.79</v>
      </c>
      <c r="G48">
        <v>0.54446480489635796</v>
      </c>
      <c r="H48">
        <v>2.0433757435149502</v>
      </c>
      <c r="I48">
        <v>2.5337859219585401</v>
      </c>
      <c r="J48">
        <v>20.836162012240798</v>
      </c>
      <c r="K48" t="s">
        <v>290</v>
      </c>
      <c r="L48">
        <f>VLOOKUP($A48,Actual!$A:$D,4,FALSE)</f>
        <v>10</v>
      </c>
      <c r="M48">
        <f>VLOOKUP($A48,Actual!$A:$D,3,FALSE)</f>
        <v>3.4599999999999999E-2</v>
      </c>
      <c r="N48">
        <f>VLOOKUP(A48,NHT!B:F,5,FALSE)</f>
        <v>18.233333333333</v>
      </c>
    </row>
    <row r="49" spans="1:14" x14ac:dyDescent="0.2">
      <c r="A49" t="s">
        <v>25</v>
      </c>
      <c r="B49" t="s">
        <v>303</v>
      </c>
      <c r="C49" t="s">
        <v>294</v>
      </c>
      <c r="D49">
        <v>6300</v>
      </c>
      <c r="E49">
        <v>9.8557711031764708</v>
      </c>
      <c r="F49">
        <v>10.57</v>
      </c>
      <c r="G49">
        <v>-0.71422889682352397</v>
      </c>
      <c r="H49">
        <v>1.5644081116153099</v>
      </c>
      <c r="I49">
        <v>3.94230844127059</v>
      </c>
      <c r="J49">
        <v>29.6394277579411</v>
      </c>
      <c r="K49" t="s">
        <v>290</v>
      </c>
      <c r="L49">
        <f>VLOOKUP($A49,Actual!$A:$D,4,FALSE)</f>
        <v>4.3</v>
      </c>
      <c r="M49">
        <f>VLOOKUP($A49,Actual!$A:$D,3,FALSE)</f>
        <v>0.1168</v>
      </c>
      <c r="N49">
        <f>VLOOKUP(A49,NHT!B:F,5,FALSE)</f>
        <v>22.2</v>
      </c>
    </row>
    <row r="50" spans="1:14" x14ac:dyDescent="0.2">
      <c r="A50" t="s">
        <v>20</v>
      </c>
      <c r="B50" t="s">
        <v>303</v>
      </c>
      <c r="C50" t="s">
        <v>5</v>
      </c>
      <c r="D50">
        <v>6800</v>
      </c>
      <c r="E50">
        <v>12.573505847486</v>
      </c>
      <c r="F50">
        <v>13.08</v>
      </c>
      <c r="G50">
        <v>-0.50649415251392305</v>
      </c>
      <c r="H50">
        <v>1.8490449775714799</v>
      </c>
      <c r="I50">
        <v>5.02940233899443</v>
      </c>
      <c r="J50">
        <v>36.433764618715102</v>
      </c>
      <c r="K50" t="s">
        <v>290</v>
      </c>
      <c r="L50">
        <f>VLOOKUP($A50,Actual!$A:$D,4,FALSE)</f>
        <v>6</v>
      </c>
      <c r="M50">
        <f>VLOOKUP($A50,Actual!$A:$D,3,FALSE)</f>
        <v>0.13039999999999999</v>
      </c>
      <c r="N50">
        <f>VLOOKUP(A50,NHT!B:F,5,FALSE)</f>
        <v>22.283333333333001</v>
      </c>
    </row>
    <row r="51" spans="1:14" x14ac:dyDescent="0.2">
      <c r="A51" t="s">
        <v>132</v>
      </c>
      <c r="B51" t="s">
        <v>303</v>
      </c>
      <c r="C51" t="s">
        <v>292</v>
      </c>
      <c r="D51">
        <v>2700</v>
      </c>
      <c r="E51">
        <v>6.2223691579009799</v>
      </c>
      <c r="F51">
        <v>5.32</v>
      </c>
      <c r="G51">
        <v>0.90236915790098104</v>
      </c>
      <c r="H51">
        <v>2.3045811695929501</v>
      </c>
      <c r="I51">
        <v>2.4889476631603902</v>
      </c>
      <c r="J51">
        <v>20.555922894752399</v>
      </c>
      <c r="K51" t="s">
        <v>290</v>
      </c>
      <c r="L51">
        <f>VLOOKUP($A51,Actual!$A:$D,4,FALSE)</f>
        <v>5</v>
      </c>
      <c r="M51">
        <f>VLOOKUP($A51,Actual!$A:$D,3,FALSE)</f>
        <v>2.2100000000000002E-2</v>
      </c>
      <c r="N51">
        <f>VLOOKUP(A51,NHT!B:F,5,FALSE)</f>
        <v>14.35</v>
      </c>
    </row>
    <row r="52" spans="1:14" x14ac:dyDescent="0.2">
      <c r="A52" t="s">
        <v>259</v>
      </c>
      <c r="B52" t="s">
        <v>303</v>
      </c>
      <c r="C52" t="s">
        <v>292</v>
      </c>
      <c r="D52">
        <v>2500</v>
      </c>
      <c r="E52">
        <v>4.2489873735041499</v>
      </c>
      <c r="F52">
        <v>3.8</v>
      </c>
      <c r="G52">
        <v>0.44898737350415802</v>
      </c>
      <c r="H52">
        <v>1.69959494940166</v>
      </c>
      <c r="I52">
        <v>1.69959494940166</v>
      </c>
      <c r="J52">
        <v>15.6224684337603</v>
      </c>
      <c r="K52" t="s">
        <v>290</v>
      </c>
      <c r="L52">
        <f>VLOOKUP($A52,Actual!$A:$D,4,FALSE)</f>
        <v>5.8</v>
      </c>
      <c r="M52">
        <f>VLOOKUP($A52,Actual!$A:$D,3,FALSE)</f>
        <v>5.9999999999999995E-4</v>
      </c>
      <c r="N52">
        <f>VLOOKUP(A52,NHT!B:F,5,FALSE)</f>
        <v>12.683333333333</v>
      </c>
    </row>
    <row r="53" spans="1:14" x14ac:dyDescent="0.2">
      <c r="A53" t="s">
        <v>53</v>
      </c>
      <c r="B53" t="s">
        <v>303</v>
      </c>
      <c r="C53" t="s">
        <v>294</v>
      </c>
      <c r="D53">
        <v>4100</v>
      </c>
      <c r="E53">
        <v>6.8527586443875501</v>
      </c>
      <c r="F53">
        <v>8.02</v>
      </c>
      <c r="G53">
        <v>-1.1672413556124399</v>
      </c>
      <c r="H53">
        <v>1.6714045474115899</v>
      </c>
      <c r="I53">
        <v>2.74110345775502</v>
      </c>
      <c r="J53">
        <v>22.131896610968798</v>
      </c>
      <c r="K53" t="s">
        <v>290</v>
      </c>
      <c r="L53">
        <f>VLOOKUP($A53,Actual!$A:$D,4,FALSE)</f>
        <v>13</v>
      </c>
      <c r="M53">
        <f>VLOOKUP($A53,Actual!$A:$D,3,FALSE)</f>
        <v>6.0100000000000001E-2</v>
      </c>
      <c r="N53">
        <f>VLOOKUP(A53,NHT!B:F,5,FALSE)</f>
        <v>15.616666666666999</v>
      </c>
    </row>
    <row r="54" spans="1:14" x14ac:dyDescent="0.2">
      <c r="A54" t="s">
        <v>318</v>
      </c>
      <c r="B54" t="s">
        <v>303</v>
      </c>
      <c r="C54" t="s">
        <v>5</v>
      </c>
      <c r="D54">
        <v>2500</v>
      </c>
      <c r="E54">
        <v>6.0123049855490498</v>
      </c>
      <c r="F54">
        <v>3.63</v>
      </c>
      <c r="G54">
        <v>2.3823049855490499</v>
      </c>
      <c r="H54">
        <v>2.4049219942196198</v>
      </c>
      <c r="I54">
        <v>2.4049219942196198</v>
      </c>
      <c r="J54">
        <v>20.030762463872598</v>
      </c>
      <c r="K54" t="s">
        <v>290</v>
      </c>
      <c r="L54" t="e">
        <f>VLOOKUP($A54,Actual!$A:$D,4,FALSE)</f>
        <v>#N/A</v>
      </c>
      <c r="M54" t="e">
        <f>VLOOKUP($A54,Actual!$A:$D,3,FALSE)</f>
        <v>#N/A</v>
      </c>
      <c r="N54">
        <f>VLOOKUP(A54,NHT!B:F,5,FALSE)</f>
        <v>9.5500000000000007</v>
      </c>
    </row>
    <row r="55" spans="1:14" x14ac:dyDescent="0.2">
      <c r="A55" t="s">
        <v>320</v>
      </c>
      <c r="B55" t="s">
        <v>295</v>
      </c>
      <c r="C55" t="s">
        <v>5</v>
      </c>
      <c r="D55">
        <v>2500</v>
      </c>
      <c r="E55">
        <v>5.8780660230141004</v>
      </c>
      <c r="F55">
        <v>2.88</v>
      </c>
      <c r="G55">
        <v>2.9980660230141001</v>
      </c>
      <c r="H55">
        <v>2.3512264092056401</v>
      </c>
      <c r="I55">
        <v>2.3512264092056401</v>
      </c>
      <c r="J55">
        <v>19.695165057535199</v>
      </c>
      <c r="K55" t="s">
        <v>290</v>
      </c>
      <c r="L55" t="e">
        <f>VLOOKUP($A55,Actual!$A:$D,4,FALSE)</f>
        <v>#N/A</v>
      </c>
      <c r="M55" t="e">
        <f>VLOOKUP($A55,Actual!$A:$D,3,FALSE)</f>
        <v>#N/A</v>
      </c>
      <c r="N55" t="e">
        <f>VLOOKUP(A55,NHT!B:F,5,FALSE)</f>
        <v>#N/A</v>
      </c>
    </row>
    <row r="56" spans="1:14" x14ac:dyDescent="0.2">
      <c r="A56" t="s">
        <v>325</v>
      </c>
      <c r="B56" t="s">
        <v>295</v>
      </c>
      <c r="C56" t="s">
        <v>10</v>
      </c>
      <c r="D56">
        <v>3800</v>
      </c>
      <c r="E56">
        <v>5.7114327963415397</v>
      </c>
      <c r="F56">
        <v>7.2</v>
      </c>
      <c r="G56">
        <v>-1.4885672036584501</v>
      </c>
      <c r="H56">
        <v>1.5030086306161901</v>
      </c>
      <c r="I56">
        <v>2.2845731185366098</v>
      </c>
      <c r="J56">
        <v>19.278581990853802</v>
      </c>
      <c r="K56" t="s">
        <v>290</v>
      </c>
      <c r="L56" t="e">
        <f>VLOOKUP($A56,Actual!$A:$D,4,FALSE)</f>
        <v>#N/A</v>
      </c>
      <c r="M56" t="e">
        <f>VLOOKUP($A56,Actual!$A:$D,3,FALSE)</f>
        <v>#N/A</v>
      </c>
      <c r="N56" t="e">
        <f>VLOOKUP(A56,NHT!B:F,5,FALSE)</f>
        <v>#N/A</v>
      </c>
    </row>
    <row r="57" spans="1:14" x14ac:dyDescent="0.2">
      <c r="A57" t="s">
        <v>326</v>
      </c>
      <c r="B57" t="s">
        <v>295</v>
      </c>
      <c r="C57" t="s">
        <v>294</v>
      </c>
      <c r="D57">
        <v>2500</v>
      </c>
      <c r="E57">
        <v>5.6610679218122604</v>
      </c>
      <c r="F57">
        <v>2.0499999999999998</v>
      </c>
      <c r="G57">
        <v>3.6110679218122601</v>
      </c>
      <c r="H57">
        <v>2.2644271687248998</v>
      </c>
      <c r="I57">
        <v>2.2644271687248998</v>
      </c>
      <c r="J57">
        <v>19.1526698045306</v>
      </c>
      <c r="K57" t="s">
        <v>290</v>
      </c>
      <c r="L57" t="e">
        <f>VLOOKUP($A57,Actual!$A:$D,4,FALSE)</f>
        <v>#N/A</v>
      </c>
      <c r="M57" t="e">
        <f>VLOOKUP($A57,Actual!$A:$D,3,FALSE)</f>
        <v>#N/A</v>
      </c>
      <c r="N57" t="e">
        <f>VLOOKUP(A57,NHT!B:F,5,FALSE)</f>
        <v>#N/A</v>
      </c>
    </row>
    <row r="58" spans="1:14" x14ac:dyDescent="0.2">
      <c r="A58" t="s">
        <v>348</v>
      </c>
      <c r="B58" t="s">
        <v>295</v>
      </c>
      <c r="C58" t="s">
        <v>292</v>
      </c>
      <c r="D58">
        <v>2500</v>
      </c>
      <c r="E58">
        <v>4.2113886504453104</v>
      </c>
      <c r="F58">
        <v>2.93</v>
      </c>
      <c r="G58">
        <v>1.28138865044531</v>
      </c>
      <c r="H58">
        <v>1.6845554601781201</v>
      </c>
      <c r="I58">
        <v>1.6845554601781201</v>
      </c>
      <c r="J58">
        <v>15.5284716261132</v>
      </c>
      <c r="K58" t="s">
        <v>290</v>
      </c>
      <c r="L58" t="e">
        <f>VLOOKUP($A58,Actual!$A:$D,4,FALSE)</f>
        <v>#N/A</v>
      </c>
      <c r="M58" t="e">
        <f>VLOOKUP($A58,Actual!$A:$D,3,FALSE)</f>
        <v>#N/A</v>
      </c>
      <c r="N58" t="e">
        <f>VLOOKUP(A58,NHT!B:F,5,FALSE)</f>
        <v>#N/A</v>
      </c>
    </row>
    <row r="59" spans="1:14" x14ac:dyDescent="0.2">
      <c r="A59" t="s">
        <v>356</v>
      </c>
      <c r="B59" t="s">
        <v>295</v>
      </c>
      <c r="C59" t="s">
        <v>10</v>
      </c>
      <c r="D59">
        <v>2500</v>
      </c>
      <c r="E59">
        <v>3.9881806535350601</v>
      </c>
      <c r="F59">
        <v>6.18</v>
      </c>
      <c r="G59">
        <v>-2.1918193464649298</v>
      </c>
      <c r="H59">
        <v>1.59527226141402</v>
      </c>
      <c r="I59">
        <v>1.59527226141402</v>
      </c>
      <c r="J59">
        <v>14.9704516338376</v>
      </c>
      <c r="K59" t="s">
        <v>290</v>
      </c>
      <c r="L59" t="e">
        <f>VLOOKUP($A59,Actual!$A:$D,4,FALSE)</f>
        <v>#N/A</v>
      </c>
      <c r="M59" t="e">
        <f>VLOOKUP($A59,Actual!$A:$D,3,FALSE)</f>
        <v>#N/A</v>
      </c>
      <c r="N59" t="e">
        <f>VLOOKUP(A59,NHT!B:F,5,FALSE)</f>
        <v>#N/A</v>
      </c>
    </row>
    <row r="60" spans="1:14" x14ac:dyDescent="0.2">
      <c r="A60" t="s">
        <v>373</v>
      </c>
      <c r="B60" t="s">
        <v>295</v>
      </c>
      <c r="C60" t="s">
        <v>292</v>
      </c>
      <c r="D60">
        <v>2500</v>
      </c>
      <c r="E60">
        <v>2.9401160161103301</v>
      </c>
      <c r="F60">
        <v>4.0199999999999996</v>
      </c>
      <c r="G60">
        <v>-1.0798839838896599</v>
      </c>
      <c r="H60">
        <v>1.1760464064441301</v>
      </c>
      <c r="I60">
        <v>1.1760464064441301</v>
      </c>
      <c r="J60">
        <v>12.3502900402758</v>
      </c>
      <c r="K60" t="s">
        <v>290</v>
      </c>
      <c r="L60" t="e">
        <f>VLOOKUP($A60,Actual!$A:$D,4,FALSE)</f>
        <v>#N/A</v>
      </c>
      <c r="M60" t="e">
        <f>VLOOKUP($A60,Actual!$A:$D,3,FALSE)</f>
        <v>#N/A</v>
      </c>
      <c r="N60" t="e">
        <f>VLOOKUP(A60,NHT!B:F,5,FALSE)</f>
        <v>#N/A</v>
      </c>
    </row>
    <row r="61" spans="1:14" x14ac:dyDescent="0.2">
      <c r="A61" t="s">
        <v>61</v>
      </c>
      <c r="B61" t="s">
        <v>295</v>
      </c>
      <c r="C61" t="s">
        <v>13</v>
      </c>
      <c r="D61">
        <v>7400</v>
      </c>
      <c r="E61">
        <v>19.6702705640799</v>
      </c>
      <c r="F61">
        <v>12.36</v>
      </c>
      <c r="G61">
        <v>7.3102705640799304</v>
      </c>
      <c r="H61">
        <v>2.6581446708216099</v>
      </c>
      <c r="I61">
        <v>5.9010811692239802</v>
      </c>
      <c r="J61">
        <v>49.340541128159799</v>
      </c>
      <c r="K61" t="s">
        <v>384</v>
      </c>
      <c r="L61">
        <f>VLOOKUP($A61,Actual!$A:$D,4,FALSE)</f>
        <v>29.6</v>
      </c>
      <c r="M61">
        <f>VLOOKUP($A61,Actual!$A:$D,3,FALSE)</f>
        <v>5.0999999999999997E-2</v>
      </c>
      <c r="N61" t="e">
        <f>VLOOKUP(A61,NHT!B:F,5,FALSE)</f>
        <v>#N/A</v>
      </c>
    </row>
    <row r="62" spans="1:14" x14ac:dyDescent="0.2">
      <c r="A62" t="s">
        <v>392</v>
      </c>
      <c r="B62" t="s">
        <v>295</v>
      </c>
      <c r="C62" t="s">
        <v>13</v>
      </c>
      <c r="D62">
        <v>7400</v>
      </c>
      <c r="E62">
        <v>12.404764568257001</v>
      </c>
      <c r="F62">
        <v>9.49</v>
      </c>
      <c r="G62">
        <v>2.9147645682570298</v>
      </c>
      <c r="H62">
        <v>1.67631953625095</v>
      </c>
      <c r="I62">
        <v>3.72142937047711</v>
      </c>
      <c r="J62">
        <v>34.809529136514001</v>
      </c>
      <c r="K62" t="s">
        <v>384</v>
      </c>
      <c r="L62" t="e">
        <f>VLOOKUP($A62,Actual!$A:$D,4,FALSE)</f>
        <v>#N/A</v>
      </c>
      <c r="M62" t="e">
        <f>VLOOKUP($A62,Actual!$A:$D,3,FALSE)</f>
        <v>#N/A</v>
      </c>
      <c r="N62" t="e">
        <f>VLOOKUP(A62,NHT!B:F,5,FALSE)</f>
        <v>#N/A</v>
      </c>
    </row>
    <row r="63" spans="1:14" x14ac:dyDescent="0.2">
      <c r="A63" t="s">
        <v>109</v>
      </c>
      <c r="B63" t="s">
        <v>295</v>
      </c>
      <c r="C63" t="s">
        <v>13</v>
      </c>
      <c r="D63">
        <v>7600</v>
      </c>
      <c r="E63">
        <v>9.8745402047722592</v>
      </c>
      <c r="F63">
        <v>11.67</v>
      </c>
      <c r="G63">
        <v>-1.79545979522773</v>
      </c>
      <c r="H63">
        <v>1.2992816058910801</v>
      </c>
      <c r="I63">
        <v>2.9623620614316701</v>
      </c>
      <c r="J63">
        <v>29.749080409544501</v>
      </c>
      <c r="K63" t="s">
        <v>384</v>
      </c>
      <c r="L63">
        <f>VLOOKUP($A63,Actual!$A:$D,4,FALSE)</f>
        <v>14.4</v>
      </c>
      <c r="M63">
        <f>VLOOKUP($A63,Actual!$A:$D,3,FALSE)</f>
        <v>2.8299999999999999E-2</v>
      </c>
      <c r="N63" t="e">
        <f>VLOOKUP(A63,NHT!B:F,5,FALSE)</f>
        <v>#N/A</v>
      </c>
    </row>
    <row r="64" spans="1:14" x14ac:dyDescent="0.2">
      <c r="A64" t="s">
        <v>152</v>
      </c>
      <c r="B64" t="s">
        <v>295</v>
      </c>
      <c r="C64" t="s">
        <v>10</v>
      </c>
      <c r="D64">
        <v>3100</v>
      </c>
      <c r="E64">
        <v>6.6212358894525396</v>
      </c>
      <c r="F64">
        <v>6.04</v>
      </c>
      <c r="G64">
        <v>0.58123588945254401</v>
      </c>
      <c r="H64">
        <v>2.1358825449846899</v>
      </c>
      <c r="I64">
        <v>2.6484943557810099</v>
      </c>
      <c r="J64">
        <v>21.553089723631299</v>
      </c>
      <c r="K64" t="s">
        <v>290</v>
      </c>
      <c r="L64">
        <f>VLOOKUP($A64,Actual!$A:$D,4,FALSE)</f>
        <v>7.8</v>
      </c>
      <c r="M64">
        <f>VLOOKUP($A64,Actual!$A:$D,3,FALSE)</f>
        <v>1.8100000000000002E-2</v>
      </c>
      <c r="N64">
        <f>VLOOKUP(A64,NHT!B:F,5,FALSE)</f>
        <v>27.35</v>
      </c>
    </row>
    <row r="65" spans="1:14" x14ac:dyDescent="0.2">
      <c r="A65" t="s">
        <v>70</v>
      </c>
      <c r="B65" t="s">
        <v>295</v>
      </c>
      <c r="C65" t="s">
        <v>10</v>
      </c>
      <c r="D65">
        <v>8700</v>
      </c>
      <c r="E65">
        <v>15.5160670449843</v>
      </c>
      <c r="F65">
        <v>16.03</v>
      </c>
      <c r="G65">
        <v>-0.51393295501560599</v>
      </c>
      <c r="H65">
        <v>1.7834559821821101</v>
      </c>
      <c r="I65">
        <v>6.2064268179937496</v>
      </c>
      <c r="J65">
        <v>43.790167612460898</v>
      </c>
      <c r="K65" t="s">
        <v>290</v>
      </c>
      <c r="L65">
        <f>VLOOKUP($A65,Actual!$A:$D,4,FALSE)</f>
        <v>19.899999999999999</v>
      </c>
      <c r="M65">
        <f>VLOOKUP($A65,Actual!$A:$D,3,FALSE)</f>
        <v>4.65E-2</v>
      </c>
      <c r="N65">
        <f>VLOOKUP(A65,NHT!B:F,5,FALSE)</f>
        <v>27.75</v>
      </c>
    </row>
    <row r="66" spans="1:14" x14ac:dyDescent="0.2">
      <c r="A66" t="s">
        <v>115</v>
      </c>
      <c r="B66" t="s">
        <v>295</v>
      </c>
      <c r="C66" t="s">
        <v>10</v>
      </c>
      <c r="D66">
        <v>3900</v>
      </c>
      <c r="E66">
        <v>6.77276875071869</v>
      </c>
      <c r="F66">
        <v>8.5500000000000007</v>
      </c>
      <c r="G66">
        <v>-1.7772312492813001</v>
      </c>
      <c r="H66">
        <v>1.7366073719791499</v>
      </c>
      <c r="I66">
        <v>2.70910750028747</v>
      </c>
      <c r="J66">
        <v>21.9319218767967</v>
      </c>
      <c r="K66" t="s">
        <v>290</v>
      </c>
      <c r="L66">
        <f>VLOOKUP($A66,Actual!$A:$D,4,FALSE)</f>
        <v>3</v>
      </c>
      <c r="M66">
        <f>VLOOKUP($A66,Actual!$A:$D,3,FALSE)</f>
        <v>2.7199999999999998E-2</v>
      </c>
      <c r="N66">
        <f>VLOOKUP(A66,NHT!B:F,5,FALSE)</f>
        <v>23.033333333333001</v>
      </c>
    </row>
    <row r="67" spans="1:14" x14ac:dyDescent="0.2">
      <c r="A67" t="s">
        <v>79</v>
      </c>
      <c r="B67" t="s">
        <v>295</v>
      </c>
      <c r="C67" t="s">
        <v>5</v>
      </c>
      <c r="D67">
        <v>6100</v>
      </c>
      <c r="E67">
        <v>9.7123561959256097</v>
      </c>
      <c r="F67">
        <v>9.5</v>
      </c>
      <c r="G67">
        <v>0.212356195925615</v>
      </c>
      <c r="H67">
        <v>1.5921895403156701</v>
      </c>
      <c r="I67">
        <v>3.88494247837024</v>
      </c>
      <c r="J67">
        <v>29.280890489813999</v>
      </c>
      <c r="K67" t="s">
        <v>290</v>
      </c>
      <c r="L67">
        <f>VLOOKUP($A67,Actual!$A:$D,4,FALSE)</f>
        <v>4.3</v>
      </c>
      <c r="M67">
        <f>VLOOKUP($A67,Actual!$A:$D,3,FALSE)</f>
        <v>3.9100000000000003E-2</v>
      </c>
      <c r="N67">
        <f>VLOOKUP(A67,NHT!B:F,5,FALSE)</f>
        <v>21.2</v>
      </c>
    </row>
    <row r="68" spans="1:14" x14ac:dyDescent="0.2">
      <c r="A68" t="s">
        <v>199</v>
      </c>
      <c r="B68" t="s">
        <v>295</v>
      </c>
      <c r="C68" t="s">
        <v>10</v>
      </c>
      <c r="D68">
        <v>2500</v>
      </c>
      <c r="E68">
        <v>4.8315853998154497</v>
      </c>
      <c r="F68">
        <v>3.94</v>
      </c>
      <c r="G68">
        <v>0.89158539981545304</v>
      </c>
      <c r="H68">
        <v>1.93263415992618</v>
      </c>
      <c r="I68">
        <v>1.93263415992618</v>
      </c>
      <c r="J68">
        <v>17.078963499538599</v>
      </c>
      <c r="K68" t="s">
        <v>290</v>
      </c>
      <c r="L68">
        <f>VLOOKUP($A68,Actual!$A:$D,4,FALSE)</f>
        <v>9.6999999999999993</v>
      </c>
      <c r="M68">
        <f>VLOOKUP($A68,Actual!$A:$D,3,FALSE)</f>
        <v>7.4000000000000003E-3</v>
      </c>
      <c r="N68">
        <f>VLOOKUP(A68,NHT!B:F,5,FALSE)</f>
        <v>21.116666666667001</v>
      </c>
    </row>
    <row r="69" spans="1:14" x14ac:dyDescent="0.2">
      <c r="A69" t="s">
        <v>113</v>
      </c>
      <c r="B69" t="s">
        <v>295</v>
      </c>
      <c r="C69" t="s">
        <v>294</v>
      </c>
      <c r="D69">
        <v>6900</v>
      </c>
      <c r="E69">
        <v>11.7723091071156</v>
      </c>
      <c r="F69">
        <v>12.47</v>
      </c>
      <c r="G69">
        <v>-0.69769089288439001</v>
      </c>
      <c r="H69">
        <v>1.7061317546544299</v>
      </c>
      <c r="I69">
        <v>4.7089236428462398</v>
      </c>
      <c r="J69">
        <v>34.430772767789001</v>
      </c>
      <c r="K69" t="s">
        <v>290</v>
      </c>
      <c r="L69">
        <f>VLOOKUP($A69,Actual!$A:$D,4,FALSE)</f>
        <v>4.5</v>
      </c>
      <c r="M69">
        <f>VLOOKUP($A69,Actual!$A:$D,3,FALSE)</f>
        <v>2.7799999999999998E-2</v>
      </c>
      <c r="N69">
        <f>VLOOKUP(A69,NHT!B:F,5,FALSE)</f>
        <v>17.583333333333002</v>
      </c>
    </row>
    <row r="70" spans="1:14" x14ac:dyDescent="0.2">
      <c r="A70" t="s">
        <v>206</v>
      </c>
      <c r="B70" t="s">
        <v>295</v>
      </c>
      <c r="C70" t="s">
        <v>294</v>
      </c>
      <c r="D70">
        <v>2700</v>
      </c>
      <c r="E70">
        <v>5.7961414883185398</v>
      </c>
      <c r="F70">
        <v>4.78</v>
      </c>
      <c r="G70">
        <v>1.01614148831854</v>
      </c>
      <c r="H70">
        <v>2.1467190697476002</v>
      </c>
      <c r="I70">
        <v>2.3184565953274099</v>
      </c>
      <c r="J70">
        <v>19.4903537207963</v>
      </c>
      <c r="K70" t="s">
        <v>290</v>
      </c>
      <c r="L70">
        <f>VLOOKUP($A70,Actual!$A:$D,4,FALSE)</f>
        <v>11.8</v>
      </c>
      <c r="M70">
        <f>VLOOKUP($A70,Actual!$A:$D,3,FALSE)</f>
        <v>6.1999999999999998E-3</v>
      </c>
      <c r="N70">
        <f>VLOOKUP(A70,NHT!B:F,5,FALSE)</f>
        <v>16.483333333333</v>
      </c>
    </row>
    <row r="71" spans="1:14" x14ac:dyDescent="0.2">
      <c r="A71" t="s">
        <v>198</v>
      </c>
      <c r="B71" t="s">
        <v>295</v>
      </c>
      <c r="C71" t="s">
        <v>5</v>
      </c>
      <c r="D71">
        <v>3200</v>
      </c>
      <c r="E71">
        <v>7.3936730964928499</v>
      </c>
      <c r="F71">
        <v>6.19</v>
      </c>
      <c r="G71">
        <v>1.2036730964928499</v>
      </c>
      <c r="H71">
        <v>2.3105228426540099</v>
      </c>
      <c r="I71">
        <v>2.9574692385971399</v>
      </c>
      <c r="J71">
        <v>23.4841827412321</v>
      </c>
      <c r="K71" t="s">
        <v>290</v>
      </c>
      <c r="L71">
        <f>VLOOKUP($A71,Actual!$A:$D,4,FALSE)</f>
        <v>1.3</v>
      </c>
      <c r="M71">
        <f>VLOOKUP($A71,Actual!$A:$D,3,FALSE)</f>
        <v>7.4000000000000003E-3</v>
      </c>
      <c r="N71">
        <f>VLOOKUP(A71,NHT!B:F,5,FALSE)</f>
        <v>15.85</v>
      </c>
    </row>
    <row r="72" spans="1:14" x14ac:dyDescent="0.2">
      <c r="A72" t="s">
        <v>131</v>
      </c>
      <c r="B72" t="s">
        <v>295</v>
      </c>
      <c r="C72" t="s">
        <v>5</v>
      </c>
      <c r="D72">
        <v>4700</v>
      </c>
      <c r="E72">
        <v>10.462534688156399</v>
      </c>
      <c r="F72">
        <v>9.2899999999999991</v>
      </c>
      <c r="G72">
        <v>1.17253468815641</v>
      </c>
      <c r="H72">
        <v>2.2260712102460398</v>
      </c>
      <c r="I72">
        <v>4.1850138752625599</v>
      </c>
      <c r="J72">
        <v>31.156336720391</v>
      </c>
      <c r="K72" t="s">
        <v>290</v>
      </c>
      <c r="L72">
        <f>VLOOKUP($A72,Actual!$A:$D,4,FALSE)</f>
        <v>2.6</v>
      </c>
      <c r="M72">
        <f>VLOOKUP($A72,Actual!$A:$D,3,FALSE)</f>
        <v>2.2100000000000002E-2</v>
      </c>
      <c r="N72">
        <f>VLOOKUP(A72,NHT!B:F,5,FALSE)</f>
        <v>17.066666666667</v>
      </c>
    </row>
    <row r="73" spans="1:14" x14ac:dyDescent="0.2">
      <c r="A73" t="s">
        <v>138</v>
      </c>
      <c r="B73" t="s">
        <v>295</v>
      </c>
      <c r="C73" t="s">
        <v>5</v>
      </c>
      <c r="D73">
        <v>3500</v>
      </c>
      <c r="E73">
        <v>11.8930225956414</v>
      </c>
      <c r="F73">
        <v>6.51</v>
      </c>
      <c r="G73">
        <v>5.3830225956414202</v>
      </c>
      <c r="H73">
        <v>3.3980064558975398</v>
      </c>
      <c r="I73">
        <v>4.7572090382565602</v>
      </c>
      <c r="J73">
        <v>34.732556489103501</v>
      </c>
      <c r="K73" t="s">
        <v>290</v>
      </c>
      <c r="L73">
        <f>VLOOKUP($A73,Actual!$A:$D,4,FALSE)</f>
        <v>0</v>
      </c>
      <c r="M73">
        <f>VLOOKUP($A73,Actual!$A:$D,3,FALSE)</f>
        <v>2.1000000000000001E-2</v>
      </c>
      <c r="N73">
        <f>VLOOKUP(A73,NHT!B:F,5,FALSE)</f>
        <v>17.916666666666998</v>
      </c>
    </row>
    <row r="74" spans="1:14" x14ac:dyDescent="0.2">
      <c r="A74" t="s">
        <v>69</v>
      </c>
      <c r="B74" t="s">
        <v>295</v>
      </c>
      <c r="C74" t="s">
        <v>294</v>
      </c>
      <c r="D74">
        <v>2600</v>
      </c>
      <c r="E74">
        <v>8.2146852144585392</v>
      </c>
      <c r="F74">
        <v>4.5199999999999996</v>
      </c>
      <c r="G74">
        <v>3.69468521445854</v>
      </c>
      <c r="H74">
        <v>3.1594943132532798</v>
      </c>
      <c r="I74">
        <v>3.2858740857834099</v>
      </c>
      <c r="J74">
        <v>25.536713036146299</v>
      </c>
      <c r="K74" t="s">
        <v>290</v>
      </c>
      <c r="L74">
        <f>VLOOKUP($A74,Actual!$A:$D,4,FALSE)</f>
        <v>10</v>
      </c>
      <c r="M74">
        <f>VLOOKUP($A74,Actual!$A:$D,3,FALSE)</f>
        <v>4.7100000000000003E-2</v>
      </c>
      <c r="N74">
        <f>VLOOKUP(A74,NHT!B:F,5,FALSE)</f>
        <v>12.066666666667</v>
      </c>
    </row>
    <row r="75" spans="1:14" x14ac:dyDescent="0.2">
      <c r="A75" t="s">
        <v>153</v>
      </c>
      <c r="B75" t="s">
        <v>295</v>
      </c>
      <c r="C75" t="s">
        <v>5</v>
      </c>
      <c r="D75">
        <v>3800</v>
      </c>
      <c r="E75">
        <v>9.5246316733342198</v>
      </c>
      <c r="F75">
        <v>5.16</v>
      </c>
      <c r="G75">
        <v>4.3646316733342196</v>
      </c>
      <c r="H75">
        <v>2.5064820192984798</v>
      </c>
      <c r="I75">
        <v>3.80985266933369</v>
      </c>
      <c r="J75">
        <v>28.8115791833355</v>
      </c>
      <c r="K75" t="s">
        <v>290</v>
      </c>
      <c r="L75">
        <f>VLOOKUP($A75,Actual!$A:$D,4,FALSE)</f>
        <v>0</v>
      </c>
      <c r="M75">
        <f>VLOOKUP($A75,Actual!$A:$D,3,FALSE)</f>
        <v>1.7600000000000001E-2</v>
      </c>
      <c r="N75">
        <f>VLOOKUP(A75,NHT!B:F,5,FALSE)</f>
        <v>11.25</v>
      </c>
    </row>
    <row r="76" spans="1:14" x14ac:dyDescent="0.2">
      <c r="A76" t="s">
        <v>345</v>
      </c>
      <c r="B76" t="s">
        <v>295</v>
      </c>
      <c r="C76" t="s">
        <v>10</v>
      </c>
      <c r="D76">
        <v>2500</v>
      </c>
      <c r="E76">
        <v>4.3780665183269001</v>
      </c>
      <c r="F76">
        <v>2.21</v>
      </c>
      <c r="G76">
        <v>2.1680665183269001</v>
      </c>
      <c r="H76">
        <v>1.7512266073307601</v>
      </c>
      <c r="I76">
        <v>1.7512266073307601</v>
      </c>
      <c r="J76">
        <v>15.9451662958172</v>
      </c>
      <c r="K76" t="s">
        <v>290</v>
      </c>
      <c r="L76" t="e">
        <f>VLOOKUP($A76,Actual!$A:$D,4,FALSE)</f>
        <v>#N/A</v>
      </c>
      <c r="M76" t="e">
        <f>VLOOKUP($A76,Actual!$A:$D,3,FALSE)</f>
        <v>#N/A</v>
      </c>
      <c r="N76">
        <f>VLOOKUP(A76,NHT!B:F,5,FALSE)</f>
        <v>10.683333333333</v>
      </c>
    </row>
    <row r="77" spans="1:14" x14ac:dyDescent="0.2">
      <c r="A77" t="s">
        <v>262</v>
      </c>
      <c r="B77" t="s">
        <v>295</v>
      </c>
      <c r="C77" t="s">
        <v>5</v>
      </c>
      <c r="D77">
        <v>2500</v>
      </c>
      <c r="E77">
        <v>3.7897030642557601</v>
      </c>
      <c r="F77">
        <v>4.62</v>
      </c>
      <c r="G77">
        <v>-0.83029693574423002</v>
      </c>
      <c r="H77">
        <v>1.5158812257023</v>
      </c>
      <c r="I77">
        <v>1.5158812257023</v>
      </c>
      <c r="J77">
        <v>14.474257660639401</v>
      </c>
      <c r="K77" t="s">
        <v>290</v>
      </c>
      <c r="L77">
        <f>VLOOKUP($A77,Actual!$A:$D,4,FALSE)</f>
        <v>11.9</v>
      </c>
      <c r="M77">
        <f>VLOOKUP($A77,Actual!$A:$D,3,FALSE)</f>
        <v>5.9999999999999995E-4</v>
      </c>
      <c r="N77">
        <f>VLOOKUP(A77,NHT!B:F,5,FALSE)</f>
        <v>12.466666666667001</v>
      </c>
    </row>
    <row r="78" spans="1:14" x14ac:dyDescent="0.2">
      <c r="A78" t="s">
        <v>170</v>
      </c>
      <c r="B78" t="s">
        <v>295</v>
      </c>
      <c r="C78" t="s">
        <v>292</v>
      </c>
      <c r="D78">
        <v>4200</v>
      </c>
      <c r="E78">
        <v>6.0651347284533497</v>
      </c>
      <c r="F78">
        <v>7.42</v>
      </c>
      <c r="G78">
        <v>-1.35486527154664</v>
      </c>
      <c r="H78">
        <v>1.4440796972507901</v>
      </c>
      <c r="I78">
        <v>2.4260538913813399</v>
      </c>
      <c r="J78">
        <v>20.1628368211333</v>
      </c>
      <c r="K78" t="s">
        <v>290</v>
      </c>
      <c r="L78">
        <f>VLOOKUP($A78,Actual!$A:$D,4,FALSE)</f>
        <v>10</v>
      </c>
      <c r="M78">
        <f>VLOOKUP($A78,Actual!$A:$D,3,FALSE)</f>
        <v>1.2999999999999999E-2</v>
      </c>
      <c r="N78">
        <f>VLOOKUP(A78,NHT!B:F,5,FALSE)</f>
        <v>9.2666666666666995</v>
      </c>
    </row>
    <row r="79" spans="1:14" x14ac:dyDescent="0.2">
      <c r="A79" t="s">
        <v>219</v>
      </c>
      <c r="B79" t="s">
        <v>295</v>
      </c>
      <c r="C79" t="s">
        <v>292</v>
      </c>
      <c r="D79">
        <v>3700</v>
      </c>
      <c r="E79">
        <v>8.9116826733527805</v>
      </c>
      <c r="F79">
        <v>8</v>
      </c>
      <c r="G79">
        <v>0.91168267335278397</v>
      </c>
      <c r="H79">
        <v>2.4085628846899398</v>
      </c>
      <c r="I79">
        <v>3.5646730693411102</v>
      </c>
      <c r="J79">
        <v>27.279206683381901</v>
      </c>
      <c r="K79" t="s">
        <v>290</v>
      </c>
      <c r="L79">
        <f>VLOOKUP($A79,Actual!$A:$D,4,FALSE)</f>
        <v>3</v>
      </c>
      <c r="M79">
        <f>VLOOKUP($A79,Actual!$A:$D,3,FALSE)</f>
        <v>4.0000000000000001E-3</v>
      </c>
      <c r="N79">
        <f>VLOOKUP(A79,NHT!B:F,5,FALSE)</f>
        <v>6.7166666666666996</v>
      </c>
    </row>
    <row r="80" spans="1:14" x14ac:dyDescent="0.2">
      <c r="A80" t="s">
        <v>308</v>
      </c>
      <c r="B80" t="s">
        <v>307</v>
      </c>
      <c r="C80" t="s">
        <v>10</v>
      </c>
      <c r="D80">
        <v>2500</v>
      </c>
      <c r="E80">
        <v>9.5009374952606809</v>
      </c>
      <c r="F80">
        <v>5.31</v>
      </c>
      <c r="G80">
        <v>4.1909374952606804</v>
      </c>
      <c r="H80">
        <v>3.80037499810427</v>
      </c>
      <c r="I80">
        <v>3.80037499810427</v>
      </c>
      <c r="J80">
        <v>28.752343738151701</v>
      </c>
      <c r="K80" t="s">
        <v>290</v>
      </c>
      <c r="L80" t="e">
        <f>VLOOKUP($A80,Actual!$A:$D,4,FALSE)</f>
        <v>#N/A</v>
      </c>
      <c r="M80" t="e">
        <f>VLOOKUP($A80,Actual!$A:$D,3,FALSE)</f>
        <v>#N/A</v>
      </c>
      <c r="N80" t="e">
        <f>VLOOKUP(A80,NHT!B:F,5,FALSE)</f>
        <v>#N/A</v>
      </c>
    </row>
    <row r="81" spans="1:14" x14ac:dyDescent="0.2">
      <c r="A81" t="s">
        <v>313</v>
      </c>
      <c r="B81" t="s">
        <v>307</v>
      </c>
      <c r="C81" t="s">
        <v>5</v>
      </c>
      <c r="D81">
        <v>3000</v>
      </c>
      <c r="E81">
        <v>7.16744888781888</v>
      </c>
      <c r="F81">
        <v>5.81</v>
      </c>
      <c r="G81">
        <v>1.35744888781888</v>
      </c>
      <c r="H81">
        <v>2.3891496292729602</v>
      </c>
      <c r="I81">
        <v>2.8669795551275499</v>
      </c>
      <c r="J81">
        <v>22.918622219547199</v>
      </c>
      <c r="K81" t="s">
        <v>290</v>
      </c>
      <c r="L81" t="e">
        <f>VLOOKUP($A81,Actual!$A:$D,4,FALSE)</f>
        <v>#N/A</v>
      </c>
      <c r="M81" t="e">
        <f>VLOOKUP($A81,Actual!$A:$D,3,FALSE)</f>
        <v>#N/A</v>
      </c>
      <c r="N81" t="e">
        <f>VLOOKUP(A81,NHT!B:F,5,FALSE)</f>
        <v>#N/A</v>
      </c>
    </row>
    <row r="82" spans="1:14" x14ac:dyDescent="0.2">
      <c r="A82" t="s">
        <v>277</v>
      </c>
      <c r="B82" t="s">
        <v>307</v>
      </c>
      <c r="C82" t="s">
        <v>10</v>
      </c>
      <c r="D82">
        <v>2500</v>
      </c>
      <c r="E82">
        <v>5.1107229939371797</v>
      </c>
      <c r="F82">
        <v>4.2</v>
      </c>
      <c r="G82">
        <v>0.91072299393718803</v>
      </c>
      <c r="H82">
        <v>2.0442891975748698</v>
      </c>
      <c r="I82">
        <v>2.0442891975748698</v>
      </c>
      <c r="J82">
        <v>17.776807484842902</v>
      </c>
      <c r="K82" t="s">
        <v>290</v>
      </c>
      <c r="L82">
        <f>VLOOKUP($A82,Actual!$A:$D,4,FALSE)</f>
        <v>0</v>
      </c>
      <c r="M82">
        <f>VLOOKUP($A82,Actual!$A:$D,3,FALSE)</f>
        <v>5.9999999999999995E-4</v>
      </c>
      <c r="N82" t="e">
        <f>VLOOKUP(A82,NHT!B:F,5,FALSE)</f>
        <v>#N/A</v>
      </c>
    </row>
    <row r="83" spans="1:14" x14ac:dyDescent="0.2">
      <c r="A83" t="s">
        <v>255</v>
      </c>
      <c r="B83" t="s">
        <v>307</v>
      </c>
      <c r="C83" t="s">
        <v>5</v>
      </c>
      <c r="D83">
        <v>2800</v>
      </c>
      <c r="E83">
        <v>3.9984302062740502</v>
      </c>
      <c r="F83">
        <v>5.0199999999999996</v>
      </c>
      <c r="G83">
        <v>-1.02156979372594</v>
      </c>
      <c r="H83">
        <v>1.4280107879550099</v>
      </c>
      <c r="I83">
        <v>1.59937208250962</v>
      </c>
      <c r="J83">
        <v>14.996075515685099</v>
      </c>
      <c r="K83" t="s">
        <v>290</v>
      </c>
      <c r="L83">
        <f>VLOOKUP($A83,Actual!$A:$D,4,FALSE)</f>
        <v>0</v>
      </c>
      <c r="M83">
        <f>VLOOKUP($A83,Actual!$A:$D,3,FALSE)</f>
        <v>1.1000000000000001E-3</v>
      </c>
      <c r="N83" t="e">
        <f>VLOOKUP(A83,NHT!B:F,5,FALSE)</f>
        <v>#N/A</v>
      </c>
    </row>
    <row r="84" spans="1:14" x14ac:dyDescent="0.2">
      <c r="A84" t="s">
        <v>379</v>
      </c>
      <c r="B84" t="s">
        <v>307</v>
      </c>
      <c r="C84" t="s">
        <v>294</v>
      </c>
      <c r="D84">
        <v>2500</v>
      </c>
      <c r="E84">
        <v>2.5047781127541899</v>
      </c>
      <c r="F84">
        <v>0</v>
      </c>
      <c r="G84">
        <v>2.5047781127541899</v>
      </c>
      <c r="H84">
        <v>1.0019112451016701</v>
      </c>
      <c r="I84">
        <v>1.0019112451016701</v>
      </c>
      <c r="J84">
        <v>11.261945281885399</v>
      </c>
      <c r="K84" t="s">
        <v>290</v>
      </c>
      <c r="L84" t="e">
        <f>VLOOKUP($A84,Actual!$A:$D,4,FALSE)</f>
        <v>#N/A</v>
      </c>
      <c r="M84" t="e">
        <f>VLOOKUP($A84,Actual!$A:$D,3,FALSE)</f>
        <v>#N/A</v>
      </c>
      <c r="N84" t="e">
        <f>VLOOKUP(A84,NHT!B:F,5,FALSE)</f>
        <v>#N/A</v>
      </c>
    </row>
    <row r="85" spans="1:14" x14ac:dyDescent="0.2">
      <c r="A85" t="s">
        <v>391</v>
      </c>
      <c r="B85" t="s">
        <v>307</v>
      </c>
      <c r="C85" t="s">
        <v>13</v>
      </c>
      <c r="D85">
        <v>7000</v>
      </c>
      <c r="E85">
        <v>12.4747523671836</v>
      </c>
      <c r="F85">
        <v>6.69</v>
      </c>
      <c r="G85">
        <v>5.7847523671836196</v>
      </c>
      <c r="H85">
        <v>1.7821074810262301</v>
      </c>
      <c r="I85">
        <v>3.74242571015508</v>
      </c>
      <c r="J85">
        <v>34.949504734367203</v>
      </c>
      <c r="K85" t="s">
        <v>384</v>
      </c>
      <c r="L85" t="e">
        <f>VLOOKUP($A85,Actual!$A:$D,4,FALSE)</f>
        <v>#N/A</v>
      </c>
      <c r="M85" t="e">
        <f>VLOOKUP($A85,Actual!$A:$D,3,FALSE)</f>
        <v>#N/A</v>
      </c>
      <c r="N85" t="e">
        <f>VLOOKUP(A85,NHT!B:F,5,FALSE)</f>
        <v>#N/A</v>
      </c>
    </row>
    <row r="86" spans="1:14" x14ac:dyDescent="0.2">
      <c r="A86" t="s">
        <v>214</v>
      </c>
      <c r="B86" t="s">
        <v>307</v>
      </c>
      <c r="C86" t="s">
        <v>10</v>
      </c>
      <c r="D86">
        <v>2900</v>
      </c>
      <c r="E86">
        <v>6.3754845102250899</v>
      </c>
      <c r="F86">
        <v>5.48</v>
      </c>
      <c r="G86">
        <v>0.89548451022509101</v>
      </c>
      <c r="H86">
        <v>2.19844293456037</v>
      </c>
      <c r="I86">
        <v>2.5501938040900298</v>
      </c>
      <c r="J86">
        <v>20.938711275562699</v>
      </c>
      <c r="K86" t="s">
        <v>290</v>
      </c>
      <c r="L86">
        <f>VLOOKUP($A86,Actual!$A:$D,4,FALSE)</f>
        <v>0</v>
      </c>
      <c r="M86">
        <f>VLOOKUP($A86,Actual!$A:$D,3,FALSE)</f>
        <v>4.0000000000000001E-3</v>
      </c>
      <c r="N86">
        <f>VLOOKUP(A86,NHT!B:F,5,FALSE)</f>
        <v>25.616666666667001</v>
      </c>
    </row>
    <row r="87" spans="1:14" x14ac:dyDescent="0.2">
      <c r="A87" t="s">
        <v>114</v>
      </c>
      <c r="B87" t="s">
        <v>307</v>
      </c>
      <c r="C87" t="s">
        <v>10</v>
      </c>
      <c r="D87">
        <v>2600</v>
      </c>
      <c r="E87">
        <v>4.6565037655018902</v>
      </c>
      <c r="F87">
        <v>5.7</v>
      </c>
      <c r="G87">
        <v>-1.0434962344981</v>
      </c>
      <c r="H87">
        <v>1.79096298673149</v>
      </c>
      <c r="I87">
        <v>1.8626015062007499</v>
      </c>
      <c r="J87">
        <v>16.6412594137547</v>
      </c>
      <c r="K87" t="s">
        <v>290</v>
      </c>
      <c r="L87">
        <f>VLOOKUP($A87,Actual!$A:$D,4,FALSE)</f>
        <v>9.6999999999999993</v>
      </c>
      <c r="M87">
        <f>VLOOKUP($A87,Actual!$A:$D,3,FALSE)</f>
        <v>2.7199999999999998E-2</v>
      </c>
      <c r="N87">
        <f>VLOOKUP(A87,NHT!B:F,5,FALSE)</f>
        <v>22.35</v>
      </c>
    </row>
    <row r="88" spans="1:14" x14ac:dyDescent="0.2">
      <c r="A88" t="s">
        <v>207</v>
      </c>
      <c r="B88" t="s">
        <v>307</v>
      </c>
      <c r="C88" t="s">
        <v>10</v>
      </c>
      <c r="D88">
        <v>2500</v>
      </c>
      <c r="E88">
        <v>5.12666977924387</v>
      </c>
      <c r="F88">
        <v>4.33</v>
      </c>
      <c r="G88">
        <v>0.79666977924387505</v>
      </c>
      <c r="H88">
        <v>2.0506679116975501</v>
      </c>
      <c r="I88">
        <v>2.0506679116975501</v>
      </c>
      <c r="J88">
        <v>17.816674448109602</v>
      </c>
      <c r="K88" t="s">
        <v>290</v>
      </c>
      <c r="L88">
        <f>VLOOKUP($A88,Actual!$A:$D,4,FALSE)</f>
        <v>3</v>
      </c>
      <c r="M88">
        <f>VLOOKUP($A88,Actual!$A:$D,3,FALSE)</f>
        <v>5.7000000000000002E-3</v>
      </c>
      <c r="N88">
        <f>VLOOKUP(A88,NHT!B:F,5,FALSE)</f>
        <v>22.666666666666998</v>
      </c>
    </row>
    <row r="89" spans="1:14" x14ac:dyDescent="0.2">
      <c r="A89" t="s">
        <v>239</v>
      </c>
      <c r="B89" t="s">
        <v>307</v>
      </c>
      <c r="C89" t="s">
        <v>10</v>
      </c>
      <c r="D89">
        <v>2800</v>
      </c>
      <c r="E89">
        <v>5.8449338216421296</v>
      </c>
      <c r="F89">
        <v>4.7</v>
      </c>
      <c r="G89">
        <v>1.1449338216421301</v>
      </c>
      <c r="H89">
        <v>2.0874763648721801</v>
      </c>
      <c r="I89">
        <v>2.3379735286568502</v>
      </c>
      <c r="J89">
        <v>19.612334554105299</v>
      </c>
      <c r="K89" t="s">
        <v>290</v>
      </c>
      <c r="L89">
        <f>VLOOKUP($A89,Actual!$A:$D,4,FALSE)</f>
        <v>11.3</v>
      </c>
      <c r="M89">
        <f>VLOOKUP($A89,Actual!$A:$D,3,FALSE)</f>
        <v>1.6999999999999999E-3</v>
      </c>
      <c r="N89">
        <f>VLOOKUP(A89,NHT!B:F,5,FALSE)</f>
        <v>22.283333333333001</v>
      </c>
    </row>
    <row r="90" spans="1:14" x14ac:dyDescent="0.2">
      <c r="A90" t="s">
        <v>142</v>
      </c>
      <c r="B90" t="s">
        <v>307</v>
      </c>
      <c r="C90" t="s">
        <v>5</v>
      </c>
      <c r="D90">
        <v>8000</v>
      </c>
      <c r="E90">
        <v>10.083424211967101</v>
      </c>
      <c r="F90">
        <v>15.86</v>
      </c>
      <c r="G90">
        <v>-5.7765757880328703</v>
      </c>
      <c r="H90">
        <v>1.26042802649589</v>
      </c>
      <c r="I90">
        <v>4.0333696847868499</v>
      </c>
      <c r="J90">
        <v>30.208560529917801</v>
      </c>
      <c r="K90" t="s">
        <v>290</v>
      </c>
      <c r="L90">
        <f>VLOOKUP($A90,Actual!$A:$D,4,FALSE)</f>
        <v>6</v>
      </c>
      <c r="M90">
        <f>VLOOKUP($A90,Actual!$A:$D,3,FALSE)</f>
        <v>2.0400000000000001E-2</v>
      </c>
      <c r="N90">
        <f>VLOOKUP(A90,NHT!B:F,5,FALSE)</f>
        <v>20.816666666667</v>
      </c>
    </row>
    <row r="91" spans="1:14" x14ac:dyDescent="0.2">
      <c r="A91" t="s">
        <v>158</v>
      </c>
      <c r="B91" t="s">
        <v>307</v>
      </c>
      <c r="C91" t="s">
        <v>292</v>
      </c>
      <c r="D91">
        <v>4800</v>
      </c>
      <c r="E91">
        <v>7.1950123286376302</v>
      </c>
      <c r="F91">
        <v>10.25</v>
      </c>
      <c r="G91">
        <v>-3.05498767136236</v>
      </c>
      <c r="H91">
        <v>1.4989609017995</v>
      </c>
      <c r="I91">
        <v>2.8780049314550502</v>
      </c>
      <c r="J91">
        <v>22.987530821594</v>
      </c>
      <c r="K91" t="s">
        <v>290</v>
      </c>
      <c r="L91">
        <f>VLOOKUP($A91,Actual!$A:$D,4,FALSE)</f>
        <v>6.3</v>
      </c>
      <c r="M91">
        <f>VLOOKUP($A91,Actual!$A:$D,3,FALSE)</f>
        <v>1.6400000000000001E-2</v>
      </c>
      <c r="N91">
        <f>VLOOKUP(A91,NHT!B:F,5,FALSE)</f>
        <v>18.766666666667</v>
      </c>
    </row>
    <row r="92" spans="1:14" x14ac:dyDescent="0.2">
      <c r="A92" t="s">
        <v>210</v>
      </c>
      <c r="B92" t="s">
        <v>307</v>
      </c>
      <c r="C92" t="s">
        <v>5</v>
      </c>
      <c r="D92">
        <v>4300</v>
      </c>
      <c r="E92">
        <v>6.9699538701061101</v>
      </c>
      <c r="F92">
        <v>8.14</v>
      </c>
      <c r="G92">
        <v>-1.17004612989388</v>
      </c>
      <c r="H92">
        <v>1.62091950467584</v>
      </c>
      <c r="I92">
        <v>2.7879815480424401</v>
      </c>
      <c r="J92">
        <v>22.424884675265201</v>
      </c>
      <c r="K92" t="s">
        <v>290</v>
      </c>
      <c r="L92">
        <f>VLOOKUP($A92,Actual!$A:$D,4,FALSE)</f>
        <v>6</v>
      </c>
      <c r="M92">
        <f>VLOOKUP($A92,Actual!$A:$D,3,FALSE)</f>
        <v>5.1000000000000004E-3</v>
      </c>
      <c r="N92">
        <f>VLOOKUP(A92,NHT!B:F,5,FALSE)</f>
        <v>18.5</v>
      </c>
    </row>
    <row r="93" spans="1:14" x14ac:dyDescent="0.2">
      <c r="A93" t="s">
        <v>123</v>
      </c>
      <c r="B93" t="s">
        <v>307</v>
      </c>
      <c r="C93" t="s">
        <v>10</v>
      </c>
      <c r="D93">
        <v>3400</v>
      </c>
      <c r="E93">
        <v>5.8579516495476804</v>
      </c>
      <c r="F93">
        <v>5.95</v>
      </c>
      <c r="G93">
        <v>-9.2048350452317004E-2</v>
      </c>
      <c r="H93">
        <v>1.7229269557493101</v>
      </c>
      <c r="I93">
        <v>2.3431806598190699</v>
      </c>
      <c r="J93">
        <v>19.644879123869199</v>
      </c>
      <c r="K93" t="s">
        <v>290</v>
      </c>
      <c r="L93">
        <f>VLOOKUP($A93,Actual!$A:$D,4,FALSE)</f>
        <v>0</v>
      </c>
      <c r="M93">
        <f>VLOOKUP($A93,Actual!$A:$D,3,FALSE)</f>
        <v>2.3800000000000002E-2</v>
      </c>
      <c r="N93">
        <f>VLOOKUP(A93,NHT!B:F,5,FALSE)</f>
        <v>16.616666666667001</v>
      </c>
    </row>
    <row r="94" spans="1:14" x14ac:dyDescent="0.2">
      <c r="A94" t="s">
        <v>226</v>
      </c>
      <c r="B94" t="s">
        <v>307</v>
      </c>
      <c r="C94" t="s">
        <v>5</v>
      </c>
      <c r="D94">
        <v>3100</v>
      </c>
      <c r="E94">
        <v>10.0298913438141</v>
      </c>
      <c r="F94">
        <v>5.57</v>
      </c>
      <c r="G94">
        <v>4.4598913438141796</v>
      </c>
      <c r="H94">
        <v>3.2354488205852201</v>
      </c>
      <c r="I94">
        <v>4.0119565375256698</v>
      </c>
      <c r="J94">
        <v>30.074728359535399</v>
      </c>
      <c r="K94" t="s">
        <v>290</v>
      </c>
      <c r="L94">
        <f>VLOOKUP($A94,Actual!$A:$D,4,FALSE)</f>
        <v>6.5</v>
      </c>
      <c r="M94">
        <f>VLOOKUP($A94,Actual!$A:$D,3,FALSE)</f>
        <v>2.8E-3</v>
      </c>
      <c r="N94">
        <f>VLOOKUP(A94,NHT!B:F,5,FALSE)</f>
        <v>10.816666666667</v>
      </c>
    </row>
    <row r="95" spans="1:14" x14ac:dyDescent="0.2">
      <c r="A95" t="s">
        <v>231</v>
      </c>
      <c r="B95" t="s">
        <v>307</v>
      </c>
      <c r="C95" t="s">
        <v>294</v>
      </c>
      <c r="D95">
        <v>2800</v>
      </c>
      <c r="E95">
        <v>6.7412452755119299</v>
      </c>
      <c r="F95">
        <v>5.26</v>
      </c>
      <c r="G95">
        <v>1.4812452755119301</v>
      </c>
      <c r="H95">
        <v>2.40758759839711</v>
      </c>
      <c r="I95">
        <v>2.6964981102047698</v>
      </c>
      <c r="J95">
        <v>21.853113188779801</v>
      </c>
      <c r="K95" t="s">
        <v>290</v>
      </c>
      <c r="L95">
        <f>VLOOKUP($A95,Actual!$A:$D,4,FALSE)</f>
        <v>19.8</v>
      </c>
      <c r="M95">
        <f>VLOOKUP($A95,Actual!$A:$D,3,FALSE)</f>
        <v>2.8E-3</v>
      </c>
      <c r="N95">
        <f>VLOOKUP(A95,NHT!B:F,5,FALSE)</f>
        <v>18.583333333333002</v>
      </c>
    </row>
    <row r="96" spans="1:14" x14ac:dyDescent="0.2">
      <c r="A96" t="s">
        <v>353</v>
      </c>
      <c r="B96" t="s">
        <v>307</v>
      </c>
      <c r="C96" t="s">
        <v>5</v>
      </c>
      <c r="D96">
        <v>2500</v>
      </c>
      <c r="E96">
        <v>4.12751733225004</v>
      </c>
      <c r="F96">
        <v>3.4</v>
      </c>
      <c r="G96">
        <v>0.727517332250045</v>
      </c>
      <c r="H96">
        <v>1.6510069329000101</v>
      </c>
      <c r="I96">
        <v>1.6510069329000101</v>
      </c>
      <c r="J96">
        <v>15.3187933306251</v>
      </c>
      <c r="K96" t="s">
        <v>290</v>
      </c>
      <c r="L96" t="e">
        <f>VLOOKUP($A96,Actual!$A:$D,4,FALSE)</f>
        <v>#N/A</v>
      </c>
      <c r="M96" t="e">
        <f>VLOOKUP($A96,Actual!$A:$D,3,FALSE)</f>
        <v>#N/A</v>
      </c>
      <c r="N96">
        <f>VLOOKUP(A96,NHT!B:F,5,FALSE)</f>
        <v>10.183333333333</v>
      </c>
    </row>
    <row r="97" spans="1:14" x14ac:dyDescent="0.2">
      <c r="A97" t="s">
        <v>258</v>
      </c>
      <c r="B97" t="s">
        <v>307</v>
      </c>
      <c r="C97" t="s">
        <v>292</v>
      </c>
      <c r="D97">
        <v>2500</v>
      </c>
      <c r="E97">
        <v>5.86593684702878</v>
      </c>
      <c r="F97">
        <v>4.74</v>
      </c>
      <c r="G97">
        <v>1.1259368470287801</v>
      </c>
      <c r="H97">
        <v>2.3463747388115102</v>
      </c>
      <c r="I97">
        <v>2.3463747388115102</v>
      </c>
      <c r="J97">
        <v>19.664842117571901</v>
      </c>
      <c r="K97" t="s">
        <v>290</v>
      </c>
      <c r="L97">
        <f>VLOOKUP($A97,Actual!$A:$D,4,FALSE)</f>
        <v>4.0999999999999996</v>
      </c>
      <c r="M97">
        <f>VLOOKUP($A97,Actual!$A:$D,3,FALSE)</f>
        <v>1.1000000000000001E-3</v>
      </c>
      <c r="N97">
        <f>VLOOKUP(A97,NHT!B:F,5,FALSE)</f>
        <v>10.1</v>
      </c>
    </row>
    <row r="98" spans="1:14" x14ac:dyDescent="0.2">
      <c r="A98" t="s">
        <v>361</v>
      </c>
      <c r="B98" t="s">
        <v>307</v>
      </c>
      <c r="C98" t="s">
        <v>292</v>
      </c>
      <c r="D98">
        <v>2500</v>
      </c>
      <c r="E98">
        <v>3.4867484482388198</v>
      </c>
      <c r="F98">
        <v>3.59</v>
      </c>
      <c r="G98">
        <v>-0.103251551761172</v>
      </c>
      <c r="H98">
        <v>1.39469937929553</v>
      </c>
      <c r="I98">
        <v>1.39469937929553</v>
      </c>
      <c r="J98">
        <v>13.716871120597</v>
      </c>
      <c r="K98" t="s">
        <v>290</v>
      </c>
      <c r="L98" t="e">
        <f>VLOOKUP($A98,Actual!$A:$D,4,FALSE)</f>
        <v>#N/A</v>
      </c>
      <c r="M98" t="e">
        <f>VLOOKUP($A98,Actual!$A:$D,3,FALSE)</f>
        <v>#N/A</v>
      </c>
      <c r="N98">
        <f>VLOOKUP(A98,NHT!B:F,5,FALSE)</f>
        <v>12.366666666666999</v>
      </c>
    </row>
    <row r="99" spans="1:14" x14ac:dyDescent="0.2">
      <c r="A99" t="s">
        <v>340</v>
      </c>
      <c r="B99" t="s">
        <v>307</v>
      </c>
      <c r="C99" t="s">
        <v>5</v>
      </c>
      <c r="D99">
        <v>3000</v>
      </c>
      <c r="E99">
        <v>4.7210889540904404</v>
      </c>
      <c r="F99">
        <v>4.6500000000000004</v>
      </c>
      <c r="G99">
        <v>7.1088954090442594E-2</v>
      </c>
      <c r="H99">
        <v>1.57369631803014</v>
      </c>
      <c r="I99">
        <v>1.88843558163617</v>
      </c>
      <c r="J99">
        <v>16.802722385226101</v>
      </c>
      <c r="K99" t="s">
        <v>290</v>
      </c>
      <c r="L99" t="e">
        <f>VLOOKUP($A99,Actual!$A:$D,4,FALSE)</f>
        <v>#N/A</v>
      </c>
      <c r="M99" t="e">
        <f>VLOOKUP($A99,Actual!$A:$D,3,FALSE)</f>
        <v>#N/A</v>
      </c>
      <c r="N99">
        <f>VLOOKUP(A99,NHT!B:F,5,FALSE)</f>
        <v>12.85</v>
      </c>
    </row>
    <row r="100" spans="1:14" x14ac:dyDescent="0.2">
      <c r="A100" t="s">
        <v>328</v>
      </c>
      <c r="B100" t="s">
        <v>306</v>
      </c>
      <c r="C100" t="s">
        <v>10</v>
      </c>
      <c r="D100">
        <v>2500</v>
      </c>
      <c r="E100">
        <v>5.6248330871931804</v>
      </c>
      <c r="F100">
        <v>2.5499999999999998</v>
      </c>
      <c r="G100">
        <v>3.0748330871931802</v>
      </c>
      <c r="H100">
        <v>2.24993323487727</v>
      </c>
      <c r="I100">
        <v>2.24993323487727</v>
      </c>
      <c r="J100">
        <v>19.0620827179829</v>
      </c>
      <c r="K100" t="s">
        <v>290</v>
      </c>
      <c r="L100" t="e">
        <f>VLOOKUP($A100,Actual!$A:$D,4,FALSE)</f>
        <v>#N/A</v>
      </c>
      <c r="M100" t="e">
        <f>VLOOKUP($A100,Actual!$A:$D,3,FALSE)</f>
        <v>#N/A</v>
      </c>
      <c r="N100" t="e">
        <f>VLOOKUP(A100,NHT!B:F,5,FALSE)</f>
        <v>#N/A</v>
      </c>
    </row>
    <row r="101" spans="1:14" x14ac:dyDescent="0.2">
      <c r="A101" t="s">
        <v>338</v>
      </c>
      <c r="B101" t="s">
        <v>306</v>
      </c>
      <c r="C101" t="s">
        <v>10</v>
      </c>
      <c r="D101">
        <v>2500</v>
      </c>
      <c r="E101">
        <v>4.8692713862356598</v>
      </c>
      <c r="F101">
        <v>2.82</v>
      </c>
      <c r="G101">
        <v>2.04927138623566</v>
      </c>
      <c r="H101">
        <v>1.9477085544942601</v>
      </c>
      <c r="I101">
        <v>1.9477085544942601</v>
      </c>
      <c r="J101">
        <v>17.1731784655891</v>
      </c>
      <c r="K101" t="s">
        <v>290</v>
      </c>
      <c r="L101" t="e">
        <f>VLOOKUP($A101,Actual!$A:$D,4,FALSE)</f>
        <v>#N/A</v>
      </c>
      <c r="M101" t="e">
        <f>VLOOKUP($A101,Actual!$A:$D,3,FALSE)</f>
        <v>#N/A</v>
      </c>
      <c r="N101" t="e">
        <f>VLOOKUP(A101,NHT!B:F,5,FALSE)</f>
        <v>#N/A</v>
      </c>
    </row>
    <row r="102" spans="1:14" x14ac:dyDescent="0.2">
      <c r="A102" t="s">
        <v>248</v>
      </c>
      <c r="B102" t="s">
        <v>306</v>
      </c>
      <c r="C102" t="s">
        <v>10</v>
      </c>
      <c r="D102">
        <v>2500</v>
      </c>
      <c r="E102">
        <v>4.0000980157820898</v>
      </c>
      <c r="F102">
        <v>5.42</v>
      </c>
      <c r="G102">
        <v>-1.4199019842178999</v>
      </c>
      <c r="H102">
        <v>1.6000392063128299</v>
      </c>
      <c r="I102">
        <v>1.6000392063128299</v>
      </c>
      <c r="J102">
        <v>15.0002450394552</v>
      </c>
      <c r="K102" t="s">
        <v>290</v>
      </c>
      <c r="L102">
        <f>VLOOKUP($A102,Actual!$A:$D,4,FALSE)</f>
        <v>0</v>
      </c>
      <c r="M102">
        <f>VLOOKUP($A102,Actual!$A:$D,3,FALSE)</f>
        <v>1.1000000000000001E-3</v>
      </c>
      <c r="N102" t="e">
        <f>VLOOKUP(A102,NHT!B:F,5,FALSE)</f>
        <v>#N/A</v>
      </c>
    </row>
    <row r="103" spans="1:14" x14ac:dyDescent="0.2">
      <c r="A103" t="s">
        <v>36</v>
      </c>
      <c r="B103" t="s">
        <v>306</v>
      </c>
      <c r="C103" t="s">
        <v>13</v>
      </c>
      <c r="D103">
        <v>8000</v>
      </c>
      <c r="E103">
        <v>16.1476604887207</v>
      </c>
      <c r="F103">
        <v>12.93</v>
      </c>
      <c r="G103">
        <v>3.2176604887207301</v>
      </c>
      <c r="H103">
        <v>2.0184575610900901</v>
      </c>
      <c r="I103">
        <v>4.8442981466162101</v>
      </c>
      <c r="J103">
        <v>42.295320977441399</v>
      </c>
      <c r="K103" t="s">
        <v>384</v>
      </c>
      <c r="L103">
        <f>VLOOKUP($A103,Actual!$A:$D,4,FALSE)</f>
        <v>11.2</v>
      </c>
      <c r="M103">
        <f>VLOOKUP($A103,Actual!$A:$D,3,FALSE)</f>
        <v>9.01E-2</v>
      </c>
      <c r="N103" t="e">
        <f>VLOOKUP(A103,NHT!B:F,5,FALSE)</f>
        <v>#N/A</v>
      </c>
    </row>
    <row r="104" spans="1:14" x14ac:dyDescent="0.2">
      <c r="A104" t="s">
        <v>263</v>
      </c>
      <c r="B104" t="s">
        <v>306</v>
      </c>
      <c r="C104" t="s">
        <v>13</v>
      </c>
      <c r="D104">
        <v>8000</v>
      </c>
      <c r="E104">
        <v>14.321024060717299</v>
      </c>
      <c r="F104">
        <v>11.92</v>
      </c>
      <c r="G104">
        <v>2.4010240607173099</v>
      </c>
      <c r="H104">
        <v>1.79012800758966</v>
      </c>
      <c r="I104">
        <v>4.2963072182151896</v>
      </c>
      <c r="J104">
        <v>38.642048121434598</v>
      </c>
      <c r="K104" t="s">
        <v>384</v>
      </c>
      <c r="L104">
        <f>VLOOKUP($A104,Actual!$A:$D,4,FALSE)</f>
        <v>0</v>
      </c>
      <c r="M104">
        <f>VLOOKUP($A104,Actual!$A:$D,3,FALSE)</f>
        <v>5.9999999999999995E-4</v>
      </c>
      <c r="N104" t="e">
        <f>VLOOKUP(A104,NHT!B:F,5,FALSE)</f>
        <v>#N/A</v>
      </c>
    </row>
    <row r="105" spans="1:14" x14ac:dyDescent="0.2">
      <c r="A105" t="s">
        <v>92</v>
      </c>
      <c r="B105" t="s">
        <v>306</v>
      </c>
      <c r="C105" t="s">
        <v>10</v>
      </c>
      <c r="D105">
        <v>5000</v>
      </c>
      <c r="E105">
        <v>10.363320726115401</v>
      </c>
      <c r="F105">
        <v>9.4700000000000006</v>
      </c>
      <c r="G105">
        <v>0.89332072611548696</v>
      </c>
      <c r="H105">
        <v>2.0726641452230901</v>
      </c>
      <c r="I105">
        <v>4.1453282904461899</v>
      </c>
      <c r="J105">
        <v>30.908301815288699</v>
      </c>
      <c r="K105" t="s">
        <v>290</v>
      </c>
      <c r="L105">
        <f>VLOOKUP($A105,Actual!$A:$D,4,FALSE)</f>
        <v>4.3</v>
      </c>
      <c r="M105">
        <f>VLOOKUP($A105,Actual!$A:$D,3,FALSE)</f>
        <v>3.4000000000000002E-2</v>
      </c>
      <c r="N105">
        <f>VLOOKUP(A105,NHT!B:F,5,FALSE)</f>
        <v>23.766666666667</v>
      </c>
    </row>
    <row r="106" spans="1:14" x14ac:dyDescent="0.2">
      <c r="A106" t="s">
        <v>78</v>
      </c>
      <c r="B106" t="s">
        <v>306</v>
      </c>
      <c r="C106" t="s">
        <v>10</v>
      </c>
      <c r="D106">
        <v>6300</v>
      </c>
      <c r="E106">
        <v>9.1991764440535597</v>
      </c>
      <c r="F106">
        <v>11.24</v>
      </c>
      <c r="G106">
        <v>-2.0408235559464298</v>
      </c>
      <c r="H106">
        <v>1.4601867371513499</v>
      </c>
      <c r="I106">
        <v>3.6796705776214198</v>
      </c>
      <c r="J106">
        <v>27.997941110133901</v>
      </c>
      <c r="K106" t="s">
        <v>290</v>
      </c>
      <c r="L106">
        <f>VLOOKUP($A106,Actual!$A:$D,4,FALSE)</f>
        <v>7.3</v>
      </c>
      <c r="M106">
        <f>VLOOKUP($A106,Actual!$A:$D,3,FALSE)</f>
        <v>4.0800000000000003E-2</v>
      </c>
      <c r="N106">
        <f>VLOOKUP(A106,NHT!B:F,5,FALSE)</f>
        <v>25.716666666666999</v>
      </c>
    </row>
    <row r="107" spans="1:14" x14ac:dyDescent="0.2">
      <c r="A107" t="s">
        <v>47</v>
      </c>
      <c r="B107" t="s">
        <v>306</v>
      </c>
      <c r="C107" t="s">
        <v>10</v>
      </c>
      <c r="D107">
        <v>3400</v>
      </c>
      <c r="E107">
        <v>6.3001105300517297</v>
      </c>
      <c r="F107">
        <v>7.85</v>
      </c>
      <c r="G107">
        <v>-1.5498894699482599</v>
      </c>
      <c r="H107">
        <v>1.8529736853093299</v>
      </c>
      <c r="I107">
        <v>2.5200442120206898</v>
      </c>
      <c r="J107">
        <v>20.750276325129299</v>
      </c>
      <c r="K107" t="s">
        <v>290</v>
      </c>
      <c r="L107">
        <f>VLOOKUP($A107,Actual!$A:$D,4,FALSE)</f>
        <v>3</v>
      </c>
      <c r="M107">
        <f>VLOOKUP($A107,Actual!$A:$D,3,FALSE)</f>
        <v>6.8000000000000005E-2</v>
      </c>
      <c r="N107">
        <f>VLOOKUP(A107,NHT!B:F,5,FALSE)</f>
        <v>19.783333333333001</v>
      </c>
    </row>
    <row r="108" spans="1:14" x14ac:dyDescent="0.2">
      <c r="A108" t="s">
        <v>101</v>
      </c>
      <c r="B108" t="s">
        <v>306</v>
      </c>
      <c r="C108" t="s">
        <v>292</v>
      </c>
      <c r="D108">
        <v>4400</v>
      </c>
      <c r="E108">
        <v>9.8134745109625801</v>
      </c>
      <c r="F108">
        <v>6.71</v>
      </c>
      <c r="G108">
        <v>3.1034745109625801</v>
      </c>
      <c r="H108">
        <v>2.23033511612786</v>
      </c>
      <c r="I108">
        <v>3.9253898043850302</v>
      </c>
      <c r="J108">
        <v>29.5336862774064</v>
      </c>
      <c r="K108" t="s">
        <v>290</v>
      </c>
      <c r="L108">
        <f>VLOOKUP($A108,Actual!$A:$D,4,FALSE)</f>
        <v>2.8</v>
      </c>
      <c r="M108">
        <f>VLOOKUP($A108,Actual!$A:$D,3,FALSE)</f>
        <v>3.1699999999999999E-2</v>
      </c>
      <c r="N108">
        <f>VLOOKUP(A108,NHT!B:F,5,FALSE)</f>
        <v>18.383333333332999</v>
      </c>
    </row>
    <row r="109" spans="1:14" x14ac:dyDescent="0.2">
      <c r="A109" t="s">
        <v>30</v>
      </c>
      <c r="B109" t="s">
        <v>306</v>
      </c>
      <c r="C109" t="s">
        <v>292</v>
      </c>
      <c r="D109">
        <v>8500</v>
      </c>
      <c r="E109">
        <v>12.090338531177901</v>
      </c>
      <c r="F109">
        <v>15.49</v>
      </c>
      <c r="G109">
        <v>-3.3996614688220101</v>
      </c>
      <c r="H109">
        <v>1.42239276837388</v>
      </c>
      <c r="I109">
        <v>4.8361354124711902</v>
      </c>
      <c r="J109">
        <v>35.2258463279449</v>
      </c>
      <c r="K109" t="s">
        <v>290</v>
      </c>
      <c r="L109">
        <f>VLOOKUP($A109,Actual!$A:$D,4,FALSE)</f>
        <v>3</v>
      </c>
      <c r="M109">
        <f>VLOOKUP($A109,Actual!$A:$D,3,FALSE)</f>
        <v>0.1026</v>
      </c>
      <c r="N109">
        <f>VLOOKUP(A109,NHT!B:F,5,FALSE)</f>
        <v>23.233333333333</v>
      </c>
    </row>
    <row r="110" spans="1:14" x14ac:dyDescent="0.2">
      <c r="A110" t="s">
        <v>215</v>
      </c>
      <c r="B110" t="s">
        <v>306</v>
      </c>
      <c r="C110" t="s">
        <v>10</v>
      </c>
      <c r="D110">
        <v>2600</v>
      </c>
      <c r="E110">
        <v>5.2579547824020301</v>
      </c>
      <c r="F110">
        <v>4.66</v>
      </c>
      <c r="G110">
        <v>0.59795478240203803</v>
      </c>
      <c r="H110">
        <v>2.02229030092386</v>
      </c>
      <c r="I110">
        <v>2.1031819129608098</v>
      </c>
      <c r="J110">
        <v>18.144886956004999</v>
      </c>
      <c r="K110" t="s">
        <v>290</v>
      </c>
      <c r="L110">
        <f>VLOOKUP($A110,Actual!$A:$D,4,FALSE)</f>
        <v>2.8</v>
      </c>
      <c r="M110">
        <f>VLOOKUP($A110,Actual!$A:$D,3,FALSE)</f>
        <v>4.0000000000000001E-3</v>
      </c>
      <c r="N110">
        <f>VLOOKUP(A110,NHT!B:F,5,FALSE)</f>
        <v>16.883333333332999</v>
      </c>
    </row>
    <row r="111" spans="1:14" x14ac:dyDescent="0.2">
      <c r="A111" t="s">
        <v>26</v>
      </c>
      <c r="B111" t="s">
        <v>306</v>
      </c>
      <c r="C111" t="s">
        <v>5</v>
      </c>
      <c r="D111">
        <v>6700</v>
      </c>
      <c r="E111">
        <v>11.254960437936299</v>
      </c>
      <c r="F111">
        <v>12.81</v>
      </c>
      <c r="G111">
        <v>-1.5550395620636399</v>
      </c>
      <c r="H111">
        <v>1.67984484148303</v>
      </c>
      <c r="I111">
        <v>4.50198417517454</v>
      </c>
      <c r="J111">
        <v>33.137401094840797</v>
      </c>
      <c r="K111" t="s">
        <v>290</v>
      </c>
      <c r="L111">
        <f>VLOOKUP($A111,Actual!$A:$D,4,FALSE)</f>
        <v>5.8</v>
      </c>
      <c r="M111">
        <f>VLOOKUP($A111,Actual!$A:$D,3,FALSE)</f>
        <v>0.1162</v>
      </c>
      <c r="N111">
        <f>VLOOKUP(A111,NHT!B:F,5,FALSE)</f>
        <v>22.35</v>
      </c>
    </row>
    <row r="112" spans="1:14" x14ac:dyDescent="0.2">
      <c r="A112" t="s">
        <v>88</v>
      </c>
      <c r="B112" t="s">
        <v>306</v>
      </c>
      <c r="C112" t="s">
        <v>5</v>
      </c>
      <c r="D112">
        <v>3500</v>
      </c>
      <c r="E112">
        <v>4.8177220374241498</v>
      </c>
      <c r="F112">
        <v>5.25</v>
      </c>
      <c r="G112">
        <v>-0.43227796257584999</v>
      </c>
      <c r="H112">
        <v>1.37649201069261</v>
      </c>
      <c r="I112">
        <v>1.9270888149696599</v>
      </c>
      <c r="J112">
        <v>17.0443050935603</v>
      </c>
      <c r="K112" t="s">
        <v>290</v>
      </c>
      <c r="L112">
        <f>VLOOKUP($A112,Actual!$A:$D,4,FALSE)</f>
        <v>4.5</v>
      </c>
      <c r="M112">
        <f>VLOOKUP($A112,Actual!$A:$D,3,FALSE)</f>
        <v>3.5700000000000003E-2</v>
      </c>
      <c r="N112">
        <f>VLOOKUP(A112,NHT!B:F,5,FALSE)</f>
        <v>16.95</v>
      </c>
    </row>
    <row r="113" spans="1:14" x14ac:dyDescent="0.2">
      <c r="A113" t="s">
        <v>8</v>
      </c>
      <c r="B113" t="s">
        <v>306</v>
      </c>
      <c r="C113" t="s">
        <v>5</v>
      </c>
      <c r="D113">
        <v>3300</v>
      </c>
      <c r="E113">
        <v>10.5195876631904</v>
      </c>
      <c r="F113">
        <v>5.61</v>
      </c>
      <c r="G113">
        <v>4.9095876631904201</v>
      </c>
      <c r="H113">
        <v>3.1877538373304302</v>
      </c>
      <c r="I113">
        <v>4.2078350652761598</v>
      </c>
      <c r="J113">
        <v>31.298969157976</v>
      </c>
      <c r="K113" t="s">
        <v>290</v>
      </c>
      <c r="L113">
        <f>VLOOKUP($A113,Actual!$A:$D,4,FALSE)</f>
        <v>3</v>
      </c>
      <c r="M113">
        <f>VLOOKUP($A113,Actual!$A:$D,3,FALSE)</f>
        <v>0.20630000000000001</v>
      </c>
      <c r="N113">
        <f>VLOOKUP(A113,NHT!B:F,5,FALSE)</f>
        <v>20.866666666667001</v>
      </c>
    </row>
    <row r="114" spans="1:14" x14ac:dyDescent="0.2">
      <c r="A114" t="s">
        <v>150</v>
      </c>
      <c r="B114" t="s">
        <v>306</v>
      </c>
      <c r="C114" t="s">
        <v>5</v>
      </c>
      <c r="D114">
        <v>2900</v>
      </c>
      <c r="E114">
        <v>4.5512476051266804</v>
      </c>
      <c r="F114">
        <v>4.5199999999999996</v>
      </c>
      <c r="G114">
        <v>3.1247605126688699E-2</v>
      </c>
      <c r="H114">
        <v>1.56939572590575</v>
      </c>
      <c r="I114">
        <v>1.8204990420506699</v>
      </c>
      <c r="J114">
        <v>16.3781190128167</v>
      </c>
      <c r="K114" t="s">
        <v>290</v>
      </c>
      <c r="L114">
        <f>VLOOKUP($A114,Actual!$A:$D,4,FALSE)</f>
        <v>1.5</v>
      </c>
      <c r="M114">
        <f>VLOOKUP($A114,Actual!$A:$D,3,FALSE)</f>
        <v>1.8100000000000002E-2</v>
      </c>
      <c r="N114">
        <f>VLOOKUP(A114,NHT!B:F,5,FALSE)</f>
        <v>17.95</v>
      </c>
    </row>
    <row r="115" spans="1:14" x14ac:dyDescent="0.2">
      <c r="A115" t="s">
        <v>347</v>
      </c>
      <c r="B115" t="s">
        <v>306</v>
      </c>
      <c r="C115" t="s">
        <v>10</v>
      </c>
      <c r="D115">
        <v>2500</v>
      </c>
      <c r="E115">
        <v>4.3504649639814597</v>
      </c>
      <c r="F115">
        <v>5.03</v>
      </c>
      <c r="G115">
        <v>-0.67953503601853704</v>
      </c>
      <c r="H115">
        <v>1.7401859855925801</v>
      </c>
      <c r="I115">
        <v>1.7401859855925801</v>
      </c>
      <c r="J115">
        <v>15.876162409953601</v>
      </c>
      <c r="K115" t="s">
        <v>290</v>
      </c>
      <c r="L115" t="e">
        <f>VLOOKUP($A115,Actual!$A:$D,4,FALSE)</f>
        <v>#N/A</v>
      </c>
      <c r="M115" t="e">
        <f>VLOOKUP($A115,Actual!$A:$D,3,FALSE)</f>
        <v>#N/A</v>
      </c>
      <c r="N115">
        <f>VLOOKUP(A115,NHT!B:F,5,FALSE)</f>
        <v>15.75</v>
      </c>
    </row>
    <row r="116" spans="1:14" x14ac:dyDescent="0.2">
      <c r="A116" t="s">
        <v>24</v>
      </c>
      <c r="B116" t="s">
        <v>306</v>
      </c>
      <c r="C116" t="s">
        <v>5</v>
      </c>
      <c r="D116">
        <v>5400</v>
      </c>
      <c r="E116">
        <v>10.457496448709</v>
      </c>
      <c r="F116">
        <v>9.69</v>
      </c>
      <c r="G116">
        <v>0.76749644870902101</v>
      </c>
      <c r="H116">
        <v>1.9365734164275901</v>
      </c>
      <c r="I116">
        <v>4.1829985794836002</v>
      </c>
      <c r="J116">
        <v>31.1437411217725</v>
      </c>
      <c r="K116" t="s">
        <v>290</v>
      </c>
      <c r="L116">
        <f>VLOOKUP($A116,Actual!$A:$D,4,FALSE)</f>
        <v>3</v>
      </c>
      <c r="M116">
        <f>VLOOKUP($A116,Actual!$A:$D,3,FALSE)</f>
        <v>0.1179</v>
      </c>
      <c r="N116">
        <f>VLOOKUP(A116,NHT!B:F,5,FALSE)</f>
        <v>19.833333333333002</v>
      </c>
    </row>
    <row r="117" spans="1:14" x14ac:dyDescent="0.2">
      <c r="A117" t="s">
        <v>179</v>
      </c>
      <c r="B117" t="s">
        <v>306</v>
      </c>
      <c r="C117" t="s">
        <v>5</v>
      </c>
      <c r="D117">
        <v>2700</v>
      </c>
      <c r="E117">
        <v>2.7475866530790598</v>
      </c>
      <c r="F117">
        <v>4.46</v>
      </c>
      <c r="G117">
        <v>-1.7124133469209299</v>
      </c>
      <c r="H117">
        <v>1.01762468632558</v>
      </c>
      <c r="I117">
        <v>1.09903466123162</v>
      </c>
      <c r="J117">
        <v>11.8689666326976</v>
      </c>
      <c r="K117" t="s">
        <v>290</v>
      </c>
      <c r="L117">
        <f>VLOOKUP($A117,Actual!$A:$D,4,FALSE)</f>
        <v>8.4</v>
      </c>
      <c r="M117">
        <f>VLOOKUP($A117,Actual!$A:$D,3,FALSE)</f>
        <v>1.0800000000000001E-2</v>
      </c>
      <c r="N117">
        <f>VLOOKUP(A117,NHT!B:F,5,FALSE)</f>
        <v>15.95</v>
      </c>
    </row>
    <row r="118" spans="1:14" x14ac:dyDescent="0.2">
      <c r="A118" t="s">
        <v>137</v>
      </c>
      <c r="B118" t="s">
        <v>306</v>
      </c>
      <c r="C118" t="s">
        <v>292</v>
      </c>
      <c r="D118">
        <v>2900</v>
      </c>
      <c r="E118">
        <v>7.5443605118700896</v>
      </c>
      <c r="F118">
        <v>5.94</v>
      </c>
      <c r="G118">
        <v>1.6043605118700901</v>
      </c>
      <c r="H118">
        <v>2.6015036247827901</v>
      </c>
      <c r="I118">
        <v>3.0177442047480301</v>
      </c>
      <c r="J118">
        <v>23.8609012796752</v>
      </c>
      <c r="K118" t="s">
        <v>290</v>
      </c>
      <c r="L118">
        <f>VLOOKUP($A118,Actual!$A:$D,4,FALSE)</f>
        <v>1.5</v>
      </c>
      <c r="M118">
        <f>VLOOKUP($A118,Actual!$A:$D,3,FALSE)</f>
        <v>2.1499999999999998E-2</v>
      </c>
      <c r="N118">
        <f>VLOOKUP(A118,NHT!B:F,5,FALSE)</f>
        <v>14.4</v>
      </c>
    </row>
    <row r="119" spans="1:14" x14ac:dyDescent="0.2">
      <c r="A119" t="s">
        <v>350</v>
      </c>
      <c r="B119" t="s">
        <v>306</v>
      </c>
      <c r="C119" t="s">
        <v>5</v>
      </c>
      <c r="D119">
        <v>2500</v>
      </c>
      <c r="E119">
        <v>4.1809597972353796</v>
      </c>
      <c r="F119">
        <v>2.8</v>
      </c>
      <c r="G119">
        <v>1.38095979723538</v>
      </c>
      <c r="H119">
        <v>1.6723839188941501</v>
      </c>
      <c r="I119">
        <v>1.6723839188941501</v>
      </c>
      <c r="J119">
        <v>15.4523994930884</v>
      </c>
      <c r="K119" t="s">
        <v>290</v>
      </c>
      <c r="L119" t="e">
        <f>VLOOKUP($A119,Actual!$A:$D,4,FALSE)</f>
        <v>#N/A</v>
      </c>
      <c r="M119" t="e">
        <f>VLOOKUP($A119,Actual!$A:$D,3,FALSE)</f>
        <v>#N/A</v>
      </c>
      <c r="N119">
        <f>VLOOKUP(A119,NHT!B:F,5,FALSE)</f>
        <v>8.6833333333332998</v>
      </c>
    </row>
    <row r="120" spans="1:14" x14ac:dyDescent="0.2">
      <c r="A120" t="s">
        <v>182</v>
      </c>
      <c r="B120" t="s">
        <v>305</v>
      </c>
      <c r="C120" t="s">
        <v>10</v>
      </c>
      <c r="D120">
        <v>4000</v>
      </c>
      <c r="E120">
        <v>6.3965944584059402</v>
      </c>
      <c r="F120">
        <v>7.81</v>
      </c>
      <c r="G120">
        <v>-1.4134055415940501</v>
      </c>
      <c r="H120">
        <v>1.5991486146014799</v>
      </c>
      <c r="I120">
        <v>2.5586377833623701</v>
      </c>
      <c r="J120">
        <v>20.9914861460148</v>
      </c>
      <c r="K120" t="s">
        <v>290</v>
      </c>
      <c r="L120">
        <f>VLOOKUP($A120,Actual!$A:$D,4,FALSE)</f>
        <v>0</v>
      </c>
      <c r="M120">
        <f>VLOOKUP($A120,Actual!$A:$D,3,FALSE)</f>
        <v>9.5999999999999992E-3</v>
      </c>
      <c r="N120" t="e">
        <f>VLOOKUP(A120,NHT!B:F,5,FALSE)</f>
        <v>#N/A</v>
      </c>
    </row>
    <row r="121" spans="1:14" x14ac:dyDescent="0.2">
      <c r="A121" t="s">
        <v>324</v>
      </c>
      <c r="B121" t="s">
        <v>305</v>
      </c>
      <c r="C121" t="s">
        <v>10</v>
      </c>
      <c r="D121">
        <v>2500</v>
      </c>
      <c r="E121">
        <v>5.7150097393344899</v>
      </c>
      <c r="F121">
        <v>4.3</v>
      </c>
      <c r="G121">
        <v>1.41500973933449</v>
      </c>
      <c r="H121">
        <v>2.2860038957337898</v>
      </c>
      <c r="I121">
        <v>2.2860038957337898</v>
      </c>
      <c r="J121">
        <v>19.287524348336198</v>
      </c>
      <c r="K121" t="s">
        <v>290</v>
      </c>
      <c r="L121" t="e">
        <f>VLOOKUP($A121,Actual!$A:$D,4,FALSE)</f>
        <v>#N/A</v>
      </c>
      <c r="M121" t="e">
        <f>VLOOKUP($A121,Actual!$A:$D,3,FALSE)</f>
        <v>#N/A</v>
      </c>
      <c r="N121" t="e">
        <f>VLOOKUP(A121,NHT!B:F,5,FALSE)</f>
        <v>#N/A</v>
      </c>
    </row>
    <row r="122" spans="1:14" x14ac:dyDescent="0.2">
      <c r="A122" t="s">
        <v>58</v>
      </c>
      <c r="B122" t="s">
        <v>305</v>
      </c>
      <c r="C122" t="s">
        <v>13</v>
      </c>
      <c r="D122">
        <v>7300</v>
      </c>
      <c r="E122">
        <v>13.173425062824</v>
      </c>
      <c r="F122">
        <v>10.34</v>
      </c>
      <c r="G122">
        <v>2.8334250628239999</v>
      </c>
      <c r="H122">
        <v>1.8045787757293099</v>
      </c>
      <c r="I122">
        <v>3.9520275188472</v>
      </c>
      <c r="J122">
        <v>36.346850125647997</v>
      </c>
      <c r="K122" t="s">
        <v>384</v>
      </c>
      <c r="L122">
        <f>VLOOKUP($A122,Actual!$A:$D,4,FALSE)</f>
        <v>15.5</v>
      </c>
      <c r="M122">
        <f>VLOOKUP($A122,Actual!$A:$D,3,FALSE)</f>
        <v>5.5599999999999997E-2</v>
      </c>
      <c r="N122" t="e">
        <f>VLOOKUP(A122,NHT!B:F,5,FALSE)</f>
        <v>#N/A</v>
      </c>
    </row>
    <row r="123" spans="1:14" x14ac:dyDescent="0.2">
      <c r="A123" t="s">
        <v>256</v>
      </c>
      <c r="B123" t="s">
        <v>305</v>
      </c>
      <c r="C123" t="s">
        <v>13</v>
      </c>
      <c r="D123">
        <v>7200</v>
      </c>
      <c r="E123">
        <v>12.144672408265199</v>
      </c>
      <c r="F123">
        <v>12.34</v>
      </c>
      <c r="G123">
        <v>-0.19532759173470099</v>
      </c>
      <c r="H123">
        <v>1.6867600567035099</v>
      </c>
      <c r="I123">
        <v>3.6434017224795801</v>
      </c>
      <c r="J123">
        <v>34.289344816530601</v>
      </c>
      <c r="K123" t="s">
        <v>384</v>
      </c>
      <c r="L123">
        <f>VLOOKUP($A123,Actual!$A:$D,4,FALSE)</f>
        <v>0</v>
      </c>
      <c r="M123">
        <f>VLOOKUP($A123,Actual!$A:$D,3,FALSE)</f>
        <v>1.1000000000000001E-3</v>
      </c>
      <c r="N123" t="e">
        <f>VLOOKUP(A123,NHT!B:F,5,FALSE)</f>
        <v>#N/A</v>
      </c>
    </row>
    <row r="124" spans="1:14" x14ac:dyDescent="0.2">
      <c r="A124" t="s">
        <v>140</v>
      </c>
      <c r="B124" t="s">
        <v>305</v>
      </c>
      <c r="C124" t="s">
        <v>10</v>
      </c>
      <c r="D124">
        <v>6200</v>
      </c>
      <c r="E124">
        <v>8.9087455537372104</v>
      </c>
      <c r="F124">
        <v>11.26</v>
      </c>
      <c r="G124">
        <v>-2.35125444626278</v>
      </c>
      <c r="H124">
        <v>1.43689444415116</v>
      </c>
      <c r="I124">
        <v>3.5634982214948798</v>
      </c>
      <c r="J124">
        <v>27.271863884342999</v>
      </c>
      <c r="K124" t="s">
        <v>290</v>
      </c>
      <c r="L124">
        <f>VLOOKUP($A124,Actual!$A:$D,4,FALSE)</f>
        <v>16.399999999999999</v>
      </c>
      <c r="M124">
        <f>VLOOKUP($A124,Actual!$A:$D,3,FALSE)</f>
        <v>2.0400000000000001E-2</v>
      </c>
      <c r="N124">
        <f>VLOOKUP(A124,NHT!B:F,5,FALSE)</f>
        <v>27.633333333332999</v>
      </c>
    </row>
    <row r="125" spans="1:14" x14ac:dyDescent="0.2">
      <c r="A125" t="s">
        <v>173</v>
      </c>
      <c r="B125" t="s">
        <v>305</v>
      </c>
      <c r="C125" t="s">
        <v>10</v>
      </c>
      <c r="D125">
        <v>3100</v>
      </c>
      <c r="E125">
        <v>5.49343429650947</v>
      </c>
      <c r="F125">
        <v>6.9</v>
      </c>
      <c r="G125">
        <v>-1.4065657034905199</v>
      </c>
      <c r="H125">
        <v>1.77207557951918</v>
      </c>
      <c r="I125">
        <v>2.19737371860379</v>
      </c>
      <c r="J125">
        <v>18.7335857412736</v>
      </c>
      <c r="K125" t="s">
        <v>290</v>
      </c>
      <c r="L125">
        <f>VLOOKUP($A125,Actual!$A:$D,4,FALSE)</f>
        <v>12.9</v>
      </c>
      <c r="M125">
        <f>VLOOKUP($A125,Actual!$A:$D,3,FALSE)</f>
        <v>1.1900000000000001E-2</v>
      </c>
      <c r="N125">
        <f>VLOOKUP(A125,NHT!B:F,5,FALSE)</f>
        <v>21.933333333333</v>
      </c>
    </row>
    <row r="126" spans="1:14" x14ac:dyDescent="0.2">
      <c r="A126" t="s">
        <v>144</v>
      </c>
      <c r="B126" t="s">
        <v>305</v>
      </c>
      <c r="C126" t="s">
        <v>5</v>
      </c>
      <c r="D126">
        <v>6500</v>
      </c>
      <c r="E126">
        <v>11.499194212789201</v>
      </c>
      <c r="F126">
        <v>12.09</v>
      </c>
      <c r="G126">
        <v>-0.59080578721078303</v>
      </c>
      <c r="H126">
        <v>1.76910680196757</v>
      </c>
      <c r="I126">
        <v>4.5996776851156804</v>
      </c>
      <c r="J126">
        <v>33.747985531973001</v>
      </c>
      <c r="K126" t="s">
        <v>290</v>
      </c>
      <c r="L126">
        <f>VLOOKUP($A126,Actual!$A:$D,4,FALSE)</f>
        <v>8</v>
      </c>
      <c r="M126">
        <f>VLOOKUP($A126,Actual!$A:$D,3,FALSE)</f>
        <v>1.9300000000000001E-2</v>
      </c>
      <c r="N126">
        <f>VLOOKUP(A126,NHT!B:F,5,FALSE)</f>
        <v>23.533333333333001</v>
      </c>
    </row>
    <row r="127" spans="1:14" x14ac:dyDescent="0.2">
      <c r="A127" t="s">
        <v>264</v>
      </c>
      <c r="B127" t="s">
        <v>305</v>
      </c>
      <c r="C127" t="s">
        <v>10</v>
      </c>
      <c r="D127">
        <v>2500</v>
      </c>
      <c r="E127">
        <v>4.4706413997729202</v>
      </c>
      <c r="F127">
        <v>4.1500000000000004</v>
      </c>
      <c r="G127">
        <v>0.32064139977292799</v>
      </c>
      <c r="H127">
        <v>1.78825655990917</v>
      </c>
      <c r="I127">
        <v>1.78825655990917</v>
      </c>
      <c r="J127">
        <v>16.1766034994323</v>
      </c>
      <c r="K127" t="s">
        <v>290</v>
      </c>
      <c r="L127">
        <f>VLOOKUP($A127,Actual!$A:$D,4,FALSE)</f>
        <v>4.3</v>
      </c>
      <c r="M127">
        <f>VLOOKUP($A127,Actual!$A:$D,3,FALSE)</f>
        <v>5.9999999999999995E-4</v>
      </c>
      <c r="N127">
        <f>VLOOKUP(A127,NHT!B:F,5,FALSE)</f>
        <v>20.183333333333</v>
      </c>
    </row>
    <row r="128" spans="1:14" x14ac:dyDescent="0.2">
      <c r="A128" t="s">
        <v>90</v>
      </c>
      <c r="B128" t="s">
        <v>305</v>
      </c>
      <c r="C128" t="s">
        <v>294</v>
      </c>
      <c r="D128">
        <v>7200</v>
      </c>
      <c r="E128">
        <v>12.1146511989761</v>
      </c>
      <c r="F128">
        <v>13.88</v>
      </c>
      <c r="G128">
        <v>-1.76534880102387</v>
      </c>
      <c r="H128">
        <v>1.6825904443022299</v>
      </c>
      <c r="I128">
        <v>4.8458604795904501</v>
      </c>
      <c r="J128">
        <v>35.286627997440299</v>
      </c>
      <c r="K128" t="s">
        <v>290</v>
      </c>
      <c r="L128">
        <f>VLOOKUP($A128,Actual!$A:$D,4,FALSE)</f>
        <v>5.8</v>
      </c>
      <c r="M128">
        <f>VLOOKUP($A128,Actual!$A:$D,3,FALSE)</f>
        <v>3.4599999999999999E-2</v>
      </c>
      <c r="N128">
        <f>VLOOKUP(A128,NHT!B:F,5,FALSE)</f>
        <v>17.95</v>
      </c>
    </row>
    <row r="129" spans="1:14" x14ac:dyDescent="0.2">
      <c r="A129" t="s">
        <v>178</v>
      </c>
      <c r="B129" t="s">
        <v>305</v>
      </c>
      <c r="C129" t="s">
        <v>292</v>
      </c>
      <c r="D129">
        <v>5700</v>
      </c>
      <c r="E129">
        <v>11.0365695647187</v>
      </c>
      <c r="F129">
        <v>10.84</v>
      </c>
      <c r="G129">
        <v>0.19656956471871201</v>
      </c>
      <c r="H129">
        <v>1.9362402745120499</v>
      </c>
      <c r="I129">
        <v>4.4146278258874796</v>
      </c>
      <c r="J129">
        <v>32.591423911796703</v>
      </c>
      <c r="K129" t="s">
        <v>290</v>
      </c>
      <c r="L129">
        <f>VLOOKUP($A129,Actual!$A:$D,4,FALSE)</f>
        <v>21.5</v>
      </c>
      <c r="M129">
        <f>VLOOKUP($A129,Actual!$A:$D,3,FALSE)</f>
        <v>1.0800000000000001E-2</v>
      </c>
      <c r="N129">
        <f>VLOOKUP(A129,NHT!B:F,5,FALSE)</f>
        <v>18.166666666666998</v>
      </c>
    </row>
    <row r="130" spans="1:14" x14ac:dyDescent="0.2">
      <c r="A130" t="s">
        <v>136</v>
      </c>
      <c r="B130" t="s">
        <v>305</v>
      </c>
      <c r="C130" t="s">
        <v>5</v>
      </c>
      <c r="D130">
        <v>4100</v>
      </c>
      <c r="E130">
        <v>5.3890286069908004</v>
      </c>
      <c r="F130">
        <v>6.92</v>
      </c>
      <c r="G130">
        <v>-1.5309713930091899</v>
      </c>
      <c r="H130">
        <v>1.3143972212172601</v>
      </c>
      <c r="I130">
        <v>2.15561144279632</v>
      </c>
      <c r="J130">
        <v>18.472571517477</v>
      </c>
      <c r="K130" t="s">
        <v>290</v>
      </c>
      <c r="L130">
        <f>VLOOKUP($A130,Actual!$A:$D,4,FALSE)</f>
        <v>3</v>
      </c>
      <c r="M130">
        <f>VLOOKUP($A130,Actual!$A:$D,3,FALSE)</f>
        <v>2.1499999999999998E-2</v>
      </c>
      <c r="N130">
        <f>VLOOKUP(A130,NHT!B:F,5,FALSE)</f>
        <v>20.033333333333001</v>
      </c>
    </row>
    <row r="131" spans="1:14" x14ac:dyDescent="0.2">
      <c r="A131" t="s">
        <v>167</v>
      </c>
      <c r="B131" t="s">
        <v>305</v>
      </c>
      <c r="C131" t="s">
        <v>5</v>
      </c>
      <c r="D131">
        <v>2900</v>
      </c>
      <c r="E131">
        <v>7.2470255680475697</v>
      </c>
      <c r="F131">
        <v>4.4800000000000004</v>
      </c>
      <c r="G131">
        <v>2.7670255680475702</v>
      </c>
      <c r="H131">
        <v>2.4989743338095001</v>
      </c>
      <c r="I131">
        <v>2.8988102272190299</v>
      </c>
      <c r="J131">
        <v>23.117563920118901</v>
      </c>
      <c r="K131" t="s">
        <v>290</v>
      </c>
      <c r="L131">
        <f>VLOOKUP($A131,Actual!$A:$D,4,FALSE)</f>
        <v>5</v>
      </c>
      <c r="M131">
        <f>VLOOKUP($A131,Actual!$A:$D,3,FALSE)</f>
        <v>1.3599999999999999E-2</v>
      </c>
      <c r="N131">
        <f>VLOOKUP(A131,NHT!B:F,5,FALSE)</f>
        <v>17.483333333333</v>
      </c>
    </row>
    <row r="132" spans="1:14" x14ac:dyDescent="0.2">
      <c r="A132" t="s">
        <v>154</v>
      </c>
      <c r="B132" t="s">
        <v>305</v>
      </c>
      <c r="C132" t="s">
        <v>294</v>
      </c>
      <c r="D132">
        <v>5200</v>
      </c>
      <c r="E132">
        <v>10.2309894150942</v>
      </c>
      <c r="F132">
        <v>9.68</v>
      </c>
      <c r="G132">
        <v>0.55098941509426702</v>
      </c>
      <c r="H132">
        <v>1.9674979644412001</v>
      </c>
      <c r="I132">
        <v>4.0923957660376997</v>
      </c>
      <c r="J132">
        <v>30.5774735377356</v>
      </c>
      <c r="K132" t="s">
        <v>290</v>
      </c>
      <c r="L132">
        <f>VLOOKUP($A132,Actual!$A:$D,4,FALSE)</f>
        <v>4.5</v>
      </c>
      <c r="M132">
        <f>VLOOKUP($A132,Actual!$A:$D,3,FALSE)</f>
        <v>1.7600000000000001E-2</v>
      </c>
      <c r="N132">
        <f>VLOOKUP(A132,NHT!B:F,5,FALSE)</f>
        <v>15.883333333333001</v>
      </c>
    </row>
    <row r="133" spans="1:14" x14ac:dyDescent="0.2">
      <c r="A133" t="s">
        <v>21</v>
      </c>
      <c r="B133" t="s">
        <v>305</v>
      </c>
      <c r="C133" t="s">
        <v>294</v>
      </c>
      <c r="D133">
        <v>4300</v>
      </c>
      <c r="E133">
        <v>6.0811833126746597</v>
      </c>
      <c r="F133">
        <v>8.1199999999999992</v>
      </c>
      <c r="G133">
        <v>-2.0388166873253302</v>
      </c>
      <c r="H133">
        <v>1.4142286773662001</v>
      </c>
      <c r="I133">
        <v>2.4324733250698598</v>
      </c>
      <c r="J133">
        <v>20.202958281686598</v>
      </c>
      <c r="K133" t="s">
        <v>290</v>
      </c>
      <c r="L133">
        <f>VLOOKUP($A133,Actual!$A:$D,4,FALSE)</f>
        <v>4.5</v>
      </c>
      <c r="M133">
        <f>VLOOKUP($A133,Actual!$A:$D,3,FALSE)</f>
        <v>0.13039999999999999</v>
      </c>
      <c r="N133">
        <f>VLOOKUP(A133,NHT!B:F,5,FALSE)</f>
        <v>17.983333333333</v>
      </c>
    </row>
    <row r="134" spans="1:14" x14ac:dyDescent="0.2">
      <c r="A134" t="s">
        <v>250</v>
      </c>
      <c r="B134" t="s">
        <v>305</v>
      </c>
      <c r="C134" t="s">
        <v>10</v>
      </c>
      <c r="D134">
        <v>2500</v>
      </c>
      <c r="E134">
        <v>4.4919241444691798</v>
      </c>
      <c r="F134">
        <v>3.62</v>
      </c>
      <c r="G134">
        <v>0.87192414446918898</v>
      </c>
      <c r="H134">
        <v>1.7967696577876699</v>
      </c>
      <c r="I134">
        <v>1.7967696577876699</v>
      </c>
      <c r="J134">
        <v>16.229810361172898</v>
      </c>
      <c r="K134" t="s">
        <v>290</v>
      </c>
      <c r="L134">
        <f>VLOOKUP($A134,Actual!$A:$D,4,FALSE)</f>
        <v>2.8</v>
      </c>
      <c r="M134">
        <f>VLOOKUP($A134,Actual!$A:$D,3,FALSE)</f>
        <v>1.1000000000000001E-3</v>
      </c>
      <c r="N134">
        <f>VLOOKUP(A134,NHT!B:F,5,FALSE)</f>
        <v>14.6</v>
      </c>
    </row>
    <row r="135" spans="1:14" x14ac:dyDescent="0.2">
      <c r="A135" t="s">
        <v>322</v>
      </c>
      <c r="B135" t="s">
        <v>305</v>
      </c>
      <c r="C135" t="s">
        <v>292</v>
      </c>
      <c r="D135">
        <v>2500</v>
      </c>
      <c r="E135">
        <v>5.7932727825422496</v>
      </c>
      <c r="F135">
        <v>2.88</v>
      </c>
      <c r="G135">
        <v>2.9132727825422502</v>
      </c>
      <c r="H135">
        <v>2.3173091130169001</v>
      </c>
      <c r="I135">
        <v>2.3173091130169001</v>
      </c>
      <c r="J135">
        <v>19.483181956355601</v>
      </c>
      <c r="K135" t="s">
        <v>290</v>
      </c>
      <c r="L135" t="e">
        <f>VLOOKUP($A135,Actual!$A:$D,4,FALSE)</f>
        <v>#N/A</v>
      </c>
      <c r="M135" t="e">
        <f>VLOOKUP($A135,Actual!$A:$D,3,FALSE)</f>
        <v>#N/A</v>
      </c>
      <c r="N135">
        <f>VLOOKUP(A135,NHT!B:F,5,FALSE)</f>
        <v>10.199999999999999</v>
      </c>
    </row>
    <row r="136" spans="1:14" x14ac:dyDescent="0.2">
      <c r="A136" t="s">
        <v>242</v>
      </c>
      <c r="B136" t="s">
        <v>305</v>
      </c>
      <c r="C136" t="s">
        <v>5</v>
      </c>
      <c r="D136">
        <v>2600</v>
      </c>
      <c r="E136">
        <v>4.6739654848026397</v>
      </c>
      <c r="F136">
        <v>4.8600000000000003</v>
      </c>
      <c r="G136">
        <v>-0.186034515197355</v>
      </c>
      <c r="H136">
        <v>1.7976790326164001</v>
      </c>
      <c r="I136">
        <v>1.8695861939210501</v>
      </c>
      <c r="J136">
        <v>16.684913712006601</v>
      </c>
      <c r="K136" t="s">
        <v>290</v>
      </c>
      <c r="L136">
        <f>VLOOKUP($A136,Actual!$A:$D,4,FALSE)</f>
        <v>8.4</v>
      </c>
      <c r="M136">
        <f>VLOOKUP($A136,Actual!$A:$D,3,FALSE)</f>
        <v>1.6999999999999999E-3</v>
      </c>
      <c r="N136">
        <f>VLOOKUP(A136,NHT!B:F,5,FALSE)</f>
        <v>12.85</v>
      </c>
    </row>
    <row r="137" spans="1:14" x14ac:dyDescent="0.2">
      <c r="A137" t="s">
        <v>245</v>
      </c>
      <c r="B137" t="s">
        <v>305</v>
      </c>
      <c r="C137" t="s">
        <v>292</v>
      </c>
      <c r="D137">
        <v>3000</v>
      </c>
      <c r="E137">
        <v>5.4248201818702801</v>
      </c>
      <c r="F137">
        <v>4.7699999999999996</v>
      </c>
      <c r="G137">
        <v>0.65482018187028901</v>
      </c>
      <c r="H137">
        <v>1.8082733939567599</v>
      </c>
      <c r="I137">
        <v>2.1699280727481098</v>
      </c>
      <c r="J137">
        <v>18.562050454675699</v>
      </c>
      <c r="K137" t="s">
        <v>290</v>
      </c>
      <c r="L137">
        <f>VLOOKUP($A137,Actual!$A:$D,4,FALSE)</f>
        <v>0</v>
      </c>
      <c r="M137">
        <f>VLOOKUP($A137,Actual!$A:$D,3,FALSE)</f>
        <v>1.6999999999999999E-3</v>
      </c>
      <c r="N137">
        <f>VLOOKUP(A137,NHT!B:F,5,FALSE)</f>
        <v>11.45</v>
      </c>
    </row>
    <row r="138" spans="1:14" x14ac:dyDescent="0.2">
      <c r="A138" t="s">
        <v>333</v>
      </c>
      <c r="B138" t="s">
        <v>289</v>
      </c>
      <c r="C138" t="s">
        <v>5</v>
      </c>
      <c r="D138">
        <v>2900</v>
      </c>
      <c r="E138">
        <v>5.1507260620048001</v>
      </c>
      <c r="F138">
        <v>5.71</v>
      </c>
      <c r="G138">
        <v>-0.55927393799519698</v>
      </c>
      <c r="H138">
        <v>1.77611243517407</v>
      </c>
      <c r="I138">
        <v>2.06029042480192</v>
      </c>
      <c r="J138">
        <v>17.876815155012</v>
      </c>
      <c r="K138" t="s">
        <v>290</v>
      </c>
      <c r="L138" t="e">
        <f>VLOOKUP($A138,Actual!$A:$D,4,FALSE)</f>
        <v>#N/A</v>
      </c>
      <c r="M138" t="e">
        <f>VLOOKUP($A138,Actual!$A:$D,3,FALSE)</f>
        <v>#N/A</v>
      </c>
      <c r="N138" t="e">
        <f>VLOOKUP(A138,NHT!B:F,5,FALSE)</f>
        <v>#N/A</v>
      </c>
    </row>
    <row r="139" spans="1:14" x14ac:dyDescent="0.2">
      <c r="A139" t="s">
        <v>365</v>
      </c>
      <c r="B139" t="s">
        <v>289</v>
      </c>
      <c r="C139" t="s">
        <v>5</v>
      </c>
      <c r="D139">
        <v>2500</v>
      </c>
      <c r="E139">
        <v>3.2960868954123801</v>
      </c>
      <c r="F139">
        <v>2.68</v>
      </c>
      <c r="G139">
        <v>0.61608689541238704</v>
      </c>
      <c r="H139">
        <v>1.31843475816495</v>
      </c>
      <c r="I139">
        <v>1.31843475816495</v>
      </c>
      <c r="J139">
        <v>13.240217238530899</v>
      </c>
      <c r="K139" t="s">
        <v>290</v>
      </c>
      <c r="L139" t="e">
        <f>VLOOKUP($A139,Actual!$A:$D,4,FALSE)</f>
        <v>#N/A</v>
      </c>
      <c r="M139" t="e">
        <f>VLOOKUP($A139,Actual!$A:$D,3,FALSE)</f>
        <v>#N/A</v>
      </c>
      <c r="N139" t="e">
        <f>VLOOKUP(A139,NHT!B:F,5,FALSE)</f>
        <v>#N/A</v>
      </c>
    </row>
    <row r="140" spans="1:14" x14ac:dyDescent="0.2">
      <c r="A140" t="s">
        <v>388</v>
      </c>
      <c r="B140" t="s">
        <v>289</v>
      </c>
      <c r="C140" t="s">
        <v>13</v>
      </c>
      <c r="D140">
        <v>8100</v>
      </c>
      <c r="E140">
        <v>13.9437588007121</v>
      </c>
      <c r="F140">
        <v>6.34</v>
      </c>
      <c r="G140">
        <v>7.6037588007121002</v>
      </c>
      <c r="H140">
        <v>1.7214517037916099</v>
      </c>
      <c r="I140">
        <v>4.1831276402136304</v>
      </c>
      <c r="J140">
        <v>37.8875176014242</v>
      </c>
      <c r="K140" t="s">
        <v>384</v>
      </c>
      <c r="L140" t="e">
        <f>VLOOKUP($A140,Actual!$A:$D,4,FALSE)</f>
        <v>#N/A</v>
      </c>
      <c r="M140" t="e">
        <f>VLOOKUP($A140,Actual!$A:$D,3,FALSE)</f>
        <v>#N/A</v>
      </c>
      <c r="N140" t="e">
        <f>VLOOKUP(A140,NHT!B:F,5,FALSE)</f>
        <v>#N/A</v>
      </c>
    </row>
    <row r="141" spans="1:14" x14ac:dyDescent="0.2">
      <c r="A141" t="s">
        <v>394</v>
      </c>
      <c r="B141" t="s">
        <v>289</v>
      </c>
      <c r="C141" t="s">
        <v>13</v>
      </c>
      <c r="D141">
        <v>7100</v>
      </c>
      <c r="E141">
        <v>12.151985497314399</v>
      </c>
      <c r="F141">
        <v>9.82</v>
      </c>
      <c r="G141">
        <v>2.3319854973144598</v>
      </c>
      <c r="H141">
        <v>1.7115472531428799</v>
      </c>
      <c r="I141">
        <v>3.64559564919433</v>
      </c>
      <c r="J141">
        <v>34.303970994628898</v>
      </c>
      <c r="K141" t="s">
        <v>384</v>
      </c>
      <c r="L141" t="e">
        <f>VLOOKUP($A141,Actual!$A:$D,4,FALSE)</f>
        <v>#N/A</v>
      </c>
      <c r="M141" t="e">
        <f>VLOOKUP($A141,Actual!$A:$D,3,FALSE)</f>
        <v>#N/A</v>
      </c>
      <c r="N141" t="e">
        <f>VLOOKUP(A141,NHT!B:F,5,FALSE)</f>
        <v>#N/A</v>
      </c>
    </row>
    <row r="142" spans="1:14" x14ac:dyDescent="0.2">
      <c r="A142" t="s">
        <v>27</v>
      </c>
      <c r="B142" t="s">
        <v>289</v>
      </c>
      <c r="C142" t="s">
        <v>10</v>
      </c>
      <c r="D142">
        <v>6800</v>
      </c>
      <c r="E142">
        <v>12.5745569079332</v>
      </c>
      <c r="F142">
        <v>12.28</v>
      </c>
      <c r="G142">
        <v>0.29455690793321998</v>
      </c>
      <c r="H142">
        <v>1.84919954528429</v>
      </c>
      <c r="I142">
        <v>5.0298227631732804</v>
      </c>
      <c r="J142">
        <v>36.436392269833</v>
      </c>
      <c r="K142" t="s">
        <v>290</v>
      </c>
      <c r="L142">
        <f>VLOOKUP($A142,Actual!$A:$D,4,FALSE)</f>
        <v>12.3</v>
      </c>
      <c r="M142">
        <f>VLOOKUP($A142,Actual!$A:$D,3,FALSE)</f>
        <v>0.1139</v>
      </c>
      <c r="N142">
        <f>VLOOKUP(A142,NHT!B:F,5,FALSE)</f>
        <v>24.8</v>
      </c>
    </row>
    <row r="143" spans="1:14" x14ac:dyDescent="0.2">
      <c r="A143" t="s">
        <v>118</v>
      </c>
      <c r="B143" t="s">
        <v>289</v>
      </c>
      <c r="C143" t="s">
        <v>10</v>
      </c>
      <c r="D143">
        <v>4300</v>
      </c>
      <c r="E143">
        <v>9.4504297228287495</v>
      </c>
      <c r="F143">
        <v>9.5500000000000007</v>
      </c>
      <c r="G143">
        <v>-9.9570277171251206E-2</v>
      </c>
      <c r="H143">
        <v>2.1977743541462198</v>
      </c>
      <c r="I143">
        <v>3.7801718891315002</v>
      </c>
      <c r="J143">
        <v>28.6260743070718</v>
      </c>
      <c r="K143" t="s">
        <v>290</v>
      </c>
      <c r="L143">
        <f>VLOOKUP($A143,Actual!$A:$D,4,FALSE)</f>
        <v>3</v>
      </c>
      <c r="M143">
        <f>VLOOKUP($A143,Actual!$A:$D,3,FALSE)</f>
        <v>2.5499999999999998E-2</v>
      </c>
      <c r="N143">
        <f>VLOOKUP(A143,NHT!B:F,5,FALSE)</f>
        <v>21.216666666666999</v>
      </c>
    </row>
    <row r="144" spans="1:14" x14ac:dyDescent="0.2">
      <c r="A144" t="s">
        <v>155</v>
      </c>
      <c r="B144" t="s">
        <v>289</v>
      </c>
      <c r="C144" t="s">
        <v>10</v>
      </c>
      <c r="D144">
        <v>2900</v>
      </c>
      <c r="E144">
        <v>7.1104395183780902</v>
      </c>
      <c r="F144">
        <v>4.76</v>
      </c>
      <c r="G144">
        <v>2.35043951837809</v>
      </c>
      <c r="H144">
        <v>2.4518756959924399</v>
      </c>
      <c r="I144">
        <v>2.8441758073512302</v>
      </c>
      <c r="J144">
        <v>22.776098795945199</v>
      </c>
      <c r="K144" t="s">
        <v>290</v>
      </c>
      <c r="L144">
        <f>VLOOKUP($A144,Actual!$A:$D,4,FALSE)</f>
        <v>6.5</v>
      </c>
      <c r="M144">
        <f>VLOOKUP($A144,Actual!$A:$D,3,FALSE)</f>
        <v>1.7600000000000001E-2</v>
      </c>
      <c r="N144">
        <f>VLOOKUP(A144,NHT!B:F,5,FALSE)</f>
        <v>21.25</v>
      </c>
    </row>
    <row r="145" spans="1:14" x14ac:dyDescent="0.2">
      <c r="A145" t="s">
        <v>233</v>
      </c>
      <c r="B145" t="s">
        <v>289</v>
      </c>
      <c r="C145" t="s">
        <v>10</v>
      </c>
      <c r="D145">
        <v>2500</v>
      </c>
      <c r="E145">
        <v>4.7032284036118801</v>
      </c>
      <c r="F145">
        <v>5.0999999999999996</v>
      </c>
      <c r="G145">
        <v>-0.39677159638811299</v>
      </c>
      <c r="H145">
        <v>1.88129136144475</v>
      </c>
      <c r="I145">
        <v>1.88129136144475</v>
      </c>
      <c r="J145">
        <v>16.758071009029699</v>
      </c>
      <c r="K145" t="s">
        <v>290</v>
      </c>
      <c r="L145">
        <f>VLOOKUP($A145,Actual!$A:$D,4,FALSE)</f>
        <v>1.3</v>
      </c>
      <c r="M145">
        <f>VLOOKUP($A145,Actual!$A:$D,3,FALSE)</f>
        <v>2.3E-3</v>
      </c>
      <c r="N145">
        <f>VLOOKUP(A145,NHT!B:F,5,FALSE)</f>
        <v>19.183333333333</v>
      </c>
    </row>
    <row r="146" spans="1:14" x14ac:dyDescent="0.2">
      <c r="A146" t="s">
        <v>52</v>
      </c>
      <c r="B146" t="s">
        <v>289</v>
      </c>
      <c r="C146" t="s">
        <v>10</v>
      </c>
      <c r="D146">
        <v>3700</v>
      </c>
      <c r="E146">
        <v>9.4929226169408505</v>
      </c>
      <c r="F146">
        <v>7.79</v>
      </c>
      <c r="G146">
        <v>1.70292261694085</v>
      </c>
      <c r="H146">
        <v>2.56565476133536</v>
      </c>
      <c r="I146">
        <v>3.7971690467763399</v>
      </c>
      <c r="J146">
        <v>28.732306542352099</v>
      </c>
      <c r="K146" t="s">
        <v>290</v>
      </c>
      <c r="L146">
        <f>VLOOKUP($A146,Actual!$A:$D,4,FALSE)</f>
        <v>9.5</v>
      </c>
      <c r="M146">
        <f>VLOOKUP($A146,Actual!$A:$D,3,FALSE)</f>
        <v>6.0699999999999997E-2</v>
      </c>
      <c r="N146">
        <f>VLOOKUP(A146,NHT!B:F,5,FALSE)</f>
        <v>20.116666666667001</v>
      </c>
    </row>
    <row r="147" spans="1:14" x14ac:dyDescent="0.2">
      <c r="A147" t="s">
        <v>4</v>
      </c>
      <c r="B147" t="s">
        <v>289</v>
      </c>
      <c r="C147" t="s">
        <v>5</v>
      </c>
      <c r="D147">
        <v>10000</v>
      </c>
      <c r="E147">
        <v>15.717298139010399</v>
      </c>
      <c r="F147">
        <v>18.420000000000002</v>
      </c>
      <c r="G147">
        <v>-2.7027018609895399</v>
      </c>
      <c r="H147">
        <v>1.5717298139010401</v>
      </c>
      <c r="I147">
        <v>6.2869192556041797</v>
      </c>
      <c r="J147">
        <v>44.293245347526103</v>
      </c>
      <c r="K147" t="s">
        <v>290</v>
      </c>
      <c r="L147">
        <f>VLOOKUP($A147,Actual!$A:$D,4,FALSE)</f>
        <v>1.5</v>
      </c>
      <c r="M147">
        <f>VLOOKUP($A147,Actual!$A:$D,3,FALSE)</f>
        <v>0.26929999999999998</v>
      </c>
      <c r="N147">
        <f>VLOOKUP(A147,NHT!B:F,5,FALSE)</f>
        <v>20.933333333333</v>
      </c>
    </row>
    <row r="148" spans="1:14" x14ac:dyDescent="0.2">
      <c r="A148" t="s">
        <v>6</v>
      </c>
      <c r="B148" t="s">
        <v>289</v>
      </c>
      <c r="C148" t="s">
        <v>292</v>
      </c>
      <c r="D148">
        <v>7100</v>
      </c>
      <c r="E148">
        <v>10.5509964541447</v>
      </c>
      <c r="F148">
        <v>12.68</v>
      </c>
      <c r="G148">
        <v>-2.1290035458552001</v>
      </c>
      <c r="H148">
        <v>1.48605583861194</v>
      </c>
      <c r="I148">
        <v>4.2203985816579097</v>
      </c>
      <c r="J148">
        <v>31.3774911353619</v>
      </c>
      <c r="K148" t="s">
        <v>290</v>
      </c>
      <c r="L148">
        <f>VLOOKUP($A148,Actual!$A:$D,4,FALSE)</f>
        <v>6</v>
      </c>
      <c r="M148">
        <f>VLOOKUP($A148,Actual!$A:$D,3,FALSE)</f>
        <v>0.21659999999999999</v>
      </c>
      <c r="N148">
        <f>VLOOKUP(A148,NHT!B:F,5,FALSE)</f>
        <v>18.45</v>
      </c>
    </row>
    <row r="149" spans="1:14" x14ac:dyDescent="0.2">
      <c r="A149" t="s">
        <v>166</v>
      </c>
      <c r="B149" t="s">
        <v>289</v>
      </c>
      <c r="C149" t="s">
        <v>5</v>
      </c>
      <c r="D149">
        <v>9000</v>
      </c>
      <c r="E149">
        <v>17.8297517055078</v>
      </c>
      <c r="F149">
        <v>14.33</v>
      </c>
      <c r="G149">
        <v>3.4997517055077898</v>
      </c>
      <c r="H149">
        <v>1.9810835228341901</v>
      </c>
      <c r="I149">
        <v>7.1319006822031197</v>
      </c>
      <c r="J149">
        <v>49.574379263769501</v>
      </c>
      <c r="K149" t="s">
        <v>290</v>
      </c>
      <c r="L149">
        <f>VLOOKUP($A149,Actual!$A:$D,4,FALSE)</f>
        <v>6</v>
      </c>
      <c r="M149">
        <f>VLOOKUP($A149,Actual!$A:$D,3,FALSE)</f>
        <v>1.3599999999999999E-2</v>
      </c>
      <c r="N149">
        <f>VLOOKUP(A149,NHT!B:F,5,FALSE)</f>
        <v>19.283333333333001</v>
      </c>
    </row>
    <row r="150" spans="1:14" x14ac:dyDescent="0.2">
      <c r="A150" t="s">
        <v>15</v>
      </c>
      <c r="B150" t="s">
        <v>289</v>
      </c>
      <c r="C150" t="s">
        <v>5</v>
      </c>
      <c r="D150">
        <v>5600</v>
      </c>
      <c r="E150">
        <v>8.7489374609287101</v>
      </c>
      <c r="F150">
        <v>9.4</v>
      </c>
      <c r="G150">
        <v>-0.65106253907128497</v>
      </c>
      <c r="H150">
        <v>1.56231026088012</v>
      </c>
      <c r="I150">
        <v>3.4995749843714798</v>
      </c>
      <c r="J150">
        <v>26.8723436523217</v>
      </c>
      <c r="K150" t="s">
        <v>290</v>
      </c>
      <c r="L150">
        <f>VLOOKUP($A150,Actual!$A:$D,4,FALSE)</f>
        <v>0</v>
      </c>
      <c r="M150">
        <f>VLOOKUP($A150,Actual!$A:$D,3,FALSE)</f>
        <v>0.14799999999999999</v>
      </c>
      <c r="N150">
        <f>VLOOKUP(A150,NHT!B:F,5,FALSE)</f>
        <v>18.583333333333002</v>
      </c>
    </row>
    <row r="151" spans="1:14" x14ac:dyDescent="0.2">
      <c r="A151" t="s">
        <v>74</v>
      </c>
      <c r="B151" t="s">
        <v>289</v>
      </c>
      <c r="C151" t="s">
        <v>292</v>
      </c>
      <c r="D151">
        <v>4000</v>
      </c>
      <c r="E151">
        <v>7.9578288305411302</v>
      </c>
      <c r="F151">
        <v>9.3699999999999992</v>
      </c>
      <c r="G151">
        <v>-1.4121711694588599</v>
      </c>
      <c r="H151">
        <v>1.9894572076352799</v>
      </c>
      <c r="I151">
        <v>3.18313153221645</v>
      </c>
      <c r="J151">
        <v>24.894572076352802</v>
      </c>
      <c r="K151" t="s">
        <v>290</v>
      </c>
      <c r="L151">
        <f>VLOOKUP($A151,Actual!$A:$D,4,FALSE)</f>
        <v>7.3</v>
      </c>
      <c r="M151">
        <f>VLOOKUP($A151,Actual!$A:$D,3,FALSE)</f>
        <v>4.2000000000000003E-2</v>
      </c>
      <c r="N151">
        <f>VLOOKUP(A151,NHT!B:F,5,FALSE)</f>
        <v>15.35</v>
      </c>
    </row>
    <row r="152" spans="1:14" x14ac:dyDescent="0.2">
      <c r="A152" t="s">
        <v>128</v>
      </c>
      <c r="B152" t="s">
        <v>289</v>
      </c>
      <c r="C152" t="s">
        <v>294</v>
      </c>
      <c r="D152">
        <v>3700</v>
      </c>
      <c r="E152">
        <v>4.9423417045614997</v>
      </c>
      <c r="F152">
        <v>6.12</v>
      </c>
      <c r="G152">
        <v>-1.17765829543849</v>
      </c>
      <c r="H152">
        <v>1.3357680282598601</v>
      </c>
      <c r="I152">
        <v>1.9769366818245999</v>
      </c>
      <c r="J152">
        <v>17.355854261403699</v>
      </c>
      <c r="K152" t="s">
        <v>290</v>
      </c>
      <c r="L152">
        <f>VLOOKUP($A152,Actual!$A:$D,4,FALSE)</f>
        <v>3</v>
      </c>
      <c r="M152">
        <f>VLOOKUP($A152,Actual!$A:$D,3,FALSE)</f>
        <v>2.2700000000000001E-2</v>
      </c>
      <c r="N152">
        <f>VLOOKUP(A152,NHT!B:F,5,FALSE)</f>
        <v>14.416666666667</v>
      </c>
    </row>
    <row r="153" spans="1:14" x14ac:dyDescent="0.2">
      <c r="A153" t="s">
        <v>368</v>
      </c>
      <c r="B153" t="s">
        <v>289</v>
      </c>
      <c r="C153" t="s">
        <v>5</v>
      </c>
      <c r="D153">
        <v>2500</v>
      </c>
      <c r="E153">
        <v>3.1091045326608402</v>
      </c>
      <c r="F153">
        <v>2.62</v>
      </c>
      <c r="G153">
        <v>0.48910453266084403</v>
      </c>
      <c r="H153">
        <v>1.2436418130643301</v>
      </c>
      <c r="I153">
        <v>1.2436418130643301</v>
      </c>
      <c r="J153">
        <v>12.7727613316521</v>
      </c>
      <c r="K153" t="s">
        <v>290</v>
      </c>
      <c r="L153" t="e">
        <f>VLOOKUP($A153,Actual!$A:$D,4,FALSE)</f>
        <v>#N/A</v>
      </c>
      <c r="M153" t="e">
        <f>VLOOKUP($A153,Actual!$A:$D,3,FALSE)</f>
        <v>#N/A</v>
      </c>
      <c r="N153">
        <f>VLOOKUP(A153,NHT!B:F,5,FALSE)</f>
        <v>11.666666666667</v>
      </c>
    </row>
    <row r="154" spans="1:14" x14ac:dyDescent="0.2">
      <c r="A154" t="s">
        <v>337</v>
      </c>
      <c r="B154" t="s">
        <v>301</v>
      </c>
      <c r="C154" t="s">
        <v>10</v>
      </c>
      <c r="D154">
        <v>2500</v>
      </c>
      <c r="E154">
        <v>4.9389075418893098</v>
      </c>
      <c r="F154">
        <v>0.75</v>
      </c>
      <c r="G154">
        <v>4.1889075418893098</v>
      </c>
      <c r="H154">
        <v>1.9755630167557201</v>
      </c>
      <c r="I154">
        <v>1.9755630167557201</v>
      </c>
      <c r="J154">
        <v>17.3472688547232</v>
      </c>
      <c r="K154" t="s">
        <v>290</v>
      </c>
      <c r="L154" t="e">
        <f>VLOOKUP($A154,Actual!$A:$D,4,FALSE)</f>
        <v>#N/A</v>
      </c>
      <c r="M154" t="e">
        <f>VLOOKUP($A154,Actual!$A:$D,3,FALSE)</f>
        <v>#N/A</v>
      </c>
      <c r="N154" t="e">
        <f>VLOOKUP(A154,NHT!B:F,5,FALSE)</f>
        <v>#N/A</v>
      </c>
    </row>
    <row r="155" spans="1:14" x14ac:dyDescent="0.2">
      <c r="A155" t="s">
        <v>342</v>
      </c>
      <c r="B155" t="s">
        <v>301</v>
      </c>
      <c r="C155" t="s">
        <v>5</v>
      </c>
      <c r="D155">
        <v>2500</v>
      </c>
      <c r="E155">
        <v>4.5870182666648498</v>
      </c>
      <c r="F155">
        <v>2.88</v>
      </c>
      <c r="G155">
        <v>1.7070182666648499</v>
      </c>
      <c r="H155">
        <v>1.8348073066659401</v>
      </c>
      <c r="I155">
        <v>1.8348073066659401</v>
      </c>
      <c r="J155">
        <v>16.467545666662101</v>
      </c>
      <c r="K155" t="s">
        <v>290</v>
      </c>
      <c r="L155" t="e">
        <f>VLOOKUP($A155,Actual!$A:$D,4,FALSE)</f>
        <v>#N/A</v>
      </c>
      <c r="M155" t="e">
        <f>VLOOKUP($A155,Actual!$A:$D,3,FALSE)</f>
        <v>#N/A</v>
      </c>
      <c r="N155" t="e">
        <f>VLOOKUP(A155,NHT!B:F,5,FALSE)</f>
        <v>#N/A</v>
      </c>
    </row>
    <row r="156" spans="1:14" x14ac:dyDescent="0.2">
      <c r="A156" t="s">
        <v>363</v>
      </c>
      <c r="B156" t="s">
        <v>301</v>
      </c>
      <c r="C156" t="s">
        <v>10</v>
      </c>
      <c r="D156">
        <v>2500</v>
      </c>
      <c r="E156">
        <v>3.3522022200370798</v>
      </c>
      <c r="F156">
        <v>0.7</v>
      </c>
      <c r="G156">
        <v>2.6522022200370801</v>
      </c>
      <c r="H156">
        <v>1.34088088801483</v>
      </c>
      <c r="I156">
        <v>1.34088088801483</v>
      </c>
      <c r="J156">
        <v>13.3805055500927</v>
      </c>
      <c r="K156" t="s">
        <v>290</v>
      </c>
      <c r="L156" t="e">
        <f>VLOOKUP($A156,Actual!$A:$D,4,FALSE)</f>
        <v>#N/A</v>
      </c>
      <c r="M156" t="e">
        <f>VLOOKUP($A156,Actual!$A:$D,3,FALSE)</f>
        <v>#N/A</v>
      </c>
      <c r="N156" t="e">
        <f>VLOOKUP(A156,NHT!B:F,5,FALSE)</f>
        <v>#N/A</v>
      </c>
    </row>
    <row r="157" spans="1:14" x14ac:dyDescent="0.2">
      <c r="A157" t="s">
        <v>366</v>
      </c>
      <c r="B157" t="s">
        <v>301</v>
      </c>
      <c r="C157" t="s">
        <v>292</v>
      </c>
      <c r="D157">
        <v>2500</v>
      </c>
      <c r="E157">
        <v>3.1945537058514302</v>
      </c>
      <c r="F157">
        <v>3.09</v>
      </c>
      <c r="G157">
        <v>0.104553705851439</v>
      </c>
      <c r="H157">
        <v>1.27782148234057</v>
      </c>
      <c r="I157">
        <v>1.27782148234057</v>
      </c>
      <c r="J157">
        <v>12.9863842646285</v>
      </c>
      <c r="K157" t="s">
        <v>290</v>
      </c>
      <c r="L157" t="e">
        <f>VLOOKUP($A157,Actual!$A:$D,4,FALSE)</f>
        <v>#N/A</v>
      </c>
      <c r="M157" t="e">
        <f>VLOOKUP($A157,Actual!$A:$D,3,FALSE)</f>
        <v>#N/A</v>
      </c>
      <c r="N157" t="e">
        <f>VLOOKUP(A157,NHT!B:F,5,FALSE)</f>
        <v>#N/A</v>
      </c>
    </row>
    <row r="158" spans="1:14" x14ac:dyDescent="0.2">
      <c r="A158" t="s">
        <v>375</v>
      </c>
      <c r="B158" t="s">
        <v>301</v>
      </c>
      <c r="C158" t="s">
        <v>292</v>
      </c>
      <c r="D158">
        <v>2500</v>
      </c>
      <c r="E158">
        <v>2.8700807242245898</v>
      </c>
      <c r="F158">
        <v>0</v>
      </c>
      <c r="G158">
        <v>2.8700807242245898</v>
      </c>
      <c r="H158">
        <v>1.1480322896898301</v>
      </c>
      <c r="I158">
        <v>1.1480322896898301</v>
      </c>
      <c r="J158">
        <v>12.175201810561401</v>
      </c>
      <c r="K158" t="s">
        <v>290</v>
      </c>
      <c r="L158" t="e">
        <f>VLOOKUP($A158,Actual!$A:$D,4,FALSE)</f>
        <v>#N/A</v>
      </c>
      <c r="M158" t="e">
        <f>VLOOKUP($A158,Actual!$A:$D,3,FALSE)</f>
        <v>#N/A</v>
      </c>
      <c r="N158" t="e">
        <f>VLOOKUP(A158,NHT!B:F,5,FALSE)</f>
        <v>#N/A</v>
      </c>
    </row>
    <row r="159" spans="1:14" x14ac:dyDescent="0.2">
      <c r="A159" t="s">
        <v>390</v>
      </c>
      <c r="B159" t="s">
        <v>301</v>
      </c>
      <c r="C159" t="s">
        <v>13</v>
      </c>
      <c r="D159">
        <v>7600</v>
      </c>
      <c r="E159">
        <v>13.219941629869499</v>
      </c>
      <c r="F159">
        <v>8.17</v>
      </c>
      <c r="G159">
        <v>5.0499416298695099</v>
      </c>
      <c r="H159">
        <v>1.7394660039301899</v>
      </c>
      <c r="I159">
        <v>3.9659824889608499</v>
      </c>
      <c r="J159">
        <v>36.439883259738998</v>
      </c>
      <c r="K159" t="s">
        <v>384</v>
      </c>
      <c r="L159" t="e">
        <f>VLOOKUP($A159,Actual!$A:$D,4,FALSE)</f>
        <v>#N/A</v>
      </c>
      <c r="M159" t="e">
        <f>VLOOKUP($A159,Actual!$A:$D,3,FALSE)</f>
        <v>#N/A</v>
      </c>
      <c r="N159" t="e">
        <f>VLOOKUP(A159,NHT!B:F,5,FALSE)</f>
        <v>#N/A</v>
      </c>
    </row>
    <row r="160" spans="1:14" x14ac:dyDescent="0.2">
      <c r="A160" t="s">
        <v>201</v>
      </c>
      <c r="B160" t="s">
        <v>301</v>
      </c>
      <c r="C160" t="s">
        <v>10</v>
      </c>
      <c r="D160">
        <v>3600</v>
      </c>
      <c r="E160">
        <v>9.2616781981666207</v>
      </c>
      <c r="F160">
        <v>5.36</v>
      </c>
      <c r="G160">
        <v>3.90167819816662</v>
      </c>
      <c r="H160">
        <v>2.5726883883796101</v>
      </c>
      <c r="I160">
        <v>3.7046712792666399</v>
      </c>
      <c r="J160">
        <v>28.154195495416499</v>
      </c>
      <c r="K160" t="s">
        <v>290</v>
      </c>
      <c r="L160">
        <f>VLOOKUP($A160,Actual!$A:$D,4,FALSE)</f>
        <v>4.3</v>
      </c>
      <c r="M160">
        <f>VLOOKUP($A160,Actual!$A:$D,3,FALSE)</f>
        <v>7.4000000000000003E-3</v>
      </c>
      <c r="N160">
        <f>VLOOKUP(A160,NHT!B:F,5,FALSE)</f>
        <v>27.316666666667</v>
      </c>
    </row>
    <row r="161" spans="1:14" x14ac:dyDescent="0.2">
      <c r="A161" t="s">
        <v>205</v>
      </c>
      <c r="B161" t="s">
        <v>301</v>
      </c>
      <c r="C161" t="s">
        <v>10</v>
      </c>
      <c r="D161">
        <v>4200</v>
      </c>
      <c r="E161">
        <v>8.8876087026760704</v>
      </c>
      <c r="F161">
        <v>7.43</v>
      </c>
      <c r="G161">
        <v>1.45760870267607</v>
      </c>
      <c r="H161">
        <v>2.1160973101609701</v>
      </c>
      <c r="I161">
        <v>3.5550434810704301</v>
      </c>
      <c r="J161">
        <v>27.2190217566901</v>
      </c>
      <c r="K161" t="s">
        <v>290</v>
      </c>
      <c r="L161">
        <f>VLOOKUP($A161,Actual!$A:$D,4,FALSE)</f>
        <v>4.3</v>
      </c>
      <c r="M161">
        <f>VLOOKUP($A161,Actual!$A:$D,3,FALSE)</f>
        <v>6.1999999999999998E-3</v>
      </c>
      <c r="N161">
        <f>VLOOKUP(A161,NHT!B:F,5,FALSE)</f>
        <v>26.65</v>
      </c>
    </row>
    <row r="162" spans="1:14" x14ac:dyDescent="0.2">
      <c r="A162" t="s">
        <v>103</v>
      </c>
      <c r="B162" t="s">
        <v>301</v>
      </c>
      <c r="C162" t="s">
        <v>10</v>
      </c>
      <c r="D162">
        <v>3000</v>
      </c>
      <c r="E162">
        <v>5.6912907840837699</v>
      </c>
      <c r="F162">
        <v>4.24</v>
      </c>
      <c r="G162">
        <v>1.4512907840837701</v>
      </c>
      <c r="H162">
        <v>1.89709692802792</v>
      </c>
      <c r="I162">
        <v>2.2765163136335</v>
      </c>
      <c r="J162">
        <v>19.228226960209401</v>
      </c>
      <c r="K162" t="s">
        <v>290</v>
      </c>
      <c r="L162">
        <f>VLOOKUP($A162,Actual!$A:$D,4,FALSE)</f>
        <v>1.3</v>
      </c>
      <c r="M162">
        <f>VLOOKUP($A162,Actual!$A:$D,3,FALSE)</f>
        <v>3.0599999999999999E-2</v>
      </c>
      <c r="N162">
        <f>VLOOKUP(A162,NHT!B:F,5,FALSE)</f>
        <v>23.05</v>
      </c>
    </row>
    <row r="163" spans="1:14" x14ac:dyDescent="0.2">
      <c r="A163" t="s">
        <v>238</v>
      </c>
      <c r="B163" t="s">
        <v>301</v>
      </c>
      <c r="C163" t="s">
        <v>10</v>
      </c>
      <c r="D163">
        <v>2500</v>
      </c>
      <c r="E163">
        <v>6.65164316012123</v>
      </c>
      <c r="F163">
        <v>4.3499999999999996</v>
      </c>
      <c r="G163">
        <v>2.3016431601212299</v>
      </c>
      <c r="H163">
        <v>2.6606572640484898</v>
      </c>
      <c r="I163">
        <v>2.6606572640484898</v>
      </c>
      <c r="J163">
        <v>21.629107900303001</v>
      </c>
      <c r="K163" t="s">
        <v>290</v>
      </c>
      <c r="L163">
        <f>VLOOKUP($A163,Actual!$A:$D,4,FALSE)</f>
        <v>2.8</v>
      </c>
      <c r="M163">
        <f>VLOOKUP($A163,Actual!$A:$D,3,FALSE)</f>
        <v>1.6999999999999999E-3</v>
      </c>
      <c r="N163">
        <f>VLOOKUP(A163,NHT!B:F,5,FALSE)</f>
        <v>22.233333333333</v>
      </c>
    </row>
    <row r="164" spans="1:14" x14ac:dyDescent="0.2">
      <c r="A164" t="s">
        <v>143</v>
      </c>
      <c r="B164" t="s">
        <v>301</v>
      </c>
      <c r="C164" t="s">
        <v>5</v>
      </c>
      <c r="D164">
        <v>6700</v>
      </c>
      <c r="E164">
        <v>11.1431433540945</v>
      </c>
      <c r="F164">
        <v>10.14</v>
      </c>
      <c r="G164">
        <v>1.0031433540945001</v>
      </c>
      <c r="H164">
        <v>1.6631557244917099</v>
      </c>
      <c r="I164">
        <v>4.4572573416378001</v>
      </c>
      <c r="J164">
        <v>32.857858385236199</v>
      </c>
      <c r="K164" t="s">
        <v>290</v>
      </c>
      <c r="L164">
        <f>VLOOKUP($A164,Actual!$A:$D,4,FALSE)</f>
        <v>14.3</v>
      </c>
      <c r="M164">
        <f>VLOOKUP($A164,Actual!$A:$D,3,FALSE)</f>
        <v>2.0400000000000001E-2</v>
      </c>
      <c r="N164">
        <f>VLOOKUP(A164,NHT!B:F,5,FALSE)</f>
        <v>21.7</v>
      </c>
    </row>
    <row r="165" spans="1:14" x14ac:dyDescent="0.2">
      <c r="A165" t="s">
        <v>127</v>
      </c>
      <c r="B165" t="s">
        <v>301</v>
      </c>
      <c r="C165" t="s">
        <v>5</v>
      </c>
      <c r="D165">
        <v>5900</v>
      </c>
      <c r="E165">
        <v>10.420144915035401</v>
      </c>
      <c r="F165">
        <v>9.11</v>
      </c>
      <c r="G165">
        <v>1.3101449150354401</v>
      </c>
      <c r="H165">
        <v>1.7661262567856599</v>
      </c>
      <c r="I165">
        <v>4.1680579660141701</v>
      </c>
      <c r="J165">
        <v>31.050362287588602</v>
      </c>
      <c r="K165" t="s">
        <v>290</v>
      </c>
      <c r="L165">
        <f>VLOOKUP($A165,Actual!$A:$D,4,FALSE)</f>
        <v>0</v>
      </c>
      <c r="M165">
        <f>VLOOKUP($A165,Actual!$A:$D,3,FALSE)</f>
        <v>2.3199999999999998E-2</v>
      </c>
      <c r="N165">
        <f>VLOOKUP(A165,NHT!B:F,5,FALSE)</f>
        <v>19.366666666667001</v>
      </c>
    </row>
    <row r="166" spans="1:14" x14ac:dyDescent="0.2">
      <c r="A166" t="s">
        <v>189</v>
      </c>
      <c r="B166" t="s">
        <v>301</v>
      </c>
      <c r="C166" t="s">
        <v>5</v>
      </c>
      <c r="D166">
        <v>7400</v>
      </c>
      <c r="E166">
        <v>12.837901288400801</v>
      </c>
      <c r="F166">
        <v>12.37</v>
      </c>
      <c r="G166">
        <v>0.46790128840088102</v>
      </c>
      <c r="H166">
        <v>1.73485152545957</v>
      </c>
      <c r="I166">
        <v>5.1351605153603499</v>
      </c>
      <c r="J166">
        <v>37.0947532210022</v>
      </c>
      <c r="K166" t="s">
        <v>290</v>
      </c>
      <c r="L166">
        <f>VLOOKUP($A166,Actual!$A:$D,4,FALSE)</f>
        <v>4.0999999999999996</v>
      </c>
      <c r="M166">
        <f>VLOOKUP($A166,Actual!$A:$D,3,FALSE)</f>
        <v>8.5000000000000006E-3</v>
      </c>
      <c r="N166">
        <f>VLOOKUP(A166,NHT!B:F,5,FALSE)</f>
        <v>21.316666666667</v>
      </c>
    </row>
    <row r="167" spans="1:14" x14ac:dyDescent="0.2">
      <c r="A167" t="s">
        <v>107</v>
      </c>
      <c r="B167" t="s">
        <v>301</v>
      </c>
      <c r="C167" t="s">
        <v>292</v>
      </c>
      <c r="D167">
        <v>6600</v>
      </c>
      <c r="E167">
        <v>13.4237866666054</v>
      </c>
      <c r="F167">
        <v>5.8</v>
      </c>
      <c r="G167">
        <v>7.6237866666054703</v>
      </c>
      <c r="H167">
        <v>2.03390707069779</v>
      </c>
      <c r="I167">
        <v>5.36951466664219</v>
      </c>
      <c r="J167">
        <v>38.5594666665136</v>
      </c>
      <c r="K167" t="s">
        <v>290</v>
      </c>
      <c r="L167">
        <f>VLOOKUP($A167,Actual!$A:$D,4,FALSE)</f>
        <v>6.5</v>
      </c>
      <c r="M167">
        <f>VLOOKUP($A167,Actual!$A:$D,3,FALSE)</f>
        <v>2.8899999999999999E-2</v>
      </c>
      <c r="N167">
        <f>VLOOKUP(A167,NHT!B:F,5,FALSE)</f>
        <v>18.516666666667</v>
      </c>
    </row>
    <row r="168" spans="1:14" x14ac:dyDescent="0.2">
      <c r="A168" t="s">
        <v>183</v>
      </c>
      <c r="B168" t="s">
        <v>301</v>
      </c>
      <c r="C168" t="s">
        <v>5</v>
      </c>
      <c r="D168">
        <v>3400</v>
      </c>
      <c r="E168">
        <v>4.4430689576519002</v>
      </c>
      <c r="F168">
        <v>6.8</v>
      </c>
      <c r="G168">
        <v>-2.3569310423480898</v>
      </c>
      <c r="H168">
        <v>1.30678498754467</v>
      </c>
      <c r="I168">
        <v>1.77722758306076</v>
      </c>
      <c r="J168">
        <v>16.1076723941297</v>
      </c>
      <c r="K168" t="s">
        <v>290</v>
      </c>
      <c r="L168">
        <f>VLOOKUP($A168,Actual!$A:$D,4,FALSE)</f>
        <v>0</v>
      </c>
      <c r="M168">
        <f>VLOOKUP($A168,Actual!$A:$D,3,FALSE)</f>
        <v>9.5999999999999992E-3</v>
      </c>
      <c r="N168">
        <f>VLOOKUP(A168,NHT!B:F,5,FALSE)</f>
        <v>16.216666666666999</v>
      </c>
    </row>
    <row r="169" spans="1:14" x14ac:dyDescent="0.2">
      <c r="A169" t="s">
        <v>149</v>
      </c>
      <c r="B169" t="s">
        <v>301</v>
      </c>
      <c r="C169" t="s">
        <v>5</v>
      </c>
      <c r="D169">
        <v>4700</v>
      </c>
      <c r="E169">
        <v>7.9497324463045604</v>
      </c>
      <c r="F169">
        <v>9.74</v>
      </c>
      <c r="G169">
        <v>-1.79026755369543</v>
      </c>
      <c r="H169">
        <v>1.6914324353839401</v>
      </c>
      <c r="I169">
        <v>3.1798929785218202</v>
      </c>
      <c r="J169">
        <v>24.8743311157614</v>
      </c>
      <c r="K169" t="s">
        <v>290</v>
      </c>
      <c r="L169">
        <f>VLOOKUP($A169,Actual!$A:$D,4,FALSE)</f>
        <v>2.8</v>
      </c>
      <c r="M169">
        <f>VLOOKUP($A169,Actual!$A:$D,3,FALSE)</f>
        <v>1.8100000000000002E-2</v>
      </c>
      <c r="N169">
        <f>VLOOKUP(A169,NHT!B:F,5,FALSE)</f>
        <v>20.516666666667</v>
      </c>
    </row>
    <row r="170" spans="1:14" x14ac:dyDescent="0.2">
      <c r="A170" t="s">
        <v>202</v>
      </c>
      <c r="B170" t="s">
        <v>301</v>
      </c>
      <c r="C170" t="s">
        <v>5</v>
      </c>
      <c r="D170">
        <v>3700</v>
      </c>
      <c r="E170">
        <v>6.8073773123958699</v>
      </c>
      <c r="F170">
        <v>6.83</v>
      </c>
      <c r="G170">
        <v>-2.2622687604123101E-2</v>
      </c>
      <c r="H170">
        <v>1.8398317060529299</v>
      </c>
      <c r="I170">
        <v>2.7229509249583499</v>
      </c>
      <c r="J170">
        <v>22.018443280989601</v>
      </c>
      <c r="K170" t="s">
        <v>290</v>
      </c>
      <c r="L170">
        <f>VLOOKUP($A170,Actual!$A:$D,4,FALSE)</f>
        <v>13.1</v>
      </c>
      <c r="M170">
        <f>VLOOKUP($A170,Actual!$A:$D,3,FALSE)</f>
        <v>6.7999999999999996E-3</v>
      </c>
      <c r="N170">
        <f>VLOOKUP(A170,NHT!B:F,5,FALSE)</f>
        <v>17.833333333333002</v>
      </c>
    </row>
    <row r="171" spans="1:14" x14ac:dyDescent="0.2">
      <c r="A171" t="s">
        <v>216</v>
      </c>
      <c r="B171" t="s">
        <v>301</v>
      </c>
      <c r="C171" t="s">
        <v>294</v>
      </c>
      <c r="D171">
        <v>3100</v>
      </c>
      <c r="E171">
        <v>6.7454164731033002</v>
      </c>
      <c r="F171">
        <v>6.69</v>
      </c>
      <c r="G171">
        <v>5.5416473103305899E-2</v>
      </c>
      <c r="H171">
        <v>2.1759407977752598</v>
      </c>
      <c r="I171">
        <v>2.6981665892413198</v>
      </c>
      <c r="J171">
        <v>21.863541182758201</v>
      </c>
      <c r="K171" t="s">
        <v>290</v>
      </c>
      <c r="L171">
        <f>VLOOKUP($A171,Actual!$A:$D,4,FALSE)</f>
        <v>3</v>
      </c>
      <c r="M171">
        <f>VLOOKUP($A171,Actual!$A:$D,3,FALSE)</f>
        <v>4.0000000000000001E-3</v>
      </c>
      <c r="N171">
        <f>VLOOKUP(A171,NHT!B:F,5,FALSE)</f>
        <v>14.25</v>
      </c>
    </row>
    <row r="172" spans="1:14" x14ac:dyDescent="0.2">
      <c r="A172" t="s">
        <v>220</v>
      </c>
      <c r="B172" t="s">
        <v>301</v>
      </c>
      <c r="C172" t="s">
        <v>292</v>
      </c>
      <c r="D172">
        <v>2900</v>
      </c>
      <c r="E172">
        <v>3.78546716428027</v>
      </c>
      <c r="F172">
        <v>5.27</v>
      </c>
      <c r="G172">
        <v>-1.4845328357197201</v>
      </c>
      <c r="H172">
        <v>1.3053335049242301</v>
      </c>
      <c r="I172">
        <v>1.51418686571211</v>
      </c>
      <c r="J172">
        <v>14.4636679107006</v>
      </c>
      <c r="K172" t="s">
        <v>290</v>
      </c>
      <c r="L172">
        <f>VLOOKUP($A172,Actual!$A:$D,4,FALSE)</f>
        <v>3</v>
      </c>
      <c r="M172">
        <f>VLOOKUP($A172,Actual!$A:$D,3,FALSE)</f>
        <v>3.3999999999999998E-3</v>
      </c>
      <c r="N172">
        <f>VLOOKUP(A172,NHT!B:F,5,FALSE)</f>
        <v>12.85</v>
      </c>
    </row>
    <row r="173" spans="1:14" x14ac:dyDescent="0.2">
      <c r="A173" t="s">
        <v>265</v>
      </c>
      <c r="B173" t="s">
        <v>301</v>
      </c>
      <c r="C173" t="s">
        <v>10</v>
      </c>
      <c r="D173">
        <v>2500</v>
      </c>
      <c r="E173">
        <v>3.4889488986272599</v>
      </c>
      <c r="F173">
        <v>5.7</v>
      </c>
      <c r="G173">
        <v>-2.2110511013727301</v>
      </c>
      <c r="H173">
        <v>1.3955795594509</v>
      </c>
      <c r="I173">
        <v>1.3955795594509</v>
      </c>
      <c r="J173">
        <v>13.722372246568099</v>
      </c>
      <c r="K173" t="s">
        <v>290</v>
      </c>
      <c r="L173">
        <f>VLOOKUP($A173,Actual!$A:$D,4,FALSE)</f>
        <v>2.6</v>
      </c>
      <c r="M173">
        <f>VLOOKUP($A173,Actual!$A:$D,3,FALSE)</f>
        <v>5.9999999999999995E-4</v>
      </c>
      <c r="N173">
        <f>VLOOKUP(A173,NHT!B:F,5,FALSE)</f>
        <v>10.883333333333001</v>
      </c>
    </row>
    <row r="174" spans="1:14" x14ac:dyDescent="0.2">
      <c r="A174" t="s">
        <v>314</v>
      </c>
      <c r="B174" t="s">
        <v>291</v>
      </c>
      <c r="C174" t="s">
        <v>10</v>
      </c>
      <c r="D174">
        <v>3300</v>
      </c>
      <c r="E174">
        <v>7.1602390935843099</v>
      </c>
      <c r="F174">
        <v>7.74</v>
      </c>
      <c r="G174">
        <v>-0.57976090641568401</v>
      </c>
      <c r="H174">
        <v>2.1697694222982702</v>
      </c>
      <c r="I174">
        <v>2.8640956374337199</v>
      </c>
      <c r="J174">
        <v>22.900597733960701</v>
      </c>
      <c r="K174" t="s">
        <v>290</v>
      </c>
      <c r="L174" t="e">
        <f>VLOOKUP($A174,Actual!$A:$D,4,FALSE)</f>
        <v>#N/A</v>
      </c>
      <c r="M174" t="e">
        <f>VLOOKUP($A174,Actual!$A:$D,3,FALSE)</f>
        <v>#N/A</v>
      </c>
      <c r="N174" t="e">
        <f>VLOOKUP(A174,NHT!B:F,5,FALSE)</f>
        <v>#N/A</v>
      </c>
    </row>
    <row r="175" spans="1:14" x14ac:dyDescent="0.2">
      <c r="A175" t="s">
        <v>332</v>
      </c>
      <c r="B175" t="s">
        <v>291</v>
      </c>
      <c r="C175" t="s">
        <v>10</v>
      </c>
      <c r="D175">
        <v>2500</v>
      </c>
      <c r="E175">
        <v>5.1571993162386303</v>
      </c>
      <c r="F175">
        <v>3.46</v>
      </c>
      <c r="G175">
        <v>1.6971993162386301</v>
      </c>
      <c r="H175">
        <v>2.0628797264954502</v>
      </c>
      <c r="I175">
        <v>2.0628797264954502</v>
      </c>
      <c r="J175">
        <v>17.892998290596498</v>
      </c>
      <c r="K175" t="s">
        <v>290</v>
      </c>
      <c r="L175" t="e">
        <f>VLOOKUP($A175,Actual!$A:$D,4,FALSE)</f>
        <v>#N/A</v>
      </c>
      <c r="M175" t="e">
        <f>VLOOKUP($A175,Actual!$A:$D,3,FALSE)</f>
        <v>#N/A</v>
      </c>
      <c r="N175" t="e">
        <f>VLOOKUP(A175,NHT!B:F,5,FALSE)</f>
        <v>#N/A</v>
      </c>
    </row>
    <row r="176" spans="1:14" x14ac:dyDescent="0.2">
      <c r="A176" t="s">
        <v>377</v>
      </c>
      <c r="B176" t="s">
        <v>291</v>
      </c>
      <c r="C176" t="s">
        <v>5</v>
      </c>
      <c r="D176">
        <v>2500</v>
      </c>
      <c r="E176">
        <v>2.6656278191151301</v>
      </c>
      <c r="F176">
        <v>4.59</v>
      </c>
      <c r="G176">
        <v>-1.92437218088486</v>
      </c>
      <c r="H176">
        <v>1.06625112764605</v>
      </c>
      <c r="I176">
        <v>1.06625112764605</v>
      </c>
      <c r="J176">
        <v>11.6640695477878</v>
      </c>
      <c r="K176" t="s">
        <v>290</v>
      </c>
      <c r="L176" t="e">
        <f>VLOOKUP($A176,Actual!$A:$D,4,FALSE)</f>
        <v>#N/A</v>
      </c>
      <c r="M176" t="e">
        <f>VLOOKUP($A176,Actual!$A:$D,3,FALSE)</f>
        <v>#N/A</v>
      </c>
      <c r="N176" t="e">
        <f>VLOOKUP(A176,NHT!B:F,5,FALSE)</f>
        <v>#N/A</v>
      </c>
    </row>
    <row r="177" spans="1:14" x14ac:dyDescent="0.2">
      <c r="A177" t="s">
        <v>380</v>
      </c>
      <c r="B177" t="s">
        <v>291</v>
      </c>
      <c r="C177" t="s">
        <v>5</v>
      </c>
      <c r="D177">
        <v>2500</v>
      </c>
      <c r="E177">
        <v>2.2508796917884699</v>
      </c>
      <c r="F177">
        <v>2.63</v>
      </c>
      <c r="G177">
        <v>-0.37912030821152598</v>
      </c>
      <c r="H177">
        <v>0.90035187671538897</v>
      </c>
      <c r="I177">
        <v>0.90035187671538897</v>
      </c>
      <c r="J177">
        <v>10.627199229471101</v>
      </c>
      <c r="K177" t="s">
        <v>290</v>
      </c>
      <c r="L177" t="e">
        <f>VLOOKUP($A177,Actual!$A:$D,4,FALSE)</f>
        <v>#N/A</v>
      </c>
      <c r="M177" t="e">
        <f>VLOOKUP($A177,Actual!$A:$D,3,FALSE)</f>
        <v>#N/A</v>
      </c>
      <c r="N177" t="e">
        <f>VLOOKUP(A177,NHT!B:F,5,FALSE)</f>
        <v>#N/A</v>
      </c>
    </row>
    <row r="178" spans="1:14" x14ac:dyDescent="0.2">
      <c r="A178" t="s">
        <v>17</v>
      </c>
      <c r="B178" t="s">
        <v>291</v>
      </c>
      <c r="C178" t="s">
        <v>13</v>
      </c>
      <c r="D178">
        <v>8100</v>
      </c>
      <c r="E178">
        <v>15.336802839463701</v>
      </c>
      <c r="F178">
        <v>12.83</v>
      </c>
      <c r="G178">
        <v>2.50680283946377</v>
      </c>
      <c r="H178">
        <v>1.89343244931651</v>
      </c>
      <c r="I178">
        <v>4.6010408518391301</v>
      </c>
      <c r="J178">
        <v>40.673605678927501</v>
      </c>
      <c r="K178" t="s">
        <v>384</v>
      </c>
      <c r="L178">
        <f>VLOOKUP($A178,Actual!$A:$D,4,FALSE)</f>
        <v>16.5</v>
      </c>
      <c r="M178">
        <f>VLOOKUP($A178,Actual!$A:$D,3,FALSE)</f>
        <v>0.1338</v>
      </c>
      <c r="N178" t="e">
        <f>VLOOKUP(A178,NHT!B:F,5,FALSE)</f>
        <v>#N/A</v>
      </c>
    </row>
    <row r="179" spans="1:14" x14ac:dyDescent="0.2">
      <c r="A179" t="s">
        <v>110</v>
      </c>
      <c r="B179" t="s">
        <v>291</v>
      </c>
      <c r="C179" t="s">
        <v>10</v>
      </c>
      <c r="D179">
        <v>5600</v>
      </c>
      <c r="E179">
        <v>7.5150127999836798</v>
      </c>
      <c r="F179">
        <v>11.2</v>
      </c>
      <c r="G179">
        <v>-3.6849872000163</v>
      </c>
      <c r="H179">
        <v>1.3419665714256499</v>
      </c>
      <c r="I179">
        <v>3.0060051199934699</v>
      </c>
      <c r="J179">
        <v>23.787531999959199</v>
      </c>
      <c r="K179" t="s">
        <v>290</v>
      </c>
      <c r="L179">
        <f>VLOOKUP($A179,Actual!$A:$D,4,FALSE)</f>
        <v>13.6</v>
      </c>
      <c r="M179">
        <f>VLOOKUP($A179,Actual!$A:$D,3,FALSE)</f>
        <v>2.8299999999999999E-2</v>
      </c>
      <c r="N179">
        <f>VLOOKUP(A179,NHT!B:F,5,FALSE)</f>
        <v>25.4</v>
      </c>
    </row>
    <row r="180" spans="1:14" x14ac:dyDescent="0.2">
      <c r="A180" t="s">
        <v>172</v>
      </c>
      <c r="B180" t="s">
        <v>291</v>
      </c>
      <c r="C180" t="s">
        <v>10</v>
      </c>
      <c r="D180">
        <v>2600</v>
      </c>
      <c r="E180">
        <v>6.8732053599757803</v>
      </c>
      <c r="F180">
        <v>4.82</v>
      </c>
      <c r="G180">
        <v>2.05320535997578</v>
      </c>
      <c r="H180">
        <v>2.6435405230676099</v>
      </c>
      <c r="I180">
        <v>2.7492821439903099</v>
      </c>
      <c r="J180">
        <v>22.183013399939401</v>
      </c>
      <c r="K180" t="s">
        <v>290</v>
      </c>
      <c r="L180">
        <f>VLOOKUP($A180,Actual!$A:$D,4,FALSE)</f>
        <v>8.4</v>
      </c>
      <c r="M180">
        <f>VLOOKUP($A180,Actual!$A:$D,3,FALSE)</f>
        <v>1.2500000000000001E-2</v>
      </c>
      <c r="N180">
        <f>VLOOKUP(A180,NHT!B:F,5,FALSE)</f>
        <v>21.25</v>
      </c>
    </row>
    <row r="181" spans="1:14" x14ac:dyDescent="0.2">
      <c r="A181" t="s">
        <v>34</v>
      </c>
      <c r="B181" t="s">
        <v>291</v>
      </c>
      <c r="C181" t="s">
        <v>292</v>
      </c>
      <c r="D181">
        <v>9100</v>
      </c>
      <c r="E181">
        <v>16.918642448543601</v>
      </c>
      <c r="F181">
        <v>14.19</v>
      </c>
      <c r="G181">
        <v>2.7286424485436802</v>
      </c>
      <c r="H181">
        <v>1.8591914778619401</v>
      </c>
      <c r="I181">
        <v>6.7674569794174699</v>
      </c>
      <c r="J181">
        <v>47.296606121359197</v>
      </c>
      <c r="K181" t="s">
        <v>290</v>
      </c>
      <c r="L181">
        <f>VLOOKUP($A181,Actual!$A:$D,4,FALSE)</f>
        <v>40</v>
      </c>
      <c r="M181">
        <f>VLOOKUP($A181,Actual!$A:$D,3,FALSE)</f>
        <v>9.4700000000000006E-2</v>
      </c>
      <c r="N181">
        <f>VLOOKUP(A181,NHT!B:F,5,FALSE)</f>
        <v>25.633333333332999</v>
      </c>
    </row>
    <row r="182" spans="1:14" x14ac:dyDescent="0.2">
      <c r="A182" t="s">
        <v>41</v>
      </c>
      <c r="B182" t="s">
        <v>291</v>
      </c>
      <c r="C182" t="s">
        <v>294</v>
      </c>
      <c r="D182">
        <v>5300</v>
      </c>
      <c r="E182">
        <v>7.4519703061403701</v>
      </c>
      <c r="F182">
        <v>8.84</v>
      </c>
      <c r="G182">
        <v>-1.3880296938596199</v>
      </c>
      <c r="H182">
        <v>1.40603213323403</v>
      </c>
      <c r="I182">
        <v>2.9807881224561399</v>
      </c>
      <c r="J182">
        <v>23.629925765350901</v>
      </c>
      <c r="K182" t="s">
        <v>290</v>
      </c>
      <c r="L182">
        <f>VLOOKUP($A182,Actual!$A:$D,4,FALSE)</f>
        <v>19</v>
      </c>
      <c r="M182">
        <f>VLOOKUP($A182,Actual!$A:$D,3,FALSE)</f>
        <v>7.4800000000000005E-2</v>
      </c>
      <c r="N182">
        <f>VLOOKUP(A182,NHT!B:F,5,FALSE)</f>
        <v>22.416666666666998</v>
      </c>
    </row>
    <row r="183" spans="1:14" x14ac:dyDescent="0.2">
      <c r="A183" t="s">
        <v>160</v>
      </c>
      <c r="B183" t="s">
        <v>291</v>
      </c>
      <c r="C183" t="s">
        <v>10</v>
      </c>
      <c r="D183">
        <v>3500</v>
      </c>
      <c r="E183">
        <v>8.0516753474463894</v>
      </c>
      <c r="F183">
        <v>6.88</v>
      </c>
      <c r="G183">
        <v>1.1716753474463899</v>
      </c>
      <c r="H183">
        <v>2.3004786706989599</v>
      </c>
      <c r="I183">
        <v>3.2206701389785501</v>
      </c>
      <c r="J183">
        <v>25.1291883686159</v>
      </c>
      <c r="K183" t="s">
        <v>290</v>
      </c>
      <c r="L183">
        <f>VLOOKUP($A183,Actual!$A:$D,4,FALSE)</f>
        <v>1.3</v>
      </c>
      <c r="M183">
        <f>VLOOKUP($A183,Actual!$A:$D,3,FALSE)</f>
        <v>1.5900000000000001E-2</v>
      </c>
      <c r="N183">
        <f>VLOOKUP(A183,NHT!B:F,5,FALSE)</f>
        <v>20.633333333332999</v>
      </c>
    </row>
    <row r="184" spans="1:14" x14ac:dyDescent="0.2">
      <c r="A184" t="s">
        <v>33</v>
      </c>
      <c r="B184" t="s">
        <v>291</v>
      </c>
      <c r="C184" t="s">
        <v>294</v>
      </c>
      <c r="D184">
        <v>5000</v>
      </c>
      <c r="E184">
        <v>9.7512786345167406</v>
      </c>
      <c r="F184">
        <v>8.7899999999999991</v>
      </c>
      <c r="G184">
        <v>0.961278634516748</v>
      </c>
      <c r="H184">
        <v>1.95025572690334</v>
      </c>
      <c r="I184">
        <v>3.9005114538066898</v>
      </c>
      <c r="J184">
        <v>29.3781965862918</v>
      </c>
      <c r="K184" t="s">
        <v>290</v>
      </c>
      <c r="L184">
        <f>VLOOKUP($A184,Actual!$A:$D,4,FALSE)</f>
        <v>28</v>
      </c>
      <c r="M184">
        <f>VLOOKUP($A184,Actual!$A:$D,3,FALSE)</f>
        <v>9.98E-2</v>
      </c>
      <c r="N184">
        <f>VLOOKUP(A184,NHT!B:F,5,FALSE)</f>
        <v>23.016666666667</v>
      </c>
    </row>
    <row r="185" spans="1:14" x14ac:dyDescent="0.2">
      <c r="A185" t="s">
        <v>86</v>
      </c>
      <c r="B185" t="s">
        <v>291</v>
      </c>
      <c r="C185" t="s">
        <v>5</v>
      </c>
      <c r="D185">
        <v>5800</v>
      </c>
      <c r="E185">
        <v>10.786009062002501</v>
      </c>
      <c r="F185">
        <v>10.06</v>
      </c>
      <c r="G185">
        <v>0.72600906200259596</v>
      </c>
      <c r="H185">
        <v>1.85965673482803</v>
      </c>
      <c r="I185">
        <v>4.31440362480103</v>
      </c>
      <c r="J185">
        <v>31.9650226550064</v>
      </c>
      <c r="K185" t="s">
        <v>290</v>
      </c>
      <c r="L185">
        <f>VLOOKUP($A185,Actual!$A:$D,4,FALSE)</f>
        <v>11.8</v>
      </c>
      <c r="M185">
        <f>VLOOKUP($A185,Actual!$A:$D,3,FALSE)</f>
        <v>3.6299999999999999E-2</v>
      </c>
      <c r="N185">
        <f>VLOOKUP(A185,NHT!B:F,5,FALSE)</f>
        <v>19.816666666667</v>
      </c>
    </row>
    <row r="186" spans="1:14" x14ac:dyDescent="0.2">
      <c r="A186" t="s">
        <v>194</v>
      </c>
      <c r="B186" t="s">
        <v>291</v>
      </c>
      <c r="C186" t="s">
        <v>292</v>
      </c>
      <c r="D186">
        <v>3000</v>
      </c>
      <c r="E186">
        <v>6.6710097490508602</v>
      </c>
      <c r="F186">
        <v>7.32</v>
      </c>
      <c r="G186">
        <v>-0.64899025094913199</v>
      </c>
      <c r="H186">
        <v>2.2236699163502802</v>
      </c>
      <c r="I186">
        <v>2.6684038996203401</v>
      </c>
      <c r="J186">
        <v>21.677524372627101</v>
      </c>
      <c r="K186" t="s">
        <v>290</v>
      </c>
      <c r="L186">
        <f>VLOOKUP($A186,Actual!$A:$D,4,FALSE)</f>
        <v>4.3</v>
      </c>
      <c r="M186">
        <f>VLOOKUP($A186,Actual!$A:$D,3,FALSE)</f>
        <v>7.9000000000000008E-3</v>
      </c>
      <c r="N186">
        <f>VLOOKUP(A186,NHT!B:F,5,FALSE)</f>
        <v>16.566666666667</v>
      </c>
    </row>
    <row r="187" spans="1:14" x14ac:dyDescent="0.2">
      <c r="A187" t="s">
        <v>209</v>
      </c>
      <c r="B187" t="s">
        <v>291</v>
      </c>
      <c r="C187" t="s">
        <v>292</v>
      </c>
      <c r="D187">
        <v>3000</v>
      </c>
      <c r="E187">
        <v>5.2758924078701499</v>
      </c>
      <c r="F187">
        <v>5.0999999999999996</v>
      </c>
      <c r="G187">
        <v>0.17589240787015201</v>
      </c>
      <c r="H187">
        <v>1.7586308026233799</v>
      </c>
      <c r="I187">
        <v>2.1103569631480599</v>
      </c>
      <c r="J187">
        <v>18.1897310196753</v>
      </c>
      <c r="K187" t="s">
        <v>290</v>
      </c>
      <c r="L187">
        <f>VLOOKUP($A187,Actual!$A:$D,4,FALSE)</f>
        <v>3</v>
      </c>
      <c r="M187">
        <f>VLOOKUP($A187,Actual!$A:$D,3,FALSE)</f>
        <v>5.1000000000000004E-3</v>
      </c>
      <c r="N187">
        <f>VLOOKUP(A187,NHT!B:F,5,FALSE)</f>
        <v>10.9</v>
      </c>
    </row>
    <row r="188" spans="1:14" x14ac:dyDescent="0.2">
      <c r="A188" t="s">
        <v>227</v>
      </c>
      <c r="B188" t="s">
        <v>291</v>
      </c>
      <c r="C188" t="s">
        <v>5</v>
      </c>
      <c r="D188">
        <v>2800</v>
      </c>
      <c r="E188">
        <v>3.9789194394477798</v>
      </c>
      <c r="F188">
        <v>3.97</v>
      </c>
      <c r="G188">
        <v>8.9194394477876103E-3</v>
      </c>
      <c r="H188">
        <v>1.42104265694563</v>
      </c>
      <c r="I188">
        <v>1.59156777577911</v>
      </c>
      <c r="J188">
        <v>14.947298598619399</v>
      </c>
      <c r="K188" t="s">
        <v>290</v>
      </c>
      <c r="L188">
        <f>VLOOKUP($A188,Actual!$A:$D,4,FALSE)</f>
        <v>0</v>
      </c>
      <c r="M188">
        <f>VLOOKUP($A188,Actual!$A:$D,3,FALSE)</f>
        <v>2.8E-3</v>
      </c>
      <c r="N188">
        <f>VLOOKUP(A188,NHT!B:F,5,FALSE)</f>
        <v>9.5</v>
      </c>
    </row>
    <row r="189" spans="1:14" x14ac:dyDescent="0.2">
      <c r="A189" t="s">
        <v>329</v>
      </c>
      <c r="B189" t="s">
        <v>304</v>
      </c>
      <c r="C189" t="s">
        <v>5</v>
      </c>
      <c r="D189">
        <v>2500</v>
      </c>
      <c r="E189">
        <v>5.4959409574016203</v>
      </c>
      <c r="F189">
        <v>7.44</v>
      </c>
      <c r="G189">
        <v>-1.9440590425983699</v>
      </c>
      <c r="H189">
        <v>2.1983763829606402</v>
      </c>
      <c r="I189">
        <v>2.1983763829606402</v>
      </c>
      <c r="J189">
        <v>18.739852393503998</v>
      </c>
      <c r="K189" t="s">
        <v>290</v>
      </c>
      <c r="L189" t="e">
        <f>VLOOKUP($A189,Actual!$A:$D,4,FALSE)</f>
        <v>#N/A</v>
      </c>
      <c r="M189" t="e">
        <f>VLOOKUP($A189,Actual!$A:$D,3,FALSE)</f>
        <v>#N/A</v>
      </c>
      <c r="N189" t="e">
        <f>VLOOKUP(A189,NHT!B:F,5,FALSE)</f>
        <v>#N/A</v>
      </c>
    </row>
    <row r="190" spans="1:14" x14ac:dyDescent="0.2">
      <c r="A190" t="s">
        <v>343</v>
      </c>
      <c r="B190" t="s">
        <v>304</v>
      </c>
      <c r="C190" t="s">
        <v>10</v>
      </c>
      <c r="D190">
        <v>2500</v>
      </c>
      <c r="E190">
        <v>4.5016691873445502</v>
      </c>
      <c r="F190">
        <v>2.42</v>
      </c>
      <c r="G190">
        <v>2.0816691873445499</v>
      </c>
      <c r="H190">
        <v>1.8006676749378201</v>
      </c>
      <c r="I190">
        <v>1.8006676749378201</v>
      </c>
      <c r="J190">
        <v>16.254172968361299</v>
      </c>
      <c r="K190" t="s">
        <v>290</v>
      </c>
      <c r="L190" t="e">
        <f>VLOOKUP($A190,Actual!$A:$D,4,FALSE)</f>
        <v>#N/A</v>
      </c>
      <c r="M190" t="e">
        <f>VLOOKUP($A190,Actual!$A:$D,3,FALSE)</f>
        <v>#N/A</v>
      </c>
      <c r="N190" t="e">
        <f>VLOOKUP(A190,NHT!B:F,5,FALSE)</f>
        <v>#N/A</v>
      </c>
    </row>
    <row r="191" spans="1:14" x14ac:dyDescent="0.2">
      <c r="A191" t="s">
        <v>352</v>
      </c>
      <c r="B191" t="s">
        <v>304</v>
      </c>
      <c r="C191" t="s">
        <v>294</v>
      </c>
      <c r="D191">
        <v>2500</v>
      </c>
      <c r="E191">
        <v>4.1433456249926</v>
      </c>
      <c r="F191">
        <v>1</v>
      </c>
      <c r="G191">
        <v>3.1433456249926</v>
      </c>
      <c r="H191">
        <v>1.6573382499970399</v>
      </c>
      <c r="I191">
        <v>1.6573382499970399</v>
      </c>
      <c r="J191">
        <v>15.358364062481501</v>
      </c>
      <c r="K191" t="s">
        <v>290</v>
      </c>
      <c r="L191" t="e">
        <f>VLOOKUP($A191,Actual!$A:$D,4,FALSE)</f>
        <v>#N/A</v>
      </c>
      <c r="M191" t="e">
        <f>VLOOKUP($A191,Actual!$A:$D,3,FALSE)</f>
        <v>#N/A</v>
      </c>
      <c r="N191" t="e">
        <f>VLOOKUP(A191,NHT!B:F,5,FALSE)</f>
        <v>#N/A</v>
      </c>
    </row>
    <row r="192" spans="1:14" x14ac:dyDescent="0.2">
      <c r="A192" t="s">
        <v>378</v>
      </c>
      <c r="B192" t="s">
        <v>304</v>
      </c>
      <c r="C192" t="s">
        <v>5</v>
      </c>
      <c r="D192">
        <v>2500</v>
      </c>
      <c r="E192">
        <v>2.54201786956023</v>
      </c>
      <c r="F192">
        <v>2.36</v>
      </c>
      <c r="G192">
        <v>0.18201786956023</v>
      </c>
      <c r="H192">
        <v>1.0168071478240901</v>
      </c>
      <c r="I192">
        <v>1.0168071478240901</v>
      </c>
      <c r="J192">
        <v>11.355044673900499</v>
      </c>
      <c r="K192" t="s">
        <v>290</v>
      </c>
      <c r="L192" t="e">
        <f>VLOOKUP($A192,Actual!$A:$D,4,FALSE)</f>
        <v>#N/A</v>
      </c>
      <c r="M192" t="e">
        <f>VLOOKUP($A192,Actual!$A:$D,3,FALSE)</f>
        <v>#N/A</v>
      </c>
      <c r="N192" t="e">
        <f>VLOOKUP(A192,NHT!B:F,5,FALSE)</f>
        <v>#N/A</v>
      </c>
    </row>
    <row r="193" spans="1:14" x14ac:dyDescent="0.2">
      <c r="A193" t="s">
        <v>386</v>
      </c>
      <c r="B193" t="s">
        <v>304</v>
      </c>
      <c r="C193" t="s">
        <v>13</v>
      </c>
      <c r="D193">
        <v>8200</v>
      </c>
      <c r="E193">
        <v>14.303022792895501</v>
      </c>
      <c r="F193">
        <v>10.06</v>
      </c>
      <c r="G193">
        <v>4.2430227928955198</v>
      </c>
      <c r="H193">
        <v>1.74427107230433</v>
      </c>
      <c r="I193">
        <v>4.2909068378686497</v>
      </c>
      <c r="J193">
        <v>38.606045585791001</v>
      </c>
      <c r="K193" t="s">
        <v>384</v>
      </c>
      <c r="L193" t="e">
        <f>VLOOKUP($A193,Actual!$A:$D,4,FALSE)</f>
        <v>#N/A</v>
      </c>
      <c r="M193" t="e">
        <f>VLOOKUP($A193,Actual!$A:$D,3,FALSE)</f>
        <v>#N/A</v>
      </c>
      <c r="N193" t="e">
        <f>VLOOKUP(A193,NHT!B:F,5,FALSE)</f>
        <v>#N/A</v>
      </c>
    </row>
    <row r="194" spans="1:14" x14ac:dyDescent="0.2">
      <c r="A194" t="s">
        <v>65</v>
      </c>
      <c r="B194" t="s">
        <v>304</v>
      </c>
      <c r="C194" t="s">
        <v>10</v>
      </c>
      <c r="D194">
        <v>3700</v>
      </c>
      <c r="E194">
        <v>8.0108709662140107</v>
      </c>
      <c r="F194">
        <v>8.64</v>
      </c>
      <c r="G194">
        <v>-0.62912903378598395</v>
      </c>
      <c r="H194">
        <v>2.1651002611389201</v>
      </c>
      <c r="I194">
        <v>3.2043483864855999</v>
      </c>
      <c r="J194">
        <v>25.027177415535</v>
      </c>
      <c r="K194" t="s">
        <v>290</v>
      </c>
      <c r="L194">
        <f>VLOOKUP($A194,Actual!$A:$D,4,FALSE)</f>
        <v>16.8</v>
      </c>
      <c r="M194">
        <f>VLOOKUP($A194,Actual!$A:$D,3,FALSE)</f>
        <v>4.99E-2</v>
      </c>
      <c r="N194">
        <f>VLOOKUP(A194,NHT!B:F,5,FALSE)</f>
        <v>23.883333333332999</v>
      </c>
    </row>
    <row r="195" spans="1:14" x14ac:dyDescent="0.2">
      <c r="A195" t="s">
        <v>28</v>
      </c>
      <c r="B195" t="s">
        <v>304</v>
      </c>
      <c r="C195" t="s">
        <v>10</v>
      </c>
      <c r="D195">
        <v>5700</v>
      </c>
      <c r="E195">
        <v>8.6505623497145301</v>
      </c>
      <c r="F195">
        <v>11.44</v>
      </c>
      <c r="G195">
        <v>-2.7894376502854601</v>
      </c>
      <c r="H195">
        <v>1.51764251749377</v>
      </c>
      <c r="I195">
        <v>3.4602249398858098</v>
      </c>
      <c r="J195">
        <v>26.626405874286299</v>
      </c>
      <c r="K195" t="s">
        <v>290</v>
      </c>
      <c r="L195">
        <f>VLOOKUP($A195,Actual!$A:$D,4,FALSE)</f>
        <v>6</v>
      </c>
      <c r="M195">
        <f>VLOOKUP($A195,Actual!$A:$D,3,FALSE)</f>
        <v>0.1094</v>
      </c>
      <c r="N195">
        <f>VLOOKUP(A195,NHT!B:F,5,FALSE)</f>
        <v>24.233333333333</v>
      </c>
    </row>
    <row r="196" spans="1:14" x14ac:dyDescent="0.2">
      <c r="A196" t="s">
        <v>18</v>
      </c>
      <c r="B196" t="s">
        <v>304</v>
      </c>
      <c r="C196" t="s">
        <v>5</v>
      </c>
      <c r="D196">
        <v>6300</v>
      </c>
      <c r="E196">
        <v>11.6604837490394</v>
      </c>
      <c r="F196">
        <v>11.33</v>
      </c>
      <c r="G196">
        <v>0.33048374903947397</v>
      </c>
      <c r="H196">
        <v>1.85087043635547</v>
      </c>
      <c r="I196">
        <v>4.6641934996157897</v>
      </c>
      <c r="J196">
        <v>34.151209372598601</v>
      </c>
      <c r="K196" t="s">
        <v>290</v>
      </c>
      <c r="L196">
        <f>VLOOKUP($A196,Actual!$A:$D,4,FALSE)</f>
        <v>19.3</v>
      </c>
      <c r="M196">
        <f>VLOOKUP($A196,Actual!$A:$D,3,FALSE)</f>
        <v>0.1321</v>
      </c>
      <c r="N196">
        <f>VLOOKUP(A196,NHT!B:F,5,FALSE)</f>
        <v>20.233333333333</v>
      </c>
    </row>
    <row r="197" spans="1:14" x14ac:dyDescent="0.2">
      <c r="A197" t="s">
        <v>11</v>
      </c>
      <c r="B197" t="s">
        <v>304</v>
      </c>
      <c r="C197" t="s">
        <v>294</v>
      </c>
      <c r="D197">
        <v>6100</v>
      </c>
      <c r="E197">
        <v>12.3224412953578</v>
      </c>
      <c r="F197">
        <v>12.12</v>
      </c>
      <c r="G197">
        <v>0.202441295357838</v>
      </c>
      <c r="H197">
        <v>2.0200723435012802</v>
      </c>
      <c r="I197">
        <v>4.9289765181431298</v>
      </c>
      <c r="J197">
        <v>35.806103238394499</v>
      </c>
      <c r="K197" t="s">
        <v>290</v>
      </c>
      <c r="L197">
        <f>VLOOKUP($A197,Actual!$A:$D,4,FALSE)</f>
        <v>11.5</v>
      </c>
      <c r="M197">
        <f>VLOOKUP($A197,Actual!$A:$D,3,FALSE)</f>
        <v>0.182</v>
      </c>
      <c r="N197">
        <f>VLOOKUP(A197,NHT!B:F,5,FALSE)</f>
        <v>17.933333333333</v>
      </c>
    </row>
    <row r="198" spans="1:14" x14ac:dyDescent="0.2">
      <c r="A198" t="s">
        <v>32</v>
      </c>
      <c r="B198" t="s">
        <v>304</v>
      </c>
      <c r="C198" t="s">
        <v>5</v>
      </c>
      <c r="D198">
        <v>3200</v>
      </c>
      <c r="E198">
        <v>5.89191777080688</v>
      </c>
      <c r="F198">
        <v>7.37</v>
      </c>
      <c r="G198">
        <v>-1.4780822291931099</v>
      </c>
      <c r="H198">
        <v>1.84122430337715</v>
      </c>
      <c r="I198">
        <v>2.3567671083227499</v>
      </c>
      <c r="J198">
        <v>19.7297944270172</v>
      </c>
      <c r="K198" t="s">
        <v>290</v>
      </c>
      <c r="L198">
        <f>VLOOKUP($A198,Actual!$A:$D,4,FALSE)</f>
        <v>1.3</v>
      </c>
      <c r="M198">
        <f>VLOOKUP($A198,Actual!$A:$D,3,FALSE)</f>
        <v>0.1003</v>
      </c>
      <c r="N198">
        <f>VLOOKUP(A198,NHT!B:F,5,FALSE)</f>
        <v>15.416666666667</v>
      </c>
    </row>
    <row r="199" spans="1:14" x14ac:dyDescent="0.2">
      <c r="A199" t="s">
        <v>191</v>
      </c>
      <c r="B199" t="s">
        <v>304</v>
      </c>
      <c r="C199" t="s">
        <v>294</v>
      </c>
      <c r="D199">
        <v>2500</v>
      </c>
      <c r="E199">
        <v>5.4289802899975097</v>
      </c>
      <c r="F199">
        <v>5.81</v>
      </c>
      <c r="G199">
        <v>-0.38101971000248203</v>
      </c>
      <c r="H199">
        <v>2.1715921159990001</v>
      </c>
      <c r="I199">
        <v>2.1715921159990001</v>
      </c>
      <c r="J199">
        <v>18.572450724993701</v>
      </c>
      <c r="K199" t="s">
        <v>290</v>
      </c>
      <c r="L199">
        <f>VLOOKUP($A199,Actual!$A:$D,4,FALSE)</f>
        <v>3</v>
      </c>
      <c r="M199">
        <f>VLOOKUP($A199,Actual!$A:$D,3,FALSE)</f>
        <v>8.5000000000000006E-3</v>
      </c>
      <c r="N199">
        <f>VLOOKUP(A199,NHT!B:F,5,FALSE)</f>
        <v>13.35</v>
      </c>
    </row>
    <row r="200" spans="1:14" x14ac:dyDescent="0.2">
      <c r="A200" t="s">
        <v>190</v>
      </c>
      <c r="B200" t="s">
        <v>304</v>
      </c>
      <c r="C200" t="s">
        <v>10</v>
      </c>
      <c r="D200">
        <v>2700</v>
      </c>
      <c r="E200">
        <v>6.6728611842589398</v>
      </c>
      <c r="F200">
        <v>5.0999999999999996</v>
      </c>
      <c r="G200">
        <v>1.5728611842589399</v>
      </c>
      <c r="H200">
        <v>2.4714300682440502</v>
      </c>
      <c r="I200">
        <v>2.6691444737035699</v>
      </c>
      <c r="J200">
        <v>21.682152960647301</v>
      </c>
      <c r="K200" t="s">
        <v>290</v>
      </c>
      <c r="L200">
        <f>VLOOKUP($A200,Actual!$A:$D,4,FALSE)</f>
        <v>2.6</v>
      </c>
      <c r="M200">
        <f>VLOOKUP($A200,Actual!$A:$D,3,FALSE)</f>
        <v>8.5000000000000006E-3</v>
      </c>
      <c r="N200">
        <f>VLOOKUP(A200,NHT!B:F,5,FALSE)</f>
        <v>14.283333333332999</v>
      </c>
    </row>
    <row r="201" spans="1:14" x14ac:dyDescent="0.2">
      <c r="A201" t="s">
        <v>67</v>
      </c>
      <c r="B201" t="s">
        <v>304</v>
      </c>
      <c r="C201" t="s">
        <v>5</v>
      </c>
      <c r="D201">
        <v>4200</v>
      </c>
      <c r="E201">
        <v>2.77566366536499</v>
      </c>
      <c r="F201">
        <v>8.3800000000000008</v>
      </c>
      <c r="G201">
        <v>-5.6043363346349997</v>
      </c>
      <c r="H201">
        <v>0.66087230127737795</v>
      </c>
      <c r="I201">
        <v>1.1102654661459901</v>
      </c>
      <c r="J201">
        <v>11.9391591634124</v>
      </c>
      <c r="K201" t="s">
        <v>290</v>
      </c>
      <c r="L201">
        <f>VLOOKUP($A201,Actual!$A:$D,4,FALSE)</f>
        <v>9.9</v>
      </c>
      <c r="M201">
        <f>VLOOKUP($A201,Actual!$A:$D,3,FALSE)</f>
        <v>4.7600000000000003E-2</v>
      </c>
      <c r="N201">
        <f>VLOOKUP(A201,NHT!B:F,5,FALSE)</f>
        <v>15.9</v>
      </c>
    </row>
    <row r="202" spans="1:14" x14ac:dyDescent="0.2">
      <c r="A202" t="s">
        <v>180</v>
      </c>
      <c r="B202" t="s">
        <v>304</v>
      </c>
      <c r="C202" t="s">
        <v>294</v>
      </c>
      <c r="D202">
        <v>2500</v>
      </c>
      <c r="E202">
        <v>7.2623571583940203</v>
      </c>
      <c r="F202">
        <v>4.74</v>
      </c>
      <c r="G202">
        <v>2.5223571583940201</v>
      </c>
      <c r="H202">
        <v>2.9049428633576002</v>
      </c>
      <c r="I202">
        <v>2.9049428633576002</v>
      </c>
      <c r="J202">
        <v>23.155892895985001</v>
      </c>
      <c r="K202" t="s">
        <v>290</v>
      </c>
      <c r="L202">
        <f>VLOOKUP($A202,Actual!$A:$D,4,FALSE)</f>
        <v>4.5</v>
      </c>
      <c r="M202">
        <f>VLOOKUP($A202,Actual!$A:$D,3,FALSE)</f>
        <v>1.0200000000000001E-2</v>
      </c>
      <c r="N202">
        <f>VLOOKUP(A202,NHT!B:F,5,FALSE)</f>
        <v>13.15</v>
      </c>
    </row>
    <row r="203" spans="1:14" x14ac:dyDescent="0.2">
      <c r="A203" t="s">
        <v>243</v>
      </c>
      <c r="B203" t="s">
        <v>304</v>
      </c>
      <c r="C203" t="s">
        <v>10</v>
      </c>
      <c r="D203">
        <v>2500</v>
      </c>
      <c r="E203">
        <v>5.0855508146927599</v>
      </c>
      <c r="F203">
        <v>1.99</v>
      </c>
      <c r="G203">
        <v>3.0955508146927602</v>
      </c>
      <c r="H203">
        <v>2.0342203258770999</v>
      </c>
      <c r="I203">
        <v>2.0342203258770999</v>
      </c>
      <c r="J203">
        <v>17.713877036731901</v>
      </c>
      <c r="K203" t="s">
        <v>290</v>
      </c>
      <c r="L203">
        <f>VLOOKUP($A203,Actual!$A:$D,4,FALSE)</f>
        <v>0</v>
      </c>
      <c r="M203">
        <f>VLOOKUP($A203,Actual!$A:$D,3,FALSE)</f>
        <v>1.6999999999999999E-3</v>
      </c>
      <c r="N203">
        <f>VLOOKUP(A203,NHT!B:F,5,FALSE)</f>
        <v>9.1</v>
      </c>
    </row>
    <row r="204" spans="1:14" x14ac:dyDescent="0.2">
      <c r="A204" t="s">
        <v>244</v>
      </c>
      <c r="B204" t="s">
        <v>304</v>
      </c>
      <c r="C204" t="s">
        <v>5</v>
      </c>
      <c r="D204">
        <v>2500</v>
      </c>
      <c r="E204">
        <v>5.3237708317406502</v>
      </c>
      <c r="F204">
        <v>4.57</v>
      </c>
      <c r="G204">
        <v>0.75377083174065196</v>
      </c>
      <c r="H204">
        <v>2.1295083326962598</v>
      </c>
      <c r="I204">
        <v>2.1295083326962598</v>
      </c>
      <c r="J204">
        <v>18.3094270793516</v>
      </c>
      <c r="K204" t="s">
        <v>290</v>
      </c>
      <c r="L204">
        <f>VLOOKUP($A204,Actual!$A:$D,4,FALSE)</f>
        <v>3</v>
      </c>
      <c r="M204">
        <f>VLOOKUP($A204,Actual!$A:$D,3,FALSE)</f>
        <v>1.6999999999999999E-3</v>
      </c>
      <c r="N204">
        <f>VLOOKUP(A204,NHT!B:F,5,FALSE)</f>
        <v>11.416666666667</v>
      </c>
    </row>
    <row r="205" spans="1:14" x14ac:dyDescent="0.2">
      <c r="A205" t="s">
        <v>317</v>
      </c>
      <c r="B205" t="s">
        <v>300</v>
      </c>
      <c r="C205" t="s">
        <v>10</v>
      </c>
      <c r="D205">
        <v>2500</v>
      </c>
      <c r="E205">
        <v>6.1853564874389901</v>
      </c>
      <c r="F205">
        <v>3.74</v>
      </c>
      <c r="G205">
        <v>2.4453564874389899</v>
      </c>
      <c r="H205">
        <v>2.4741425949755902</v>
      </c>
      <c r="I205">
        <v>2.4741425949756</v>
      </c>
      <c r="J205">
        <v>20.463391218597401</v>
      </c>
      <c r="K205" t="s">
        <v>290</v>
      </c>
      <c r="L205" t="e">
        <f>VLOOKUP($A205,Actual!$A:$D,4,FALSE)</f>
        <v>#N/A</v>
      </c>
      <c r="M205" t="e">
        <f>VLOOKUP($A205,Actual!$A:$D,3,FALSE)</f>
        <v>#N/A</v>
      </c>
      <c r="N205" t="e">
        <f>VLOOKUP(A205,NHT!B:F,5,FALSE)</f>
        <v>#N/A</v>
      </c>
    </row>
    <row r="206" spans="1:14" x14ac:dyDescent="0.2">
      <c r="A206" t="s">
        <v>344</v>
      </c>
      <c r="B206" t="s">
        <v>300</v>
      </c>
      <c r="C206" t="s">
        <v>5</v>
      </c>
      <c r="D206">
        <v>2500</v>
      </c>
      <c r="E206">
        <v>4.4839082123987497</v>
      </c>
      <c r="F206">
        <v>3.53</v>
      </c>
      <c r="G206">
        <v>0.95390821239875501</v>
      </c>
      <c r="H206">
        <v>1.7935632849595</v>
      </c>
      <c r="I206">
        <v>1.7935632849595</v>
      </c>
      <c r="J206">
        <v>16.209770530996799</v>
      </c>
      <c r="K206" t="s">
        <v>290</v>
      </c>
      <c r="L206" t="e">
        <f>VLOOKUP($A206,Actual!$A:$D,4,FALSE)</f>
        <v>#N/A</v>
      </c>
      <c r="M206" t="e">
        <f>VLOOKUP($A206,Actual!$A:$D,3,FALSE)</f>
        <v>#N/A</v>
      </c>
      <c r="N206" t="e">
        <f>VLOOKUP(A206,NHT!B:F,5,FALSE)</f>
        <v>#N/A</v>
      </c>
    </row>
    <row r="207" spans="1:14" x14ac:dyDescent="0.2">
      <c r="A207" t="s">
        <v>68</v>
      </c>
      <c r="B207" t="s">
        <v>300</v>
      </c>
      <c r="C207" t="s">
        <v>13</v>
      </c>
      <c r="D207">
        <v>7900</v>
      </c>
      <c r="E207">
        <v>11.3192594598138</v>
      </c>
      <c r="F207">
        <v>11</v>
      </c>
      <c r="G207">
        <v>0.319259459813862</v>
      </c>
      <c r="H207">
        <v>1.43281765314099</v>
      </c>
      <c r="I207">
        <v>3.3957778379441499</v>
      </c>
      <c r="J207">
        <v>32.6385189196277</v>
      </c>
      <c r="K207" t="s">
        <v>384</v>
      </c>
      <c r="L207">
        <f>VLOOKUP($A207,Actual!$A:$D,4,FALSE)</f>
        <v>11.6</v>
      </c>
      <c r="M207">
        <f>VLOOKUP($A207,Actual!$A:$D,3,FALSE)</f>
        <v>4.7100000000000003E-2</v>
      </c>
      <c r="N207" t="e">
        <f>VLOOKUP(A207,NHT!B:F,5,FALSE)</f>
        <v>#N/A</v>
      </c>
    </row>
    <row r="208" spans="1:14" x14ac:dyDescent="0.2">
      <c r="A208" t="s">
        <v>37</v>
      </c>
      <c r="B208" t="s">
        <v>300</v>
      </c>
      <c r="C208" t="s">
        <v>10</v>
      </c>
      <c r="D208">
        <v>6500</v>
      </c>
      <c r="E208">
        <v>12.1662325053685</v>
      </c>
      <c r="F208">
        <v>11.22</v>
      </c>
      <c r="G208">
        <v>0.94623250536853398</v>
      </c>
      <c r="H208">
        <v>1.871728077749</v>
      </c>
      <c r="I208">
        <v>4.8664930021474104</v>
      </c>
      <c r="J208">
        <v>35.415581263421302</v>
      </c>
      <c r="K208" t="s">
        <v>290</v>
      </c>
      <c r="L208">
        <f>VLOOKUP($A208,Actual!$A:$D,4,FALSE)</f>
        <v>12.3</v>
      </c>
      <c r="M208">
        <f>VLOOKUP($A208,Actual!$A:$D,3,FALSE)</f>
        <v>8.8999999999999996E-2</v>
      </c>
      <c r="N208">
        <f>VLOOKUP(A208,NHT!B:F,5,FALSE)</f>
        <v>29.1</v>
      </c>
    </row>
    <row r="209" spans="1:14" x14ac:dyDescent="0.2">
      <c r="A209" t="s">
        <v>97</v>
      </c>
      <c r="B209" t="s">
        <v>300</v>
      </c>
      <c r="C209" t="s">
        <v>10</v>
      </c>
      <c r="D209">
        <v>2900</v>
      </c>
      <c r="E209">
        <v>8.4074079846443599</v>
      </c>
      <c r="F209">
        <v>5.5</v>
      </c>
      <c r="G209">
        <v>2.9074079846443599</v>
      </c>
      <c r="H209">
        <v>2.8991062016015001</v>
      </c>
      <c r="I209">
        <v>3.3629631938577398</v>
      </c>
      <c r="J209">
        <v>26.018519961610899</v>
      </c>
      <c r="K209" t="s">
        <v>290</v>
      </c>
      <c r="L209">
        <f>VLOOKUP($A209,Actual!$A:$D,4,FALSE)</f>
        <v>1.5</v>
      </c>
      <c r="M209">
        <f>VLOOKUP($A209,Actual!$A:$D,3,FALSE)</f>
        <v>3.2300000000000002E-2</v>
      </c>
      <c r="N209">
        <f>VLOOKUP(A209,NHT!B:F,5,FALSE)</f>
        <v>23.75</v>
      </c>
    </row>
    <row r="210" spans="1:14" x14ac:dyDescent="0.2">
      <c r="A210" t="s">
        <v>203</v>
      </c>
      <c r="B210" t="s">
        <v>300</v>
      </c>
      <c r="C210" t="s">
        <v>10</v>
      </c>
      <c r="D210">
        <v>2600</v>
      </c>
      <c r="E210">
        <v>4.0823906788018096</v>
      </c>
      <c r="F210">
        <v>5.74</v>
      </c>
      <c r="G210">
        <v>-1.6576093211981799</v>
      </c>
      <c r="H210">
        <v>1.5701502610776199</v>
      </c>
      <c r="I210">
        <v>1.63295627152072</v>
      </c>
      <c r="J210">
        <v>15.2059766970045</v>
      </c>
      <c r="K210" t="s">
        <v>290</v>
      </c>
      <c r="L210">
        <f>VLOOKUP($A210,Actual!$A:$D,4,FALSE)</f>
        <v>0</v>
      </c>
      <c r="M210">
        <f>VLOOKUP($A210,Actual!$A:$D,3,FALSE)</f>
        <v>6.7999999999999996E-3</v>
      </c>
      <c r="N210">
        <f>VLOOKUP(A210,NHT!B:F,5,FALSE)</f>
        <v>16.166666666666998</v>
      </c>
    </row>
    <row r="211" spans="1:14" x14ac:dyDescent="0.2">
      <c r="A211" t="s">
        <v>48</v>
      </c>
      <c r="B211" t="s">
        <v>300</v>
      </c>
      <c r="C211" t="s">
        <v>5</v>
      </c>
      <c r="D211">
        <v>4900</v>
      </c>
      <c r="E211">
        <v>9.2396783236820692</v>
      </c>
      <c r="F211">
        <v>9.35</v>
      </c>
      <c r="G211">
        <v>-0.110321676317925</v>
      </c>
      <c r="H211">
        <v>1.8856486374861301</v>
      </c>
      <c r="I211">
        <v>3.6958713294728298</v>
      </c>
      <c r="J211">
        <v>28.099195809205099</v>
      </c>
      <c r="K211" t="s">
        <v>290</v>
      </c>
      <c r="L211">
        <f>VLOOKUP($A211,Actual!$A:$D,4,FALSE)</f>
        <v>37.5</v>
      </c>
      <c r="M211">
        <f>VLOOKUP($A211,Actual!$A:$D,3,FALSE)</f>
        <v>6.5199999999999994E-2</v>
      </c>
      <c r="N211">
        <f>VLOOKUP(A211,NHT!B:F,5,FALSE)</f>
        <v>18.783333333333001</v>
      </c>
    </row>
    <row r="212" spans="1:14" x14ac:dyDescent="0.2">
      <c r="A212" t="s">
        <v>22</v>
      </c>
      <c r="B212" t="s">
        <v>300</v>
      </c>
      <c r="C212" t="s">
        <v>292</v>
      </c>
      <c r="D212">
        <v>7000</v>
      </c>
      <c r="E212">
        <v>13.574482691386899</v>
      </c>
      <c r="F212">
        <v>11.05</v>
      </c>
      <c r="G212">
        <v>2.52448269138694</v>
      </c>
      <c r="H212">
        <v>1.93921181305527</v>
      </c>
      <c r="I212">
        <v>5.4297930765547697</v>
      </c>
      <c r="J212">
        <v>38.936206728467297</v>
      </c>
      <c r="K212" t="s">
        <v>290</v>
      </c>
      <c r="L212">
        <f>VLOOKUP($A212,Actual!$A:$D,4,FALSE)</f>
        <v>11</v>
      </c>
      <c r="M212">
        <f>VLOOKUP($A212,Actual!$A:$D,3,FALSE)</f>
        <v>0.12640000000000001</v>
      </c>
      <c r="N212">
        <f>VLOOKUP(A212,NHT!B:F,5,FALSE)</f>
        <v>19.766666666667</v>
      </c>
    </row>
    <row r="213" spans="1:14" x14ac:dyDescent="0.2">
      <c r="A213" t="s">
        <v>188</v>
      </c>
      <c r="B213" t="s">
        <v>300</v>
      </c>
      <c r="C213" t="s">
        <v>294</v>
      </c>
      <c r="D213">
        <v>3400</v>
      </c>
      <c r="E213">
        <v>10.487579725505601</v>
      </c>
      <c r="F213">
        <v>5.9</v>
      </c>
      <c r="G213">
        <v>4.5875797255056403</v>
      </c>
      <c r="H213">
        <v>3.0845822722075402</v>
      </c>
      <c r="I213">
        <v>4.1950318902022499</v>
      </c>
      <c r="J213">
        <v>31.218949313764099</v>
      </c>
      <c r="K213" t="s">
        <v>290</v>
      </c>
      <c r="L213">
        <f>VLOOKUP($A213,Actual!$A:$D,4,FALSE)</f>
        <v>19</v>
      </c>
      <c r="M213">
        <f>VLOOKUP($A213,Actual!$A:$D,3,FALSE)</f>
        <v>9.1000000000000004E-3</v>
      </c>
      <c r="N213">
        <f>VLOOKUP(A213,NHT!B:F,5,FALSE)</f>
        <v>15.883333333333001</v>
      </c>
    </row>
    <row r="214" spans="1:14" x14ac:dyDescent="0.2">
      <c r="A214" t="s">
        <v>349</v>
      </c>
      <c r="B214" t="s">
        <v>300</v>
      </c>
      <c r="C214" t="s">
        <v>10</v>
      </c>
      <c r="D214">
        <v>2500</v>
      </c>
      <c r="E214">
        <v>4.1839853960536697</v>
      </c>
      <c r="F214">
        <v>3.9</v>
      </c>
      <c r="G214">
        <v>0.28398539605367101</v>
      </c>
      <c r="H214">
        <v>1.67359415842146</v>
      </c>
      <c r="I214">
        <v>1.67359415842146</v>
      </c>
      <c r="J214">
        <v>15.459963490134101</v>
      </c>
      <c r="K214" t="s">
        <v>290</v>
      </c>
      <c r="L214" t="e">
        <f>VLOOKUP($A214,Actual!$A:$D,4,FALSE)</f>
        <v>#N/A</v>
      </c>
      <c r="M214" t="e">
        <f>VLOOKUP($A214,Actual!$A:$D,3,FALSE)</f>
        <v>#N/A</v>
      </c>
      <c r="N214">
        <f>VLOOKUP(A214,NHT!B:F,5,FALSE)</f>
        <v>14.85</v>
      </c>
    </row>
    <row r="215" spans="1:14" x14ac:dyDescent="0.2">
      <c r="A215" t="s">
        <v>165</v>
      </c>
      <c r="B215" t="s">
        <v>300</v>
      </c>
      <c r="C215" t="s">
        <v>10</v>
      </c>
      <c r="D215">
        <v>2700</v>
      </c>
      <c r="E215">
        <v>6.4555168143056099</v>
      </c>
      <c r="F215">
        <v>6.55</v>
      </c>
      <c r="G215">
        <v>-9.4483185694382799E-2</v>
      </c>
      <c r="H215">
        <v>2.3909321534465202</v>
      </c>
      <c r="I215">
        <v>2.5822067257222399</v>
      </c>
      <c r="J215">
        <v>21.138792035763998</v>
      </c>
      <c r="K215" t="s">
        <v>290</v>
      </c>
      <c r="L215">
        <f>VLOOKUP($A215,Actual!$A:$D,4,FALSE)</f>
        <v>6.3</v>
      </c>
      <c r="M215">
        <f>VLOOKUP($A215,Actual!$A:$D,3,FALSE)</f>
        <v>1.4200000000000001E-2</v>
      </c>
      <c r="N215">
        <f>VLOOKUP(A215,NHT!B:F,5,FALSE)</f>
        <v>18.7</v>
      </c>
    </row>
    <row r="216" spans="1:14" x14ac:dyDescent="0.2">
      <c r="A216" t="s">
        <v>362</v>
      </c>
      <c r="B216" t="s">
        <v>300</v>
      </c>
      <c r="C216" t="s">
        <v>294</v>
      </c>
      <c r="D216">
        <v>2500</v>
      </c>
      <c r="E216">
        <v>3.4817469883787902</v>
      </c>
      <c r="F216">
        <v>4.22</v>
      </c>
      <c r="G216">
        <v>-0.73825301162120205</v>
      </c>
      <c r="H216">
        <v>1.39269879535151</v>
      </c>
      <c r="I216">
        <v>1.39269879535151</v>
      </c>
      <c r="J216">
        <v>13.704367470946901</v>
      </c>
      <c r="K216" t="s">
        <v>290</v>
      </c>
      <c r="L216" t="e">
        <f>VLOOKUP($A216,Actual!$A:$D,4,FALSE)</f>
        <v>#N/A</v>
      </c>
      <c r="M216" t="e">
        <f>VLOOKUP($A216,Actual!$A:$D,3,FALSE)</f>
        <v>#N/A</v>
      </c>
      <c r="N216">
        <f>VLOOKUP(A216,NHT!B:F,5,FALSE)</f>
        <v>16.883333333332999</v>
      </c>
    </row>
    <row r="217" spans="1:14" x14ac:dyDescent="0.2">
      <c r="A217" t="s">
        <v>14</v>
      </c>
      <c r="B217" t="s">
        <v>300</v>
      </c>
      <c r="C217" t="s">
        <v>5</v>
      </c>
      <c r="D217">
        <v>5100</v>
      </c>
      <c r="E217">
        <v>8.6899733461544901</v>
      </c>
      <c r="F217">
        <v>10.45</v>
      </c>
      <c r="G217">
        <v>-1.7600266538455001</v>
      </c>
      <c r="H217">
        <v>1.70391634238323</v>
      </c>
      <c r="I217">
        <v>3.4759893384617899</v>
      </c>
      <c r="J217">
        <v>26.7249333653862</v>
      </c>
      <c r="K217" t="s">
        <v>290</v>
      </c>
      <c r="L217">
        <f>VLOOKUP($A217,Actual!$A:$D,4,FALSE)</f>
        <v>19.5</v>
      </c>
      <c r="M217">
        <f>VLOOKUP($A217,Actual!$A:$D,3,FALSE)</f>
        <v>0.1593</v>
      </c>
      <c r="N217">
        <f>VLOOKUP(A217,NHT!B:F,5,FALSE)</f>
        <v>22.7</v>
      </c>
    </row>
    <row r="218" spans="1:14" x14ac:dyDescent="0.2">
      <c r="A218" t="s">
        <v>268</v>
      </c>
      <c r="B218" t="s">
        <v>300</v>
      </c>
      <c r="C218" t="s">
        <v>5</v>
      </c>
      <c r="D218">
        <v>2500</v>
      </c>
      <c r="E218">
        <v>3.7902414798856001</v>
      </c>
      <c r="F218">
        <v>4.8099999999999996</v>
      </c>
      <c r="G218">
        <v>-1.0197585201143899</v>
      </c>
      <c r="H218">
        <v>1.51609659195424</v>
      </c>
      <c r="I218">
        <v>1.51609659195424</v>
      </c>
      <c r="J218">
        <v>14.475603699714</v>
      </c>
      <c r="K218" t="s">
        <v>290</v>
      </c>
      <c r="L218">
        <f>VLOOKUP($A218,Actual!$A:$D,4,FALSE)</f>
        <v>4.0999999999999996</v>
      </c>
      <c r="M218">
        <f>VLOOKUP($A218,Actual!$A:$D,3,FALSE)</f>
        <v>5.9999999999999995E-4</v>
      </c>
      <c r="N218">
        <f>VLOOKUP(A218,NHT!B:F,5,FALSE)</f>
        <v>15.133333333333001</v>
      </c>
    </row>
    <row r="219" spans="1:14" x14ac:dyDescent="0.2">
      <c r="A219" t="s">
        <v>31</v>
      </c>
      <c r="B219" t="s">
        <v>300</v>
      </c>
      <c r="C219" t="s">
        <v>294</v>
      </c>
      <c r="D219">
        <v>4600</v>
      </c>
      <c r="E219">
        <v>7.3374498531987102</v>
      </c>
      <c r="F219">
        <v>8.1</v>
      </c>
      <c r="G219">
        <v>-0.76255014680128497</v>
      </c>
      <c r="H219">
        <v>1.59509779417363</v>
      </c>
      <c r="I219">
        <v>2.9349799412794799</v>
      </c>
      <c r="J219">
        <v>23.343624632996701</v>
      </c>
      <c r="K219" t="s">
        <v>290</v>
      </c>
      <c r="L219">
        <f>VLOOKUP($A219,Actual!$A:$D,4,FALSE)</f>
        <v>11.3</v>
      </c>
      <c r="M219">
        <f>VLOOKUP($A219,Actual!$A:$D,3,FALSE)</f>
        <v>0.10150000000000001</v>
      </c>
      <c r="N219">
        <f>VLOOKUP(A219,NHT!B:F,5,FALSE)</f>
        <v>13.583333333333</v>
      </c>
    </row>
    <row r="220" spans="1:14" x14ac:dyDescent="0.2">
      <c r="A220" t="s">
        <v>269</v>
      </c>
      <c r="B220" t="s">
        <v>300</v>
      </c>
      <c r="C220" t="s">
        <v>5</v>
      </c>
      <c r="D220">
        <v>2500</v>
      </c>
      <c r="E220">
        <v>5.0947597480214704</v>
      </c>
      <c r="F220">
        <v>3.56</v>
      </c>
      <c r="G220">
        <v>1.5347597480214701</v>
      </c>
      <c r="H220">
        <v>2.0379038992085898</v>
      </c>
      <c r="I220">
        <v>2.0379038992085898</v>
      </c>
      <c r="J220">
        <v>17.7368993700536</v>
      </c>
      <c r="K220" t="s">
        <v>290</v>
      </c>
      <c r="L220">
        <f>VLOOKUP($A220,Actual!$A:$D,4,FALSE)</f>
        <v>1.3</v>
      </c>
      <c r="M220">
        <f>VLOOKUP($A220,Actual!$A:$D,3,FALSE)</f>
        <v>5.9999999999999995E-4</v>
      </c>
      <c r="N220">
        <f>VLOOKUP(A220,NHT!B:F,5,FALSE)</f>
        <v>8.85</v>
      </c>
    </row>
    <row r="221" spans="1:14" x14ac:dyDescent="0.2">
      <c r="A221" t="s">
        <v>195</v>
      </c>
      <c r="B221" t="s">
        <v>300</v>
      </c>
      <c r="C221" t="s">
        <v>294</v>
      </c>
      <c r="D221">
        <v>2500</v>
      </c>
      <c r="E221">
        <v>3.90236018888297</v>
      </c>
      <c r="F221">
        <v>5.79</v>
      </c>
      <c r="G221">
        <v>-1.8876398111170201</v>
      </c>
      <c r="H221">
        <v>1.56094407555319</v>
      </c>
      <c r="I221">
        <v>1.56094407555319</v>
      </c>
      <c r="J221">
        <v>14.755900472207401</v>
      </c>
      <c r="K221" t="s">
        <v>290</v>
      </c>
      <c r="L221">
        <f>VLOOKUP($A221,Actual!$A:$D,4,FALSE)</f>
        <v>0</v>
      </c>
      <c r="M221">
        <f>VLOOKUP($A221,Actual!$A:$D,3,FALSE)</f>
        <v>7.9000000000000008E-3</v>
      </c>
      <c r="N221">
        <f>VLOOKUP(A221,NHT!B:F,5,FALSE)</f>
        <v>8.1833333333332998</v>
      </c>
    </row>
    <row r="222" spans="1:14" x14ac:dyDescent="0.2">
      <c r="A222" t="s">
        <v>367</v>
      </c>
      <c r="B222" t="s">
        <v>300</v>
      </c>
      <c r="C222" t="s">
        <v>5</v>
      </c>
      <c r="D222">
        <v>2500</v>
      </c>
      <c r="E222">
        <v>3.12117274290951</v>
      </c>
      <c r="F222">
        <v>2.96</v>
      </c>
      <c r="G222">
        <v>0.161172742909514</v>
      </c>
      <c r="H222">
        <v>1.2484690971637999</v>
      </c>
      <c r="I222">
        <v>1.2484690971637999</v>
      </c>
      <c r="J222">
        <v>12.8029318572737</v>
      </c>
      <c r="K222" t="s">
        <v>290</v>
      </c>
      <c r="L222" t="e">
        <f>VLOOKUP($A222,Actual!$A:$D,4,FALSE)</f>
        <v>#N/A</v>
      </c>
      <c r="M222" t="e">
        <f>VLOOKUP($A222,Actual!$A:$D,3,FALSE)</f>
        <v>#N/A</v>
      </c>
      <c r="N222">
        <f>VLOOKUP(A222,NHT!B:F,5,FALSE)</f>
        <v>8.9499999999999993</v>
      </c>
    </row>
    <row r="223" spans="1:14" x14ac:dyDescent="0.2">
      <c r="A223" t="s">
        <v>316</v>
      </c>
      <c r="B223" t="s">
        <v>298</v>
      </c>
      <c r="C223" t="s">
        <v>292</v>
      </c>
      <c r="D223">
        <v>2700</v>
      </c>
      <c r="E223">
        <v>6.2626135522624198</v>
      </c>
      <c r="F223">
        <v>5.98</v>
      </c>
      <c r="G223">
        <v>0.28261355226242801</v>
      </c>
      <c r="H223">
        <v>2.3194865008379302</v>
      </c>
      <c r="I223">
        <v>2.50504542090497</v>
      </c>
      <c r="J223">
        <v>20.656533880655999</v>
      </c>
      <c r="K223" t="s">
        <v>290</v>
      </c>
      <c r="L223" t="e">
        <f>VLOOKUP($A223,Actual!$A:$D,4,FALSE)</f>
        <v>#N/A</v>
      </c>
      <c r="M223" t="e">
        <f>VLOOKUP($A223,Actual!$A:$D,3,FALSE)</f>
        <v>#N/A</v>
      </c>
      <c r="N223" t="e">
        <f>VLOOKUP(A223,NHT!B:F,5,FALSE)</f>
        <v>#N/A</v>
      </c>
    </row>
    <row r="224" spans="1:14" x14ac:dyDescent="0.2">
      <c r="A224" t="s">
        <v>341</v>
      </c>
      <c r="B224" t="s">
        <v>298</v>
      </c>
      <c r="C224" t="s">
        <v>10</v>
      </c>
      <c r="D224">
        <v>2500</v>
      </c>
      <c r="E224">
        <v>4.6766634690405198</v>
      </c>
      <c r="F224">
        <v>3.46</v>
      </c>
      <c r="G224">
        <v>1.21666346904052</v>
      </c>
      <c r="H224">
        <v>1.87066538761621</v>
      </c>
      <c r="I224">
        <v>1.87066538761621</v>
      </c>
      <c r="J224">
        <v>16.691658672601299</v>
      </c>
      <c r="K224" t="s">
        <v>290</v>
      </c>
      <c r="L224" t="e">
        <f>VLOOKUP($A224,Actual!$A:$D,4,FALSE)</f>
        <v>#N/A</v>
      </c>
      <c r="M224" t="e">
        <f>VLOOKUP($A224,Actual!$A:$D,3,FALSE)</f>
        <v>#N/A</v>
      </c>
      <c r="N224" t="e">
        <f>VLOOKUP(A224,NHT!B:F,5,FALSE)</f>
        <v>#N/A</v>
      </c>
    </row>
    <row r="225" spans="1:14" x14ac:dyDescent="0.2">
      <c r="A225" t="s">
        <v>385</v>
      </c>
      <c r="B225" t="s">
        <v>298</v>
      </c>
      <c r="C225" t="s">
        <v>13</v>
      </c>
      <c r="D225">
        <v>7300</v>
      </c>
      <c r="E225">
        <v>14.4687210385996</v>
      </c>
      <c r="F225">
        <v>8.3800000000000008</v>
      </c>
      <c r="G225">
        <v>6.0887210385996298</v>
      </c>
      <c r="H225">
        <v>1.98201658063008</v>
      </c>
      <c r="I225">
        <v>4.3406163115798897</v>
      </c>
      <c r="J225">
        <v>38.937442077199201</v>
      </c>
      <c r="K225" t="s">
        <v>384</v>
      </c>
      <c r="L225" t="e">
        <f>VLOOKUP($A225,Actual!$A:$D,4,FALSE)</f>
        <v>#N/A</v>
      </c>
      <c r="M225" t="e">
        <f>VLOOKUP($A225,Actual!$A:$D,3,FALSE)</f>
        <v>#N/A</v>
      </c>
      <c r="N225" t="e">
        <f>VLOOKUP(A225,NHT!B:F,5,FALSE)</f>
        <v>#N/A</v>
      </c>
    </row>
    <row r="226" spans="1:14" x14ac:dyDescent="0.2">
      <c r="A226" t="s">
        <v>104</v>
      </c>
      <c r="B226" t="s">
        <v>298</v>
      </c>
      <c r="C226" t="s">
        <v>10</v>
      </c>
      <c r="D226">
        <v>4700</v>
      </c>
      <c r="E226">
        <v>9.7435097304645097</v>
      </c>
      <c r="F226">
        <v>9.42</v>
      </c>
      <c r="G226">
        <v>0.32350973046451498</v>
      </c>
      <c r="H226">
        <v>2.0730871766945702</v>
      </c>
      <c r="I226">
        <v>3.8974038921858001</v>
      </c>
      <c r="J226">
        <v>29.3587743261612</v>
      </c>
      <c r="K226" t="s">
        <v>290</v>
      </c>
      <c r="L226">
        <f>VLOOKUP($A226,Actual!$A:$D,4,FALSE)</f>
        <v>4.0999999999999996</v>
      </c>
      <c r="M226">
        <f>VLOOKUP($A226,Actual!$A:$D,3,FALSE)</f>
        <v>3.0599999999999999E-2</v>
      </c>
      <c r="N226">
        <f>VLOOKUP(A226,NHT!B:F,5,FALSE)</f>
        <v>21.6</v>
      </c>
    </row>
    <row r="227" spans="1:14" x14ac:dyDescent="0.2">
      <c r="A227" t="s">
        <v>116</v>
      </c>
      <c r="B227" t="s">
        <v>298</v>
      </c>
      <c r="C227" t="s">
        <v>10</v>
      </c>
      <c r="D227">
        <v>6700</v>
      </c>
      <c r="E227">
        <v>11.123284758989801</v>
      </c>
      <c r="F227">
        <v>11.76</v>
      </c>
      <c r="G227">
        <v>-0.63671524101015098</v>
      </c>
      <c r="H227">
        <v>1.66019175507311</v>
      </c>
      <c r="I227">
        <v>4.4493139035959297</v>
      </c>
      <c r="J227">
        <v>32.8082118974746</v>
      </c>
      <c r="K227" t="s">
        <v>290</v>
      </c>
      <c r="L227">
        <f>VLOOKUP($A227,Actual!$A:$D,4,FALSE)</f>
        <v>15.8</v>
      </c>
      <c r="M227">
        <f>VLOOKUP($A227,Actual!$A:$D,3,FALSE)</f>
        <v>2.6599999999999999E-2</v>
      </c>
      <c r="N227">
        <f>VLOOKUP(A227,NHT!B:F,5,FALSE)</f>
        <v>25.65</v>
      </c>
    </row>
    <row r="228" spans="1:14" x14ac:dyDescent="0.2">
      <c r="A228" t="s">
        <v>174</v>
      </c>
      <c r="B228" t="s">
        <v>298</v>
      </c>
      <c r="C228" t="s">
        <v>10</v>
      </c>
      <c r="D228">
        <v>3100</v>
      </c>
      <c r="E228">
        <v>5.4222403793798204</v>
      </c>
      <c r="F228">
        <v>6.5</v>
      </c>
      <c r="G228">
        <v>-1.0777596206201701</v>
      </c>
      <c r="H228">
        <v>1.7491097997999401</v>
      </c>
      <c r="I228">
        <v>2.1688961517519298</v>
      </c>
      <c r="J228">
        <v>18.555600948449499</v>
      </c>
      <c r="K228" t="s">
        <v>290</v>
      </c>
      <c r="L228">
        <f>VLOOKUP($A228,Actual!$A:$D,4,FALSE)</f>
        <v>7.8</v>
      </c>
      <c r="M228">
        <f>VLOOKUP($A228,Actual!$A:$D,3,FALSE)</f>
        <v>1.1900000000000001E-2</v>
      </c>
      <c r="N228">
        <f>VLOOKUP(A228,NHT!B:F,5,FALSE)</f>
        <v>20.433333333333</v>
      </c>
    </row>
    <row r="229" spans="1:14" x14ac:dyDescent="0.2">
      <c r="A229" t="s">
        <v>334</v>
      </c>
      <c r="B229" t="s">
        <v>298</v>
      </c>
      <c r="C229" t="s">
        <v>10</v>
      </c>
      <c r="D229">
        <v>2500</v>
      </c>
      <c r="E229">
        <v>5.0664818111747101</v>
      </c>
      <c r="F229">
        <v>3.62</v>
      </c>
      <c r="G229">
        <v>1.44648181117471</v>
      </c>
      <c r="H229">
        <v>2.02659272446988</v>
      </c>
      <c r="I229">
        <v>2.02659272446988</v>
      </c>
      <c r="J229">
        <v>17.666204527936699</v>
      </c>
      <c r="K229" t="s">
        <v>290</v>
      </c>
      <c r="L229" t="e">
        <f>VLOOKUP($A229,Actual!$A:$D,4,FALSE)</f>
        <v>#N/A</v>
      </c>
      <c r="M229" t="e">
        <f>VLOOKUP($A229,Actual!$A:$D,3,FALSE)</f>
        <v>#N/A</v>
      </c>
      <c r="N229">
        <f>VLOOKUP(A229,NHT!B:F,5,FALSE)</f>
        <v>17.066666666667</v>
      </c>
    </row>
    <row r="230" spans="1:14" x14ac:dyDescent="0.2">
      <c r="A230" t="s">
        <v>257</v>
      </c>
      <c r="B230" t="s">
        <v>298</v>
      </c>
      <c r="C230" t="s">
        <v>10</v>
      </c>
      <c r="D230">
        <v>2500</v>
      </c>
      <c r="E230">
        <v>5.8133914505347599</v>
      </c>
      <c r="F230">
        <v>4.16</v>
      </c>
      <c r="G230">
        <v>1.65339145053476</v>
      </c>
      <c r="H230">
        <v>2.3253565802138998</v>
      </c>
      <c r="I230">
        <v>2.3253565802138998</v>
      </c>
      <c r="J230">
        <v>19.533478626336901</v>
      </c>
      <c r="K230" t="s">
        <v>290</v>
      </c>
      <c r="L230">
        <f>VLOOKUP($A230,Actual!$A:$D,4,FALSE)</f>
        <v>8.4</v>
      </c>
      <c r="M230">
        <f>VLOOKUP($A230,Actual!$A:$D,3,FALSE)</f>
        <v>1.1000000000000001E-3</v>
      </c>
      <c r="N230">
        <f>VLOOKUP(A230,NHT!B:F,5,FALSE)</f>
        <v>16.633333333332999</v>
      </c>
    </row>
    <row r="231" spans="1:14" x14ac:dyDescent="0.2">
      <c r="A231" t="s">
        <v>186</v>
      </c>
      <c r="B231" t="s">
        <v>298</v>
      </c>
      <c r="C231" t="s">
        <v>294</v>
      </c>
      <c r="D231">
        <v>2500</v>
      </c>
      <c r="E231">
        <v>5.1533610789453199</v>
      </c>
      <c r="F231">
        <v>4.96</v>
      </c>
      <c r="G231">
        <v>0.193361078945327</v>
      </c>
      <c r="H231">
        <v>2.0613444315781302</v>
      </c>
      <c r="I231">
        <v>2.0613444315781302</v>
      </c>
      <c r="J231">
        <v>17.883402697363302</v>
      </c>
      <c r="K231" t="s">
        <v>290</v>
      </c>
      <c r="L231">
        <f>VLOOKUP($A231,Actual!$A:$D,4,FALSE)</f>
        <v>6.5</v>
      </c>
      <c r="M231">
        <f>VLOOKUP($A231,Actual!$A:$D,3,FALSE)</f>
        <v>9.1000000000000004E-3</v>
      </c>
      <c r="N231">
        <f>VLOOKUP(A231,NHT!B:F,5,FALSE)</f>
        <v>16.016666666667</v>
      </c>
    </row>
    <row r="232" spans="1:14" x14ac:dyDescent="0.2">
      <c r="A232" t="s">
        <v>80</v>
      </c>
      <c r="B232" t="s">
        <v>298</v>
      </c>
      <c r="C232" t="s">
        <v>292</v>
      </c>
      <c r="D232">
        <v>7700</v>
      </c>
      <c r="E232">
        <v>13.795907179693501</v>
      </c>
      <c r="F232">
        <v>14.19</v>
      </c>
      <c r="G232">
        <v>-0.39409282030648901</v>
      </c>
      <c r="H232">
        <v>1.79167625710305</v>
      </c>
      <c r="I232">
        <v>5.5183628718774003</v>
      </c>
      <c r="J232">
        <v>39.489767949233702</v>
      </c>
      <c r="K232" t="s">
        <v>290</v>
      </c>
      <c r="L232">
        <f>VLOOKUP($A232,Actual!$A:$D,4,FALSE)</f>
        <v>0</v>
      </c>
      <c r="M232">
        <f>VLOOKUP($A232,Actual!$A:$D,3,FALSE)</f>
        <v>3.9100000000000003E-2</v>
      </c>
      <c r="N232">
        <f>VLOOKUP(A232,NHT!B:F,5,FALSE)</f>
        <v>17.283333333333001</v>
      </c>
    </row>
    <row r="233" spans="1:14" x14ac:dyDescent="0.2">
      <c r="A233" t="s">
        <v>157</v>
      </c>
      <c r="B233" t="s">
        <v>298</v>
      </c>
      <c r="C233" t="s">
        <v>5</v>
      </c>
      <c r="D233">
        <v>4400</v>
      </c>
      <c r="E233">
        <v>7.8686175593323897</v>
      </c>
      <c r="F233">
        <v>9.0399999999999991</v>
      </c>
      <c r="G233">
        <v>-1.1713824406675999</v>
      </c>
      <c r="H233">
        <v>1.78832217257554</v>
      </c>
      <c r="I233">
        <v>3.1474470237329499</v>
      </c>
      <c r="J233">
        <v>24.671543898330899</v>
      </c>
      <c r="K233" t="s">
        <v>290</v>
      </c>
      <c r="L233">
        <f>VLOOKUP($A233,Actual!$A:$D,4,FALSE)</f>
        <v>1.5</v>
      </c>
      <c r="M233">
        <f>VLOOKUP($A233,Actual!$A:$D,3,FALSE)</f>
        <v>1.7000000000000001E-2</v>
      </c>
      <c r="N233">
        <f>VLOOKUP(A233,NHT!B:F,5,FALSE)</f>
        <v>18.133333333332999</v>
      </c>
    </row>
    <row r="234" spans="1:14" x14ac:dyDescent="0.2">
      <c r="A234" t="s">
        <v>120</v>
      </c>
      <c r="B234" t="s">
        <v>298</v>
      </c>
      <c r="C234" t="s">
        <v>294</v>
      </c>
      <c r="D234">
        <v>5300</v>
      </c>
      <c r="E234">
        <v>10.450871290152699</v>
      </c>
      <c r="F234">
        <v>10.3</v>
      </c>
      <c r="G234">
        <v>0.15087129015279799</v>
      </c>
      <c r="H234">
        <v>1.9718625075759999</v>
      </c>
      <c r="I234">
        <v>4.1803485160611196</v>
      </c>
      <c r="J234">
        <v>31.1271782253819</v>
      </c>
      <c r="K234" t="s">
        <v>290</v>
      </c>
      <c r="L234">
        <f>VLOOKUP($A234,Actual!$A:$D,4,FALSE)</f>
        <v>1.5</v>
      </c>
      <c r="M234">
        <f>VLOOKUP($A234,Actual!$A:$D,3,FALSE)</f>
        <v>2.4899999999999999E-2</v>
      </c>
      <c r="N234">
        <f>VLOOKUP(A234,NHT!B:F,5,FALSE)</f>
        <v>17.116666666667001</v>
      </c>
    </row>
    <row r="235" spans="1:14" x14ac:dyDescent="0.2">
      <c r="A235" t="s">
        <v>339</v>
      </c>
      <c r="B235" t="s">
        <v>298</v>
      </c>
      <c r="C235" t="s">
        <v>10</v>
      </c>
      <c r="D235">
        <v>2500</v>
      </c>
      <c r="E235">
        <v>4.8123443885876496</v>
      </c>
      <c r="F235">
        <v>5.12</v>
      </c>
      <c r="G235">
        <v>-0.30765561141234299</v>
      </c>
      <c r="H235">
        <v>1.92493775543506</v>
      </c>
      <c r="I235">
        <v>1.92493775543506</v>
      </c>
      <c r="J235">
        <v>17.030860971469099</v>
      </c>
      <c r="K235" t="s">
        <v>290</v>
      </c>
      <c r="L235" t="e">
        <f>VLOOKUP($A235,Actual!$A:$D,4,FALSE)</f>
        <v>#N/A</v>
      </c>
      <c r="M235" t="e">
        <f>VLOOKUP($A235,Actual!$A:$D,3,FALSE)</f>
        <v>#N/A</v>
      </c>
      <c r="N235">
        <f>VLOOKUP(A235,NHT!B:F,5,FALSE)</f>
        <v>16</v>
      </c>
    </row>
    <row r="236" spans="1:14" x14ac:dyDescent="0.2">
      <c r="A236" t="s">
        <v>159</v>
      </c>
      <c r="B236" t="s">
        <v>298</v>
      </c>
      <c r="C236" t="s">
        <v>294</v>
      </c>
      <c r="D236">
        <v>3900</v>
      </c>
      <c r="E236">
        <v>7.5641194534611804</v>
      </c>
      <c r="F236">
        <v>7.32</v>
      </c>
      <c r="G236">
        <v>0.24411945346118599</v>
      </c>
      <c r="H236">
        <v>1.9395178085797899</v>
      </c>
      <c r="I236">
        <v>3.0256477813844702</v>
      </c>
      <c r="J236">
        <v>23.9102986336529</v>
      </c>
      <c r="K236" t="s">
        <v>290</v>
      </c>
      <c r="L236">
        <f>VLOOKUP($A236,Actual!$A:$D,4,FALSE)</f>
        <v>0</v>
      </c>
      <c r="M236">
        <f>VLOOKUP($A236,Actual!$A:$D,3,FALSE)</f>
        <v>1.5900000000000001E-2</v>
      </c>
      <c r="N236">
        <f>VLOOKUP(A236,NHT!B:F,5,FALSE)</f>
        <v>15.733333333333</v>
      </c>
    </row>
    <row r="237" spans="1:14" x14ac:dyDescent="0.2">
      <c r="A237" t="s">
        <v>81</v>
      </c>
      <c r="B237" t="s">
        <v>298</v>
      </c>
      <c r="C237" t="s">
        <v>5</v>
      </c>
      <c r="D237">
        <v>3200</v>
      </c>
      <c r="E237">
        <v>6.2846331005480396</v>
      </c>
      <c r="F237">
        <v>6.78</v>
      </c>
      <c r="G237">
        <v>-0.495366899451955</v>
      </c>
      <c r="H237">
        <v>1.9639478439212601</v>
      </c>
      <c r="I237">
        <v>2.51385324021921</v>
      </c>
      <c r="J237">
        <v>20.711582751370099</v>
      </c>
      <c r="K237" t="s">
        <v>290</v>
      </c>
      <c r="L237">
        <f>VLOOKUP($A237,Actual!$A:$D,4,FALSE)</f>
        <v>13</v>
      </c>
      <c r="M237">
        <f>VLOOKUP($A237,Actual!$A:$D,3,FALSE)</f>
        <v>3.85E-2</v>
      </c>
      <c r="N237">
        <f>VLOOKUP(A237,NHT!B:F,5,FALSE)</f>
        <v>16.016666666667</v>
      </c>
    </row>
    <row r="238" spans="1:14" x14ac:dyDescent="0.2">
      <c r="A238" t="s">
        <v>335</v>
      </c>
      <c r="B238" t="s">
        <v>298</v>
      </c>
      <c r="C238" t="s">
        <v>5</v>
      </c>
      <c r="D238">
        <v>2500</v>
      </c>
      <c r="E238">
        <v>4.9927860723657203</v>
      </c>
      <c r="F238">
        <v>3.43</v>
      </c>
      <c r="G238">
        <v>1.5627860723657201</v>
      </c>
      <c r="H238">
        <v>1.9971144289462901</v>
      </c>
      <c r="I238">
        <v>1.9971144289462901</v>
      </c>
      <c r="J238">
        <v>17.481965180914301</v>
      </c>
      <c r="K238" t="s">
        <v>290</v>
      </c>
      <c r="L238" t="e">
        <f>VLOOKUP($A238,Actual!$A:$D,4,FALSE)</f>
        <v>#N/A</v>
      </c>
      <c r="M238" t="e">
        <f>VLOOKUP($A238,Actual!$A:$D,3,FALSE)</f>
        <v>#N/A</v>
      </c>
      <c r="N238">
        <f>VLOOKUP(A238,NHT!B:F,5,FALSE)</f>
        <v>11.066666666667</v>
      </c>
    </row>
    <row r="239" spans="1:14" x14ac:dyDescent="0.2">
      <c r="A239" t="s">
        <v>275</v>
      </c>
      <c r="B239" t="s">
        <v>298</v>
      </c>
      <c r="C239" t="s">
        <v>292</v>
      </c>
      <c r="D239">
        <v>2500</v>
      </c>
      <c r="E239">
        <v>2.8000577698994502</v>
      </c>
      <c r="F239">
        <v>2.27</v>
      </c>
      <c r="G239">
        <v>0.53005776989945597</v>
      </c>
      <c r="H239">
        <v>1.12002310795978</v>
      </c>
      <c r="I239">
        <v>1.12002310795978</v>
      </c>
      <c r="J239">
        <v>12.0001444247486</v>
      </c>
      <c r="K239" t="s">
        <v>290</v>
      </c>
      <c r="L239">
        <f>VLOOKUP($A239,Actual!$A:$D,4,FALSE)</f>
        <v>3</v>
      </c>
      <c r="M239">
        <f>VLOOKUP($A239,Actual!$A:$D,3,FALSE)</f>
        <v>5.9999999999999995E-4</v>
      </c>
      <c r="N239">
        <f>VLOOKUP(A239,NHT!B:F,5,FALSE)</f>
        <v>9.6</v>
      </c>
    </row>
    <row r="240" spans="1:14" x14ac:dyDescent="0.2">
      <c r="A240" t="s">
        <v>309</v>
      </c>
      <c r="B240" t="s">
        <v>302</v>
      </c>
      <c r="C240" t="s">
        <v>294</v>
      </c>
      <c r="D240">
        <v>2500</v>
      </c>
      <c r="E240">
        <v>8.4870125919818999</v>
      </c>
      <c r="F240">
        <v>3.27</v>
      </c>
      <c r="G240">
        <v>5.2170125919819004</v>
      </c>
      <c r="H240">
        <v>3.3948050367927598</v>
      </c>
      <c r="I240">
        <v>3.3948050367927598</v>
      </c>
      <c r="J240">
        <v>26.217531479954701</v>
      </c>
      <c r="K240" t="s">
        <v>290</v>
      </c>
      <c r="L240" t="e">
        <f>VLOOKUP($A240,Actual!$A:$D,4,FALSE)</f>
        <v>#N/A</v>
      </c>
      <c r="M240" t="e">
        <f>VLOOKUP($A240,Actual!$A:$D,3,FALSE)</f>
        <v>#N/A</v>
      </c>
      <c r="N240" t="e">
        <f>VLOOKUP(A240,NHT!B:F,5,FALSE)</f>
        <v>#N/A</v>
      </c>
    </row>
    <row r="241" spans="1:14" x14ac:dyDescent="0.2">
      <c r="A241" t="s">
        <v>319</v>
      </c>
      <c r="B241" t="s">
        <v>302</v>
      </c>
      <c r="C241" t="s">
        <v>294</v>
      </c>
      <c r="D241">
        <v>2500</v>
      </c>
      <c r="E241">
        <v>5.8899033094592497</v>
      </c>
      <c r="F241">
        <v>4.5999999999999996</v>
      </c>
      <c r="G241">
        <v>1.28990330945925</v>
      </c>
      <c r="H241">
        <v>2.3559613237837</v>
      </c>
      <c r="I241">
        <v>2.3559613237837</v>
      </c>
      <c r="J241">
        <v>19.724758273648099</v>
      </c>
      <c r="K241" t="s">
        <v>290</v>
      </c>
      <c r="L241" t="e">
        <f>VLOOKUP($A241,Actual!$A:$D,4,FALSE)</f>
        <v>#N/A</v>
      </c>
      <c r="M241" t="e">
        <f>VLOOKUP($A241,Actual!$A:$D,3,FALSE)</f>
        <v>#N/A</v>
      </c>
      <c r="N241" t="e">
        <f>VLOOKUP(A241,NHT!B:F,5,FALSE)</f>
        <v>#N/A</v>
      </c>
    </row>
    <row r="242" spans="1:14" x14ac:dyDescent="0.2">
      <c r="A242" t="s">
        <v>331</v>
      </c>
      <c r="B242" t="s">
        <v>302</v>
      </c>
      <c r="C242" t="s">
        <v>294</v>
      </c>
      <c r="D242">
        <v>2500</v>
      </c>
      <c r="E242">
        <v>5.3554524163271999</v>
      </c>
      <c r="F242">
        <v>4.51</v>
      </c>
      <c r="G242">
        <v>0.84545241632720003</v>
      </c>
      <c r="H242">
        <v>2.14218096653088</v>
      </c>
      <c r="I242">
        <v>2.14218096653088</v>
      </c>
      <c r="J242">
        <v>18.388631040817899</v>
      </c>
      <c r="K242" t="s">
        <v>290</v>
      </c>
      <c r="L242" t="e">
        <f>VLOOKUP($A242,Actual!$A:$D,4,FALSE)</f>
        <v>#N/A</v>
      </c>
      <c r="M242" t="e">
        <f>VLOOKUP($A242,Actual!$A:$D,3,FALSE)</f>
        <v>#N/A</v>
      </c>
      <c r="N242" t="e">
        <f>VLOOKUP(A242,NHT!B:F,5,FALSE)</f>
        <v>#N/A</v>
      </c>
    </row>
    <row r="243" spans="1:14" x14ac:dyDescent="0.2">
      <c r="A243" t="s">
        <v>354</v>
      </c>
      <c r="B243" t="s">
        <v>302</v>
      </c>
      <c r="C243" t="s">
        <v>10</v>
      </c>
      <c r="D243">
        <v>2500</v>
      </c>
      <c r="E243">
        <v>4.0684676802134998</v>
      </c>
      <c r="F243">
        <v>1.02</v>
      </c>
      <c r="G243">
        <v>3.0484676802134998</v>
      </c>
      <c r="H243">
        <v>1.6273870720854</v>
      </c>
      <c r="I243">
        <v>1.6273870720854</v>
      </c>
      <c r="J243">
        <v>15.171169200533701</v>
      </c>
      <c r="K243" t="s">
        <v>290</v>
      </c>
      <c r="L243" t="e">
        <f>VLOOKUP($A243,Actual!$A:$D,4,FALSE)</f>
        <v>#N/A</v>
      </c>
      <c r="M243" t="e">
        <f>VLOOKUP($A243,Actual!$A:$D,3,FALSE)</f>
        <v>#N/A</v>
      </c>
      <c r="N243" t="e">
        <f>VLOOKUP(A243,NHT!B:F,5,FALSE)</f>
        <v>#N/A</v>
      </c>
    </row>
    <row r="244" spans="1:14" x14ac:dyDescent="0.2">
      <c r="A244" t="s">
        <v>360</v>
      </c>
      <c r="B244" t="s">
        <v>302</v>
      </c>
      <c r="C244" t="s">
        <v>10</v>
      </c>
      <c r="D244">
        <v>2500</v>
      </c>
      <c r="E244">
        <v>3.7712851228269599</v>
      </c>
      <c r="F244">
        <v>5.29</v>
      </c>
      <c r="G244">
        <v>-1.5187148771730301</v>
      </c>
      <c r="H244">
        <v>1.50851404913078</v>
      </c>
      <c r="I244">
        <v>1.50851404913078</v>
      </c>
      <c r="J244">
        <v>14.4282128070674</v>
      </c>
      <c r="K244" t="s">
        <v>290</v>
      </c>
      <c r="L244" t="e">
        <f>VLOOKUP($A244,Actual!$A:$D,4,FALSE)</f>
        <v>#N/A</v>
      </c>
      <c r="M244" t="e">
        <f>VLOOKUP($A244,Actual!$A:$D,3,FALSE)</f>
        <v>#N/A</v>
      </c>
      <c r="N244" t="e">
        <f>VLOOKUP(A244,NHT!B:F,5,FALSE)</f>
        <v>#N/A</v>
      </c>
    </row>
    <row r="245" spans="1:14" x14ac:dyDescent="0.2">
      <c r="A245" t="s">
        <v>372</v>
      </c>
      <c r="B245" t="s">
        <v>302</v>
      </c>
      <c r="C245" t="s">
        <v>292</v>
      </c>
      <c r="D245">
        <v>2500</v>
      </c>
      <c r="E245">
        <v>2.9748193166088401</v>
      </c>
      <c r="F245">
        <v>1.92</v>
      </c>
      <c r="G245">
        <v>1.05481931660884</v>
      </c>
      <c r="H245">
        <v>1.18992772664353</v>
      </c>
      <c r="I245">
        <v>1.18992772664353</v>
      </c>
      <c r="J245">
        <v>12.4370482915221</v>
      </c>
      <c r="K245" t="s">
        <v>290</v>
      </c>
      <c r="L245" t="e">
        <f>VLOOKUP($A245,Actual!$A:$D,4,FALSE)</f>
        <v>#N/A</v>
      </c>
      <c r="M245" t="e">
        <f>VLOOKUP($A245,Actual!$A:$D,3,FALSE)</f>
        <v>#N/A</v>
      </c>
      <c r="N245" t="e">
        <f>VLOOKUP(A245,NHT!B:F,5,FALSE)</f>
        <v>#N/A</v>
      </c>
    </row>
    <row r="246" spans="1:14" x14ac:dyDescent="0.2">
      <c r="A246" t="s">
        <v>43</v>
      </c>
      <c r="B246" t="s">
        <v>302</v>
      </c>
      <c r="C246" t="s">
        <v>13</v>
      </c>
      <c r="D246">
        <v>8300</v>
      </c>
      <c r="E246">
        <v>11.287544955999399</v>
      </c>
      <c r="F246">
        <v>13.12</v>
      </c>
      <c r="G246">
        <v>-1.83245504400054</v>
      </c>
      <c r="H246">
        <v>1.3599451754216201</v>
      </c>
      <c r="I246">
        <v>3.3862634867998298</v>
      </c>
      <c r="J246">
        <v>32.575089911998901</v>
      </c>
      <c r="K246" t="s">
        <v>384</v>
      </c>
      <c r="L246">
        <f>VLOOKUP($A246,Actual!$A:$D,4,FALSE)</f>
        <v>-9.8000000000000007</v>
      </c>
      <c r="M246">
        <f>VLOOKUP($A246,Actual!$A:$D,3,FALSE)</f>
        <v>7.1999999999999995E-2</v>
      </c>
      <c r="N246" t="e">
        <f>VLOOKUP(A246,NHT!B:F,5,FALSE)</f>
        <v>#N/A</v>
      </c>
    </row>
    <row r="247" spans="1:14" x14ac:dyDescent="0.2">
      <c r="A247" t="s">
        <v>204</v>
      </c>
      <c r="B247" t="s">
        <v>302</v>
      </c>
      <c r="C247" t="s">
        <v>10</v>
      </c>
      <c r="D247">
        <v>4600</v>
      </c>
      <c r="E247">
        <v>10.3143168821589</v>
      </c>
      <c r="F247">
        <v>9</v>
      </c>
      <c r="G247">
        <v>1.31431688215891</v>
      </c>
      <c r="H247">
        <v>2.2422428004693198</v>
      </c>
      <c r="I247">
        <v>4.1257267528635602</v>
      </c>
      <c r="J247">
        <v>30.7857922053972</v>
      </c>
      <c r="K247" t="s">
        <v>290</v>
      </c>
      <c r="L247">
        <f>VLOOKUP($A247,Actual!$A:$D,4,FALSE)</f>
        <v>0</v>
      </c>
      <c r="M247">
        <f>VLOOKUP($A247,Actual!$A:$D,3,FALSE)</f>
        <v>6.1999999999999998E-3</v>
      </c>
      <c r="N247">
        <f>VLOOKUP(A247,NHT!B:F,5,FALSE)</f>
        <v>19.966666666666999</v>
      </c>
    </row>
    <row r="248" spans="1:14" x14ac:dyDescent="0.2">
      <c r="A248" t="s">
        <v>223</v>
      </c>
      <c r="B248" t="s">
        <v>302</v>
      </c>
      <c r="C248" t="s">
        <v>10</v>
      </c>
      <c r="D248">
        <v>2500</v>
      </c>
      <c r="E248">
        <v>3.63649440263403</v>
      </c>
      <c r="F248">
        <v>5.4</v>
      </c>
      <c r="G248">
        <v>-1.7635055973659699</v>
      </c>
      <c r="H248">
        <v>1.45459776105361</v>
      </c>
      <c r="I248">
        <v>1.45459776105361</v>
      </c>
      <c r="J248">
        <v>14.091236006585</v>
      </c>
      <c r="K248" t="s">
        <v>290</v>
      </c>
      <c r="L248">
        <f>VLOOKUP($A248,Actual!$A:$D,4,FALSE)</f>
        <v>12.6</v>
      </c>
      <c r="M248">
        <f>VLOOKUP($A248,Actual!$A:$D,3,FALSE)</f>
        <v>3.3999999999999998E-3</v>
      </c>
      <c r="N248">
        <f>VLOOKUP(A248,NHT!B:F,5,FALSE)</f>
        <v>18.983333333333</v>
      </c>
    </row>
    <row r="249" spans="1:14" x14ac:dyDescent="0.2">
      <c r="A249" t="s">
        <v>44</v>
      </c>
      <c r="B249" t="s">
        <v>302</v>
      </c>
      <c r="C249" t="s">
        <v>10</v>
      </c>
      <c r="D249">
        <v>2500</v>
      </c>
      <c r="E249">
        <v>3.9784820128384002</v>
      </c>
      <c r="F249">
        <v>5.24</v>
      </c>
      <c r="G249">
        <v>-1.26151798716159</v>
      </c>
      <c r="H249">
        <v>1.5913928051353601</v>
      </c>
      <c r="I249">
        <v>1.5913928051353601</v>
      </c>
      <c r="J249">
        <v>14.946205032096</v>
      </c>
      <c r="K249" t="s">
        <v>290</v>
      </c>
      <c r="L249">
        <f>VLOOKUP($A249,Actual!$A:$D,4,FALSE)</f>
        <v>7.8</v>
      </c>
      <c r="M249">
        <f>VLOOKUP($A249,Actual!$A:$D,3,FALSE)</f>
        <v>6.9199999999999998E-2</v>
      </c>
      <c r="N249">
        <f>VLOOKUP(A249,NHT!B:F,5,FALSE)</f>
        <v>18.316666666667</v>
      </c>
    </row>
    <row r="250" spans="1:14" x14ac:dyDescent="0.2">
      <c r="A250" t="s">
        <v>72</v>
      </c>
      <c r="B250" t="s">
        <v>302</v>
      </c>
      <c r="C250" t="s">
        <v>5</v>
      </c>
      <c r="D250">
        <v>5400</v>
      </c>
      <c r="E250">
        <v>8.5050815161814004</v>
      </c>
      <c r="F250">
        <v>11.39</v>
      </c>
      <c r="G250">
        <v>-2.88491848381859</v>
      </c>
      <c r="H250">
        <v>1.57501509558914</v>
      </c>
      <c r="I250">
        <v>3.4020326064725599</v>
      </c>
      <c r="J250">
        <v>26.2627037904535</v>
      </c>
      <c r="K250" t="s">
        <v>290</v>
      </c>
      <c r="L250">
        <f>VLOOKUP($A250,Actual!$A:$D,4,FALSE)</f>
        <v>15</v>
      </c>
      <c r="M250">
        <f>VLOOKUP($A250,Actual!$A:$D,3,FALSE)</f>
        <v>4.3700000000000003E-2</v>
      </c>
      <c r="N250">
        <f>VLOOKUP(A250,NHT!B:F,5,FALSE)</f>
        <v>19.033333333333001</v>
      </c>
    </row>
    <row r="251" spans="1:14" x14ac:dyDescent="0.2">
      <c r="A251" t="s">
        <v>85</v>
      </c>
      <c r="B251" t="s">
        <v>302</v>
      </c>
      <c r="C251" t="s">
        <v>5</v>
      </c>
      <c r="D251">
        <v>8200</v>
      </c>
      <c r="E251">
        <v>13.342795290423499</v>
      </c>
      <c r="F251">
        <v>12.16</v>
      </c>
      <c r="G251">
        <v>1.1827952904235799</v>
      </c>
      <c r="H251">
        <v>1.6271701573687301</v>
      </c>
      <c r="I251">
        <v>5.3371181161694299</v>
      </c>
      <c r="J251">
        <v>38.356988226058903</v>
      </c>
      <c r="K251" t="s">
        <v>290</v>
      </c>
      <c r="L251">
        <f>VLOOKUP($A251,Actual!$A:$D,4,FALSE)</f>
        <v>11.5</v>
      </c>
      <c r="M251">
        <f>VLOOKUP($A251,Actual!$A:$D,3,FALSE)</f>
        <v>3.6799999999999999E-2</v>
      </c>
      <c r="N251">
        <f>VLOOKUP(A251,NHT!B:F,5,FALSE)</f>
        <v>17.05</v>
      </c>
    </row>
    <row r="252" spans="1:14" x14ac:dyDescent="0.2">
      <c r="A252" t="s">
        <v>60</v>
      </c>
      <c r="B252" t="s">
        <v>302</v>
      </c>
      <c r="C252" t="s">
        <v>294</v>
      </c>
      <c r="D252">
        <v>5800</v>
      </c>
      <c r="E252">
        <v>11.247252584025601</v>
      </c>
      <c r="F252">
        <v>11.15</v>
      </c>
      <c r="G252">
        <v>9.7252584025618205E-2</v>
      </c>
      <c r="H252">
        <v>1.93918148000441</v>
      </c>
      <c r="I252">
        <v>4.49890103361024</v>
      </c>
      <c r="J252">
        <v>33.118131460063999</v>
      </c>
      <c r="K252" t="s">
        <v>290</v>
      </c>
      <c r="L252">
        <f>VLOOKUP($A252,Actual!$A:$D,4,FALSE)</f>
        <v>13</v>
      </c>
      <c r="M252">
        <f>VLOOKUP($A252,Actual!$A:$D,3,FALSE)</f>
        <v>5.3900000000000003E-2</v>
      </c>
      <c r="N252">
        <f>VLOOKUP(A252,NHT!B:F,5,FALSE)</f>
        <v>16.216666666666999</v>
      </c>
    </row>
    <row r="253" spans="1:14" x14ac:dyDescent="0.2">
      <c r="A253" t="s">
        <v>260</v>
      </c>
      <c r="B253" t="s">
        <v>302</v>
      </c>
      <c r="C253" t="s">
        <v>5</v>
      </c>
      <c r="D253">
        <v>2500</v>
      </c>
      <c r="E253">
        <v>4.5219862995520996</v>
      </c>
      <c r="F253">
        <v>4.41</v>
      </c>
      <c r="G253">
        <v>0.11198629955210899</v>
      </c>
      <c r="H253">
        <v>1.8087945198208399</v>
      </c>
      <c r="I253">
        <v>1.8087945198208399</v>
      </c>
      <c r="J253">
        <v>16.3049657488802</v>
      </c>
      <c r="K253" t="s">
        <v>290</v>
      </c>
      <c r="L253">
        <f>VLOOKUP($A253,Actual!$A:$D,4,FALSE)</f>
        <v>1.5</v>
      </c>
      <c r="M253">
        <f>VLOOKUP($A253,Actual!$A:$D,3,FALSE)</f>
        <v>5.9999999999999995E-4</v>
      </c>
      <c r="N253">
        <f>VLOOKUP(A253,NHT!B:F,5,FALSE)</f>
        <v>13.8</v>
      </c>
    </row>
    <row r="254" spans="1:14" x14ac:dyDescent="0.2">
      <c r="A254" t="s">
        <v>247</v>
      </c>
      <c r="B254" t="s">
        <v>302</v>
      </c>
      <c r="C254" t="s">
        <v>5</v>
      </c>
      <c r="D254">
        <v>2500</v>
      </c>
      <c r="E254">
        <v>3.2763503246975501</v>
      </c>
      <c r="F254">
        <v>4.88</v>
      </c>
      <c r="G254">
        <v>-1.6036496753024401</v>
      </c>
      <c r="H254">
        <v>1.31054012987902</v>
      </c>
      <c r="I254">
        <v>1.31054012987902</v>
      </c>
      <c r="J254">
        <v>13.190875811743799</v>
      </c>
      <c r="K254" t="s">
        <v>290</v>
      </c>
      <c r="L254">
        <f>VLOOKUP($A254,Actual!$A:$D,4,FALSE)</f>
        <v>1.5</v>
      </c>
      <c r="M254">
        <f>VLOOKUP($A254,Actual!$A:$D,3,FALSE)</f>
        <v>1.1000000000000001E-3</v>
      </c>
      <c r="N254">
        <f>VLOOKUP(A254,NHT!B:F,5,FALSE)</f>
        <v>14.116666666666999</v>
      </c>
    </row>
    <row r="255" spans="1:14" x14ac:dyDescent="0.2">
      <c r="A255" t="s">
        <v>271</v>
      </c>
      <c r="B255" t="s">
        <v>302</v>
      </c>
      <c r="C255" t="s">
        <v>10</v>
      </c>
      <c r="D255">
        <v>2500</v>
      </c>
      <c r="E255">
        <v>6.7124536349152599</v>
      </c>
      <c r="F255">
        <v>3.74</v>
      </c>
      <c r="G255">
        <v>2.9724536349152602</v>
      </c>
      <c r="H255">
        <v>2.6849814539660999</v>
      </c>
      <c r="I255">
        <v>2.6849814539660999</v>
      </c>
      <c r="J255">
        <v>21.781134087288098</v>
      </c>
      <c r="K255" t="s">
        <v>290</v>
      </c>
      <c r="L255">
        <f>VLOOKUP($A255,Actual!$A:$D,4,FALSE)</f>
        <v>1.5</v>
      </c>
      <c r="M255">
        <f>VLOOKUP($A255,Actual!$A:$D,3,FALSE)</f>
        <v>5.9999999999999995E-4</v>
      </c>
      <c r="N255">
        <f>VLOOKUP(A255,NHT!B:F,5,FALSE)</f>
        <v>13.95</v>
      </c>
    </row>
    <row r="256" spans="1:14" x14ac:dyDescent="0.2">
      <c r="A256" t="s">
        <v>95</v>
      </c>
      <c r="B256" t="s">
        <v>302</v>
      </c>
      <c r="C256" t="s">
        <v>294</v>
      </c>
      <c r="D256">
        <v>6500</v>
      </c>
      <c r="E256">
        <v>11.906032901334701</v>
      </c>
      <c r="F256">
        <v>12.27</v>
      </c>
      <c r="G256">
        <v>-0.36396709866520599</v>
      </c>
      <c r="H256">
        <v>1.83169736943612</v>
      </c>
      <c r="I256">
        <v>4.7624131605339102</v>
      </c>
      <c r="J256">
        <v>34.765082253336899</v>
      </c>
      <c r="K256" t="s">
        <v>290</v>
      </c>
      <c r="L256">
        <f>VLOOKUP($A256,Actual!$A:$D,4,FALSE)</f>
        <v>9.3000000000000007</v>
      </c>
      <c r="M256">
        <f>VLOOKUP($A256,Actual!$A:$D,3,FALSE)</f>
        <v>3.2899999999999999E-2</v>
      </c>
      <c r="N256">
        <f>VLOOKUP(A256,NHT!B:F,5,FALSE)</f>
        <v>16.016666666667</v>
      </c>
    </row>
    <row r="257" spans="1:14" x14ac:dyDescent="0.2">
      <c r="A257" t="s">
        <v>310</v>
      </c>
      <c r="B257" t="s">
        <v>297</v>
      </c>
      <c r="C257" t="s">
        <v>5</v>
      </c>
      <c r="D257">
        <v>3400</v>
      </c>
      <c r="E257">
        <v>8.2220883361594304</v>
      </c>
      <c r="F257">
        <v>8.7100000000000009</v>
      </c>
      <c r="G257">
        <v>-0.487911663840563</v>
      </c>
      <c r="H257">
        <v>2.4182612753410102</v>
      </c>
      <c r="I257">
        <v>3.2888353344637702</v>
      </c>
      <c r="J257">
        <v>25.555220840398501</v>
      </c>
      <c r="K257" t="s">
        <v>290</v>
      </c>
      <c r="L257" t="e">
        <f>VLOOKUP($A257,Actual!$A:$D,4,FALSE)</f>
        <v>#N/A</v>
      </c>
      <c r="M257" t="e">
        <f>VLOOKUP($A257,Actual!$A:$D,3,FALSE)</f>
        <v>#N/A</v>
      </c>
      <c r="N257" t="e">
        <f>VLOOKUP(A257,NHT!B:F,5,FALSE)</f>
        <v>#N/A</v>
      </c>
    </row>
    <row r="258" spans="1:14" x14ac:dyDescent="0.2">
      <c r="A258" t="s">
        <v>311</v>
      </c>
      <c r="B258" t="s">
        <v>297</v>
      </c>
      <c r="C258" t="s">
        <v>10</v>
      </c>
      <c r="D258">
        <v>2700</v>
      </c>
      <c r="E258">
        <v>7.9401623234198802</v>
      </c>
      <c r="F258">
        <v>0</v>
      </c>
      <c r="G258">
        <v>7.9401623234198802</v>
      </c>
      <c r="H258">
        <v>2.9408008605258802</v>
      </c>
      <c r="I258">
        <v>3.1760649293679499</v>
      </c>
      <c r="J258">
        <v>24.850405808549699</v>
      </c>
      <c r="K258" t="s">
        <v>290</v>
      </c>
      <c r="L258" t="e">
        <f>VLOOKUP($A258,Actual!$A:$D,4,FALSE)</f>
        <v>#N/A</v>
      </c>
      <c r="M258" t="e">
        <f>VLOOKUP($A258,Actual!$A:$D,3,FALSE)</f>
        <v>#N/A</v>
      </c>
      <c r="N258" t="e">
        <f>VLOOKUP(A258,NHT!B:F,5,FALSE)</f>
        <v>#N/A</v>
      </c>
    </row>
    <row r="259" spans="1:14" x14ac:dyDescent="0.2">
      <c r="A259" t="s">
        <v>315</v>
      </c>
      <c r="B259" t="s">
        <v>297</v>
      </c>
      <c r="C259" t="s">
        <v>5</v>
      </c>
      <c r="D259">
        <v>2600</v>
      </c>
      <c r="E259">
        <v>6.9460184169896104</v>
      </c>
      <c r="F259">
        <v>4.76</v>
      </c>
      <c r="G259">
        <v>2.1860184169896102</v>
      </c>
      <c r="H259">
        <v>2.6715455449959999</v>
      </c>
      <c r="I259">
        <v>2.77840736679584</v>
      </c>
      <c r="J259">
        <v>22.365046042473999</v>
      </c>
      <c r="K259" t="s">
        <v>290</v>
      </c>
      <c r="L259" t="e">
        <f>VLOOKUP($A259,Actual!$A:$D,4,FALSE)</f>
        <v>#N/A</v>
      </c>
      <c r="M259" t="e">
        <f>VLOOKUP($A259,Actual!$A:$D,3,FALSE)</f>
        <v>#N/A</v>
      </c>
      <c r="N259" t="e">
        <f>VLOOKUP(A259,NHT!B:F,5,FALSE)</f>
        <v>#N/A</v>
      </c>
    </row>
    <row r="260" spans="1:14" x14ac:dyDescent="0.2">
      <c r="A260" t="s">
        <v>323</v>
      </c>
      <c r="B260" t="s">
        <v>297</v>
      </c>
      <c r="C260" t="s">
        <v>10</v>
      </c>
      <c r="D260">
        <v>3300</v>
      </c>
      <c r="E260">
        <v>5.7659650599436096</v>
      </c>
      <c r="F260">
        <v>6.81</v>
      </c>
      <c r="G260">
        <v>-1.04403494005638</v>
      </c>
      <c r="H260">
        <v>1.7472621393768499</v>
      </c>
      <c r="I260">
        <v>2.3063860239774399</v>
      </c>
      <c r="J260">
        <v>19.414912649859001</v>
      </c>
      <c r="K260" t="s">
        <v>290</v>
      </c>
      <c r="L260" t="e">
        <f>VLOOKUP($A260,Actual!$A:$D,4,FALSE)</f>
        <v>#N/A</v>
      </c>
      <c r="M260" t="e">
        <f>VLOOKUP($A260,Actual!$A:$D,3,FALSE)</f>
        <v>#N/A</v>
      </c>
      <c r="N260" t="e">
        <f>VLOOKUP(A260,NHT!B:F,5,FALSE)</f>
        <v>#N/A</v>
      </c>
    </row>
    <row r="261" spans="1:14" x14ac:dyDescent="0.2">
      <c r="A261" t="s">
        <v>84</v>
      </c>
      <c r="B261" t="s">
        <v>297</v>
      </c>
      <c r="C261" t="s">
        <v>13</v>
      </c>
      <c r="D261">
        <v>7800</v>
      </c>
      <c r="E261">
        <v>19.765149813670199</v>
      </c>
      <c r="F261">
        <v>10.71</v>
      </c>
      <c r="G261">
        <v>9.0551498136702797</v>
      </c>
      <c r="H261">
        <v>2.5339935658551598</v>
      </c>
      <c r="I261">
        <v>5.9295449441010799</v>
      </c>
      <c r="J261">
        <v>49.530299627340497</v>
      </c>
      <c r="K261" t="s">
        <v>384</v>
      </c>
      <c r="L261">
        <f>VLOOKUP($A261,Actual!$A:$D,4,FALSE)</f>
        <v>2.8</v>
      </c>
      <c r="M261">
        <f>VLOOKUP($A261,Actual!$A:$D,3,FALSE)</f>
        <v>3.6799999999999999E-2</v>
      </c>
      <c r="N261" t="e">
        <f>VLOOKUP(A261,NHT!B:F,5,FALSE)</f>
        <v>#N/A</v>
      </c>
    </row>
    <row r="262" spans="1:14" x14ac:dyDescent="0.2">
      <c r="A262" t="s">
        <v>389</v>
      </c>
      <c r="B262" t="s">
        <v>297</v>
      </c>
      <c r="C262" t="s">
        <v>13</v>
      </c>
      <c r="D262">
        <v>7800</v>
      </c>
      <c r="E262">
        <v>13.4498816024213</v>
      </c>
      <c r="F262">
        <v>5.49</v>
      </c>
      <c r="G262">
        <v>7.9598816024213397</v>
      </c>
      <c r="H262">
        <v>1.72434379518222</v>
      </c>
      <c r="I262">
        <v>4.0349644807263996</v>
      </c>
      <c r="J262">
        <v>36.8997632048426</v>
      </c>
      <c r="K262" t="s">
        <v>384</v>
      </c>
      <c r="L262" t="e">
        <f>VLOOKUP($A262,Actual!$A:$D,4,FALSE)</f>
        <v>#N/A</v>
      </c>
      <c r="M262" t="e">
        <f>VLOOKUP($A262,Actual!$A:$D,3,FALSE)</f>
        <v>#N/A</v>
      </c>
      <c r="N262" t="e">
        <f>VLOOKUP(A262,NHT!B:F,5,FALSE)</f>
        <v>#N/A</v>
      </c>
    </row>
    <row r="263" spans="1:14" x14ac:dyDescent="0.2">
      <c r="A263" t="s">
        <v>141</v>
      </c>
      <c r="B263" t="s">
        <v>297</v>
      </c>
      <c r="C263" t="s">
        <v>10</v>
      </c>
      <c r="D263">
        <v>5300</v>
      </c>
      <c r="E263">
        <v>10.4011900845312</v>
      </c>
      <c r="F263">
        <v>10.35</v>
      </c>
      <c r="G263">
        <v>5.1190084531210503E-2</v>
      </c>
      <c r="H263">
        <v>1.9624886951945599</v>
      </c>
      <c r="I263">
        <v>4.16047603381248</v>
      </c>
      <c r="J263">
        <v>31.002975211328</v>
      </c>
      <c r="K263" t="s">
        <v>290</v>
      </c>
      <c r="L263">
        <f>VLOOKUP($A263,Actual!$A:$D,4,FALSE)</f>
        <v>14.7</v>
      </c>
      <c r="M263">
        <f>VLOOKUP($A263,Actual!$A:$D,3,FALSE)</f>
        <v>2.0400000000000001E-2</v>
      </c>
      <c r="N263">
        <f>VLOOKUP(A263,NHT!B:F,5,FALSE)</f>
        <v>25.8</v>
      </c>
    </row>
    <row r="264" spans="1:14" x14ac:dyDescent="0.2">
      <c r="A264" t="s">
        <v>184</v>
      </c>
      <c r="B264" t="s">
        <v>297</v>
      </c>
      <c r="C264" t="s">
        <v>10</v>
      </c>
      <c r="D264">
        <v>4500</v>
      </c>
      <c r="E264">
        <v>8.4041306547153596</v>
      </c>
      <c r="F264">
        <v>9.19</v>
      </c>
      <c r="G264">
        <v>-0.78586934528463803</v>
      </c>
      <c r="H264">
        <v>1.86758458993674</v>
      </c>
      <c r="I264">
        <v>3.3616522618861402</v>
      </c>
      <c r="J264">
        <v>26.010326636788399</v>
      </c>
      <c r="K264" t="s">
        <v>290</v>
      </c>
      <c r="L264">
        <f>VLOOKUP($A264,Actual!$A:$D,4,FALSE)</f>
        <v>9.3000000000000007</v>
      </c>
      <c r="M264">
        <f>VLOOKUP($A264,Actual!$A:$D,3,FALSE)</f>
        <v>9.5999999999999992E-3</v>
      </c>
      <c r="N264">
        <f>VLOOKUP(A264,NHT!B:F,5,FALSE)</f>
        <v>23.233333333333</v>
      </c>
    </row>
    <row r="265" spans="1:14" x14ac:dyDescent="0.2">
      <c r="A265" t="s">
        <v>208</v>
      </c>
      <c r="B265" t="s">
        <v>297</v>
      </c>
      <c r="C265" t="s">
        <v>10</v>
      </c>
      <c r="D265">
        <v>2500</v>
      </c>
      <c r="E265">
        <v>4.9664325772126796</v>
      </c>
      <c r="F265">
        <v>5.22</v>
      </c>
      <c r="G265">
        <v>-0.25356742278731498</v>
      </c>
      <c r="H265">
        <v>1.98657303088507</v>
      </c>
      <c r="I265">
        <v>1.98657303088507</v>
      </c>
      <c r="J265">
        <v>17.4160814430317</v>
      </c>
      <c r="K265" t="s">
        <v>290</v>
      </c>
      <c r="L265">
        <f>VLOOKUP($A265,Actual!$A:$D,4,FALSE)</f>
        <v>9.5</v>
      </c>
      <c r="M265">
        <f>VLOOKUP($A265,Actual!$A:$D,3,FALSE)</f>
        <v>5.1000000000000004E-3</v>
      </c>
      <c r="N265">
        <f>VLOOKUP(A265,NHT!B:F,5,FALSE)</f>
        <v>16.883333333332999</v>
      </c>
    </row>
    <row r="266" spans="1:14" x14ac:dyDescent="0.2">
      <c r="A266" t="s">
        <v>100</v>
      </c>
      <c r="B266" t="s">
        <v>297</v>
      </c>
      <c r="C266" t="s">
        <v>292</v>
      </c>
      <c r="D266">
        <v>4000</v>
      </c>
      <c r="E266">
        <v>8.2761554306607596</v>
      </c>
      <c r="F266">
        <v>7.31</v>
      </c>
      <c r="G266">
        <v>0.96615543066076304</v>
      </c>
      <c r="H266">
        <v>2.0690388576651899</v>
      </c>
      <c r="I266">
        <v>3.3104621722643</v>
      </c>
      <c r="J266">
        <v>25.690388576651898</v>
      </c>
      <c r="K266" t="s">
        <v>290</v>
      </c>
      <c r="L266">
        <f>VLOOKUP($A266,Actual!$A:$D,4,FALSE)</f>
        <v>3</v>
      </c>
      <c r="M266">
        <f>VLOOKUP($A266,Actual!$A:$D,3,FALSE)</f>
        <v>3.1699999999999999E-2</v>
      </c>
      <c r="N266">
        <f>VLOOKUP(A266,NHT!B:F,5,FALSE)</f>
        <v>15.416666666667</v>
      </c>
    </row>
    <row r="267" spans="1:14" x14ac:dyDescent="0.2">
      <c r="A267" t="s">
        <v>252</v>
      </c>
      <c r="B267" t="s">
        <v>297</v>
      </c>
      <c r="C267" t="s">
        <v>5</v>
      </c>
      <c r="D267">
        <v>2500</v>
      </c>
      <c r="E267">
        <v>2.2509250013424902</v>
      </c>
      <c r="F267">
        <v>5.47</v>
      </c>
      <c r="G267">
        <v>-3.2190749986574998</v>
      </c>
      <c r="H267">
        <v>0.90037000053699601</v>
      </c>
      <c r="I267">
        <v>0.90037000053699601</v>
      </c>
      <c r="J267">
        <v>10.627312503356199</v>
      </c>
      <c r="K267" t="s">
        <v>290</v>
      </c>
      <c r="L267">
        <f>VLOOKUP($A267,Actual!$A:$D,4,FALSE)</f>
        <v>3</v>
      </c>
      <c r="M267">
        <f>VLOOKUP($A267,Actual!$A:$D,3,FALSE)</f>
        <v>1.1000000000000001E-3</v>
      </c>
      <c r="N267">
        <f>VLOOKUP(A267,NHT!B:F,5,FALSE)</f>
        <v>13.316666666667</v>
      </c>
    </row>
    <row r="268" spans="1:14" x14ac:dyDescent="0.2">
      <c r="A268" t="s">
        <v>40</v>
      </c>
      <c r="B268" t="s">
        <v>297</v>
      </c>
      <c r="C268" t="s">
        <v>5</v>
      </c>
      <c r="D268">
        <v>9500</v>
      </c>
      <c r="E268">
        <v>14.0531107717918</v>
      </c>
      <c r="F268">
        <v>16.510000000000002</v>
      </c>
      <c r="G268">
        <v>-2.4568892282081398</v>
      </c>
      <c r="H268">
        <v>1.4792748180833499</v>
      </c>
      <c r="I268">
        <v>5.6212443087167401</v>
      </c>
      <c r="J268">
        <v>40.132776929479597</v>
      </c>
      <c r="K268" t="s">
        <v>290</v>
      </c>
      <c r="L268">
        <f>VLOOKUP($A268,Actual!$A:$D,4,FALSE)</f>
        <v>19.5</v>
      </c>
      <c r="M268">
        <f>VLOOKUP($A268,Actual!$A:$D,3,FALSE)</f>
        <v>7.5399999999999995E-2</v>
      </c>
      <c r="N268">
        <f>VLOOKUP(A268,NHT!B:F,5,FALSE)</f>
        <v>22.633333333332999</v>
      </c>
    </row>
    <row r="269" spans="1:14" x14ac:dyDescent="0.2">
      <c r="A269" t="s">
        <v>57</v>
      </c>
      <c r="B269" t="s">
        <v>297</v>
      </c>
      <c r="C269" t="s">
        <v>294</v>
      </c>
      <c r="D269">
        <v>6200</v>
      </c>
      <c r="E269">
        <v>11.180998176241699</v>
      </c>
      <c r="F269">
        <v>10.59</v>
      </c>
      <c r="G269">
        <v>0.59099817624172701</v>
      </c>
      <c r="H269">
        <v>1.80338680261963</v>
      </c>
      <c r="I269">
        <v>4.4723992704966902</v>
      </c>
      <c r="J269">
        <v>32.952495440604302</v>
      </c>
      <c r="K269" t="s">
        <v>290</v>
      </c>
      <c r="L269">
        <f>VLOOKUP($A269,Actual!$A:$D,4,FALSE)</f>
        <v>15.8</v>
      </c>
      <c r="M269">
        <f>VLOOKUP($A269,Actual!$A:$D,3,FALSE)</f>
        <v>5.5599999999999997E-2</v>
      </c>
      <c r="N269">
        <f>VLOOKUP(A269,NHT!B:F,5,FALSE)</f>
        <v>20.066666666667</v>
      </c>
    </row>
    <row r="270" spans="1:14" x14ac:dyDescent="0.2">
      <c r="A270" t="s">
        <v>77</v>
      </c>
      <c r="B270" t="s">
        <v>297</v>
      </c>
      <c r="C270" t="s">
        <v>5</v>
      </c>
      <c r="D270">
        <v>6000</v>
      </c>
      <c r="E270">
        <v>10.9432804989345</v>
      </c>
      <c r="F270">
        <v>11.31</v>
      </c>
      <c r="G270">
        <v>-0.366719501065498</v>
      </c>
      <c r="H270">
        <v>1.82388008315575</v>
      </c>
      <c r="I270">
        <v>4.3773121995738</v>
      </c>
      <c r="J270">
        <v>32.358201247336197</v>
      </c>
      <c r="K270" t="s">
        <v>290</v>
      </c>
      <c r="L270">
        <f>VLOOKUP($A270,Actual!$A:$D,4,FALSE)</f>
        <v>27.6</v>
      </c>
      <c r="M270">
        <f>VLOOKUP($A270,Actual!$A:$D,3,FALSE)</f>
        <v>4.1399999999999999E-2</v>
      </c>
      <c r="N270">
        <f>VLOOKUP(A270,NHT!B:F,5,FALSE)</f>
        <v>19.966666666666999</v>
      </c>
    </row>
    <row r="271" spans="1:14" x14ac:dyDescent="0.2">
      <c r="A271" t="s">
        <v>50</v>
      </c>
      <c r="B271" t="s">
        <v>297</v>
      </c>
      <c r="C271" t="s">
        <v>294</v>
      </c>
      <c r="D271">
        <v>7500</v>
      </c>
      <c r="E271">
        <v>10.512877628023</v>
      </c>
      <c r="F271">
        <v>15.1</v>
      </c>
      <c r="G271">
        <v>-4.5871223719769798</v>
      </c>
      <c r="H271">
        <v>1.40171701706973</v>
      </c>
      <c r="I271">
        <v>4.2051510512092003</v>
      </c>
      <c r="J271">
        <v>31.2821940700575</v>
      </c>
      <c r="K271" t="s">
        <v>290</v>
      </c>
      <c r="L271">
        <f>VLOOKUP($A271,Actual!$A:$D,4,FALSE)</f>
        <v>6.3</v>
      </c>
      <c r="M271">
        <f>VLOOKUP($A271,Actual!$A:$D,3,FALSE)</f>
        <v>6.2899999999999998E-2</v>
      </c>
      <c r="N271">
        <f>VLOOKUP(A271,NHT!B:F,5,FALSE)</f>
        <v>20.833333333333002</v>
      </c>
    </row>
    <row r="272" spans="1:14" x14ac:dyDescent="0.2">
      <c r="A272" t="s">
        <v>270</v>
      </c>
      <c r="B272" t="s">
        <v>297</v>
      </c>
      <c r="C272" t="s">
        <v>10</v>
      </c>
      <c r="D272">
        <v>2700</v>
      </c>
      <c r="E272">
        <v>4.8700285355987001</v>
      </c>
      <c r="F272">
        <v>5.83</v>
      </c>
      <c r="G272">
        <v>-0.95997146440129599</v>
      </c>
      <c r="H272">
        <v>1.8037142724439601</v>
      </c>
      <c r="I272">
        <v>1.94801141423948</v>
      </c>
      <c r="J272">
        <v>17.175071338996698</v>
      </c>
      <c r="K272" t="s">
        <v>290</v>
      </c>
      <c r="L272">
        <f>VLOOKUP($A272,Actual!$A:$D,4,FALSE)</f>
        <v>0</v>
      </c>
      <c r="M272">
        <f>VLOOKUP($A272,Actual!$A:$D,3,FALSE)</f>
        <v>5.9999999999999995E-4</v>
      </c>
      <c r="N272">
        <f>VLOOKUP(A272,NHT!B:F,5,FALSE)</f>
        <v>10.85</v>
      </c>
    </row>
    <row r="273" spans="1:14" x14ac:dyDescent="0.2">
      <c r="A273" t="s">
        <v>218</v>
      </c>
      <c r="B273" t="s">
        <v>297</v>
      </c>
      <c r="C273" t="s">
        <v>294</v>
      </c>
      <c r="D273">
        <v>2500</v>
      </c>
      <c r="E273">
        <v>4.8512565643076702</v>
      </c>
      <c r="F273">
        <v>3.41</v>
      </c>
      <c r="G273">
        <v>1.44125656430767</v>
      </c>
      <c r="H273">
        <v>1.94050262572307</v>
      </c>
      <c r="I273">
        <v>1.94050262572307</v>
      </c>
      <c r="J273">
        <v>17.1281414107691</v>
      </c>
      <c r="K273" t="s">
        <v>290</v>
      </c>
      <c r="L273">
        <f>VLOOKUP($A273,Actual!$A:$D,4,FALSE)</f>
        <v>0</v>
      </c>
      <c r="M273">
        <f>VLOOKUP($A273,Actual!$A:$D,3,FALSE)</f>
        <v>4.0000000000000001E-3</v>
      </c>
      <c r="N273">
        <f>VLOOKUP(A273,NHT!B:F,5,FALSE)</f>
        <v>10.916666666667</v>
      </c>
    </row>
    <row r="274" spans="1:14" x14ac:dyDescent="0.2">
      <c r="A274" t="s">
        <v>276</v>
      </c>
      <c r="B274" t="s">
        <v>297</v>
      </c>
      <c r="C274" t="s">
        <v>294</v>
      </c>
      <c r="D274">
        <v>2500</v>
      </c>
      <c r="E274">
        <v>4.2899778942809901</v>
      </c>
      <c r="F274">
        <v>4.1900000000000004</v>
      </c>
      <c r="G274">
        <v>9.9977894280993199E-2</v>
      </c>
      <c r="H274">
        <v>1.7159911577123901</v>
      </c>
      <c r="I274">
        <v>1.7159911577123901</v>
      </c>
      <c r="J274">
        <v>15.724944735702399</v>
      </c>
      <c r="K274" t="s">
        <v>290</v>
      </c>
      <c r="L274">
        <f>VLOOKUP($A274,Actual!$A:$D,4,FALSE)</f>
        <v>4.0999999999999996</v>
      </c>
      <c r="M274">
        <f>VLOOKUP($A274,Actual!$A:$D,3,FALSE)</f>
        <v>5.9999999999999995E-4</v>
      </c>
      <c r="N274">
        <f>VLOOKUP(A274,NHT!B:F,5,FALSE)</f>
        <v>10.283333333332999</v>
      </c>
    </row>
    <row r="275" spans="1:14" x14ac:dyDescent="0.2">
      <c r="A275" t="s">
        <v>228</v>
      </c>
      <c r="B275" t="s">
        <v>297</v>
      </c>
      <c r="C275" t="s">
        <v>10</v>
      </c>
      <c r="D275">
        <v>2500</v>
      </c>
      <c r="E275">
        <v>5.2535727039873201</v>
      </c>
      <c r="F275">
        <v>3.93</v>
      </c>
      <c r="G275">
        <v>1.32357270398732</v>
      </c>
      <c r="H275">
        <v>2.1014290815949201</v>
      </c>
      <c r="I275">
        <v>2.1014290815949201</v>
      </c>
      <c r="J275">
        <v>18.133931759968299</v>
      </c>
      <c r="K275" t="s">
        <v>290</v>
      </c>
      <c r="L275">
        <f>VLOOKUP($A275,Actual!$A:$D,4,FALSE)</f>
        <v>2.8</v>
      </c>
      <c r="M275">
        <f>VLOOKUP($A275,Actual!$A:$D,3,FALSE)</f>
        <v>2.8E-3</v>
      </c>
      <c r="N275">
        <f>VLOOKUP(A275,NHT!B:F,5,FALSE)</f>
        <v>10.9</v>
      </c>
    </row>
    <row r="276" spans="1:14" x14ac:dyDescent="0.2">
      <c r="A276" t="s">
        <v>330</v>
      </c>
      <c r="B276" t="s">
        <v>297</v>
      </c>
      <c r="C276" t="s">
        <v>292</v>
      </c>
      <c r="D276">
        <v>2500</v>
      </c>
      <c r="E276">
        <v>5.3763698616817504</v>
      </c>
      <c r="F276">
        <v>3.83</v>
      </c>
      <c r="G276">
        <v>1.5463698616817501</v>
      </c>
      <c r="H276">
        <v>2.1505479446727001</v>
      </c>
      <c r="I276">
        <v>2.1505479446727001</v>
      </c>
      <c r="J276">
        <v>18.440924654204299</v>
      </c>
      <c r="K276" t="s">
        <v>290</v>
      </c>
      <c r="L276" t="e">
        <f>VLOOKUP($A276,Actual!$A:$D,4,FALSE)</f>
        <v>#N/A</v>
      </c>
      <c r="M276" t="e">
        <f>VLOOKUP($A276,Actual!$A:$D,3,FALSE)</f>
        <v>#N/A</v>
      </c>
      <c r="N276">
        <f>VLOOKUP(A276,NHT!B:F,5,FALSE)</f>
        <v>8.8000000000000007</v>
      </c>
    </row>
    <row r="277" spans="1:14" x14ac:dyDescent="0.2">
      <c r="A277" t="s">
        <v>371</v>
      </c>
      <c r="B277" t="s">
        <v>297</v>
      </c>
      <c r="C277" t="s">
        <v>294</v>
      </c>
      <c r="D277">
        <v>2500</v>
      </c>
      <c r="E277">
        <v>3.0019517076404498</v>
      </c>
      <c r="F277">
        <v>2.72</v>
      </c>
      <c r="G277">
        <v>0.28195170764045502</v>
      </c>
      <c r="H277">
        <v>1.20078068305618</v>
      </c>
      <c r="I277">
        <v>1.20078068305618</v>
      </c>
      <c r="J277">
        <v>12.504879269101099</v>
      </c>
      <c r="K277" t="s">
        <v>290</v>
      </c>
      <c r="L277" t="e">
        <f>VLOOKUP($A277,Actual!$A:$D,4,FALSE)</f>
        <v>#N/A</v>
      </c>
      <c r="M277" t="e">
        <f>VLOOKUP($A277,Actual!$A:$D,3,FALSE)</f>
        <v>#N/A</v>
      </c>
      <c r="N277">
        <f>VLOOKUP(A277,NHT!B:F,5,FALSE)</f>
        <v>5.5</v>
      </c>
    </row>
    <row r="278" spans="1:14" x14ac:dyDescent="0.2">
      <c r="A278" t="s">
        <v>321</v>
      </c>
      <c r="B278" t="s">
        <v>296</v>
      </c>
      <c r="C278" t="s">
        <v>10</v>
      </c>
      <c r="D278">
        <v>2500</v>
      </c>
      <c r="E278">
        <v>5.85368910962685</v>
      </c>
      <c r="F278">
        <v>2.8</v>
      </c>
      <c r="G278">
        <v>3.0536891096268501</v>
      </c>
      <c r="H278">
        <v>2.3414756438507398</v>
      </c>
      <c r="I278">
        <v>2.3414756438507398</v>
      </c>
      <c r="J278">
        <v>19.634222774067101</v>
      </c>
      <c r="K278" t="s">
        <v>290</v>
      </c>
      <c r="L278" t="e">
        <f>VLOOKUP($A278,Actual!$A:$D,4,FALSE)</f>
        <v>#N/A</v>
      </c>
      <c r="M278" t="e">
        <f>VLOOKUP($A278,Actual!$A:$D,3,FALSE)</f>
        <v>#N/A</v>
      </c>
      <c r="N278" t="e">
        <f>VLOOKUP(A278,NHT!B:F,5,FALSE)</f>
        <v>#N/A</v>
      </c>
    </row>
    <row r="279" spans="1:14" x14ac:dyDescent="0.2">
      <c r="A279" t="s">
        <v>336</v>
      </c>
      <c r="B279" t="s">
        <v>296</v>
      </c>
      <c r="C279" t="s">
        <v>10</v>
      </c>
      <c r="D279">
        <v>2500</v>
      </c>
      <c r="E279">
        <v>4.96358850776965</v>
      </c>
      <c r="F279">
        <v>3.66</v>
      </c>
      <c r="G279">
        <v>1.3035885077696501</v>
      </c>
      <c r="H279">
        <v>1.98543540310786</v>
      </c>
      <c r="I279">
        <v>1.98543540310786</v>
      </c>
      <c r="J279">
        <v>17.4089712694241</v>
      </c>
      <c r="K279" t="s">
        <v>290</v>
      </c>
      <c r="L279" t="e">
        <f>VLOOKUP($A279,Actual!$A:$D,4,FALSE)</f>
        <v>#N/A</v>
      </c>
      <c r="M279" t="e">
        <f>VLOOKUP($A279,Actual!$A:$D,3,FALSE)</f>
        <v>#N/A</v>
      </c>
      <c r="N279" t="e">
        <f>VLOOKUP(A279,NHT!B:F,5,FALSE)</f>
        <v>#N/A</v>
      </c>
    </row>
    <row r="280" spans="1:14" x14ac:dyDescent="0.2">
      <c r="A280" t="s">
        <v>381</v>
      </c>
      <c r="B280" t="s">
        <v>296</v>
      </c>
      <c r="C280" t="s">
        <v>5</v>
      </c>
      <c r="D280">
        <v>2500</v>
      </c>
      <c r="E280">
        <v>2.1777000001482301</v>
      </c>
      <c r="F280">
        <v>3.58</v>
      </c>
      <c r="G280">
        <v>-1.40229999985176</v>
      </c>
      <c r="H280">
        <v>0.87108000005929298</v>
      </c>
      <c r="I280">
        <v>0.87108000005929298</v>
      </c>
      <c r="J280">
        <v>10.4442500003705</v>
      </c>
      <c r="K280" t="s">
        <v>290</v>
      </c>
      <c r="L280" t="e">
        <f>VLOOKUP($A280,Actual!$A:$D,4,FALSE)</f>
        <v>#N/A</v>
      </c>
      <c r="M280" t="e">
        <f>VLOOKUP($A280,Actual!$A:$D,3,FALSE)</f>
        <v>#N/A</v>
      </c>
      <c r="N280" t="e">
        <f>VLOOKUP(A280,NHT!B:F,5,FALSE)</f>
        <v>#N/A</v>
      </c>
    </row>
    <row r="281" spans="1:14" x14ac:dyDescent="0.2">
      <c r="A281" t="s">
        <v>382</v>
      </c>
      <c r="B281" t="s">
        <v>296</v>
      </c>
      <c r="C281" t="s">
        <v>5</v>
      </c>
      <c r="D281">
        <v>2500</v>
      </c>
      <c r="E281">
        <v>1.45180680133731</v>
      </c>
      <c r="F281">
        <v>2.8</v>
      </c>
      <c r="G281">
        <v>-1.3481931986626801</v>
      </c>
      <c r="H281">
        <v>0.58072272053492402</v>
      </c>
      <c r="I281">
        <v>0.58072272053492402</v>
      </c>
      <c r="J281">
        <v>8.6295170033432793</v>
      </c>
      <c r="K281" t="s">
        <v>290</v>
      </c>
      <c r="L281" t="e">
        <f>VLOOKUP($A281,Actual!$A:$D,4,FALSE)</f>
        <v>#N/A</v>
      </c>
      <c r="M281" t="e">
        <f>VLOOKUP($A281,Actual!$A:$D,3,FALSE)</f>
        <v>#N/A</v>
      </c>
      <c r="N281" t="e">
        <f>VLOOKUP(A281,NHT!B:F,5,FALSE)</f>
        <v>#N/A</v>
      </c>
    </row>
    <row r="282" spans="1:14" x14ac:dyDescent="0.2">
      <c r="A282" t="s">
        <v>29</v>
      </c>
      <c r="B282" t="s">
        <v>296</v>
      </c>
      <c r="C282" t="s">
        <v>13</v>
      </c>
      <c r="D282">
        <v>7800</v>
      </c>
      <c r="E282">
        <v>17.165768635396599</v>
      </c>
      <c r="F282">
        <v>10.69</v>
      </c>
      <c r="G282">
        <v>6.4757686353966104</v>
      </c>
      <c r="H282">
        <v>2.2007395686405902</v>
      </c>
      <c r="I282">
        <v>5.1497305906189803</v>
      </c>
      <c r="J282">
        <v>44.331537270793199</v>
      </c>
      <c r="K282" t="s">
        <v>384</v>
      </c>
      <c r="L282">
        <f>VLOOKUP($A282,Actual!$A:$D,4,FALSE)</f>
        <v>11.8</v>
      </c>
      <c r="M282">
        <f>VLOOKUP($A282,Actual!$A:$D,3,FALSE)</f>
        <v>0.1071</v>
      </c>
      <c r="N282" t="e">
        <f>VLOOKUP(A282,NHT!B:F,5,FALSE)</f>
        <v>#N/A</v>
      </c>
    </row>
    <row r="283" spans="1:14" x14ac:dyDescent="0.2">
      <c r="A283" t="s">
        <v>387</v>
      </c>
      <c r="B283" t="s">
        <v>296</v>
      </c>
      <c r="C283" t="s">
        <v>13</v>
      </c>
      <c r="D283">
        <v>7800</v>
      </c>
      <c r="E283">
        <v>14.3001939669661</v>
      </c>
      <c r="F283">
        <v>8.77</v>
      </c>
      <c r="G283">
        <v>5.53019396696613</v>
      </c>
      <c r="H283">
        <v>1.83335820089309</v>
      </c>
      <c r="I283">
        <v>4.2900581900898302</v>
      </c>
      <c r="J283">
        <v>38.600387933932197</v>
      </c>
      <c r="K283" t="s">
        <v>384</v>
      </c>
      <c r="L283" t="e">
        <f>VLOOKUP($A283,Actual!$A:$D,4,FALSE)</f>
        <v>#N/A</v>
      </c>
      <c r="M283" t="e">
        <f>VLOOKUP($A283,Actual!$A:$D,3,FALSE)</f>
        <v>#N/A</v>
      </c>
      <c r="N283" t="e">
        <f>VLOOKUP(A283,NHT!B:F,5,FALSE)</f>
        <v>#N/A</v>
      </c>
    </row>
    <row r="284" spans="1:14" x14ac:dyDescent="0.2">
      <c r="A284" t="s">
        <v>168</v>
      </c>
      <c r="B284" t="s">
        <v>296</v>
      </c>
      <c r="C284" t="s">
        <v>10</v>
      </c>
      <c r="D284">
        <v>2800</v>
      </c>
      <c r="E284">
        <v>5.2652757313484901</v>
      </c>
      <c r="F284">
        <v>5.91</v>
      </c>
      <c r="G284">
        <v>-0.64472426865150101</v>
      </c>
      <c r="H284">
        <v>1.88045561833874</v>
      </c>
      <c r="I284">
        <v>2.1061102925393902</v>
      </c>
      <c r="J284">
        <v>18.1631893283712</v>
      </c>
      <c r="K284" t="s">
        <v>290</v>
      </c>
      <c r="L284">
        <f>VLOOKUP($A284,Actual!$A:$D,4,FALSE)</f>
        <v>3</v>
      </c>
      <c r="M284">
        <f>VLOOKUP($A284,Actual!$A:$D,3,FALSE)</f>
        <v>1.2999999999999999E-2</v>
      </c>
      <c r="N284">
        <f>VLOOKUP(A284,NHT!B:F,5,FALSE)</f>
        <v>24.516666666667</v>
      </c>
    </row>
    <row r="285" spans="1:14" x14ac:dyDescent="0.2">
      <c r="A285" t="s">
        <v>55</v>
      </c>
      <c r="B285" t="s">
        <v>296</v>
      </c>
      <c r="C285" t="s">
        <v>10</v>
      </c>
      <c r="D285">
        <v>5900</v>
      </c>
      <c r="E285">
        <v>11.076551144257101</v>
      </c>
      <c r="F285">
        <v>11.02</v>
      </c>
      <c r="G285">
        <v>5.6551144257140203E-2</v>
      </c>
      <c r="H285">
        <v>1.87738154987409</v>
      </c>
      <c r="I285">
        <v>4.4306204577028501</v>
      </c>
      <c r="J285">
        <v>32.691377860642802</v>
      </c>
      <c r="K285" t="s">
        <v>290</v>
      </c>
      <c r="L285">
        <f>VLOOKUP($A285,Actual!$A:$D,4,FALSE)</f>
        <v>5.6</v>
      </c>
      <c r="M285">
        <f>VLOOKUP($A285,Actual!$A:$D,3,FALSE)</f>
        <v>5.6099999999999997E-2</v>
      </c>
      <c r="N285">
        <f>VLOOKUP(A285,NHT!B:F,5,FALSE)</f>
        <v>26.2</v>
      </c>
    </row>
    <row r="286" spans="1:14" x14ac:dyDescent="0.2">
      <c r="A286" t="s">
        <v>169</v>
      </c>
      <c r="B286" t="s">
        <v>296</v>
      </c>
      <c r="C286" t="s">
        <v>10</v>
      </c>
      <c r="D286">
        <v>2900</v>
      </c>
      <c r="E286">
        <v>7.2910951745675199</v>
      </c>
      <c r="F286">
        <v>6.26</v>
      </c>
      <c r="G286">
        <v>1.0310951745675201</v>
      </c>
      <c r="H286">
        <v>2.5141707498508699</v>
      </c>
      <c r="I286">
        <v>2.9164380698270098</v>
      </c>
      <c r="J286">
        <v>23.227737936418801</v>
      </c>
      <c r="K286" t="s">
        <v>290</v>
      </c>
      <c r="L286">
        <f>VLOOKUP($A286,Actual!$A:$D,4,FALSE)</f>
        <v>1.5</v>
      </c>
      <c r="M286">
        <f>VLOOKUP($A286,Actual!$A:$D,3,FALSE)</f>
        <v>1.2999999999999999E-2</v>
      </c>
      <c r="N286">
        <f>VLOOKUP(A286,NHT!B:F,5,FALSE)</f>
        <v>24.133333333332999</v>
      </c>
    </row>
    <row r="287" spans="1:14" x14ac:dyDescent="0.2">
      <c r="A287" t="s">
        <v>45</v>
      </c>
      <c r="B287" t="s">
        <v>296</v>
      </c>
      <c r="C287" t="s">
        <v>5</v>
      </c>
      <c r="D287">
        <v>6900</v>
      </c>
      <c r="E287">
        <v>12.222578296889701</v>
      </c>
      <c r="F287">
        <v>12.39</v>
      </c>
      <c r="G287">
        <v>-0.16742170311025301</v>
      </c>
      <c r="H287">
        <v>1.77138815896952</v>
      </c>
      <c r="I287">
        <v>4.8890313187558903</v>
      </c>
      <c r="J287">
        <v>35.556445742224298</v>
      </c>
      <c r="K287" t="s">
        <v>290</v>
      </c>
      <c r="L287">
        <f>VLOOKUP($A287,Actual!$A:$D,4,FALSE)</f>
        <v>2.8</v>
      </c>
      <c r="M287">
        <f>VLOOKUP($A287,Actual!$A:$D,3,FALSE)</f>
        <v>6.8599999999999994E-2</v>
      </c>
      <c r="N287">
        <f>VLOOKUP(A287,NHT!B:F,5,FALSE)</f>
        <v>24.833333333333002</v>
      </c>
    </row>
    <row r="288" spans="1:14" x14ac:dyDescent="0.2">
      <c r="A288" t="s">
        <v>51</v>
      </c>
      <c r="B288" t="s">
        <v>296</v>
      </c>
      <c r="C288" t="s">
        <v>292</v>
      </c>
      <c r="D288">
        <v>7900</v>
      </c>
      <c r="E288">
        <v>15.203568797711</v>
      </c>
      <c r="F288">
        <v>13.71</v>
      </c>
      <c r="G288">
        <v>1.4935687977110199</v>
      </c>
      <c r="H288">
        <v>1.9245023794570899</v>
      </c>
      <c r="I288">
        <v>6.0814275190844098</v>
      </c>
      <c r="J288">
        <v>43.0089219942775</v>
      </c>
      <c r="K288" t="s">
        <v>290</v>
      </c>
      <c r="L288">
        <f>VLOOKUP($A288,Actual!$A:$D,4,FALSE)</f>
        <v>1.5</v>
      </c>
      <c r="M288">
        <f>VLOOKUP($A288,Actual!$A:$D,3,FALSE)</f>
        <v>6.1199999999999997E-2</v>
      </c>
      <c r="N288">
        <f>VLOOKUP(A288,NHT!B:F,5,FALSE)</f>
        <v>23.3</v>
      </c>
    </row>
    <row r="289" spans="1:14" x14ac:dyDescent="0.2">
      <c r="A289" t="s">
        <v>200</v>
      </c>
      <c r="B289" t="s">
        <v>296</v>
      </c>
      <c r="C289" t="s">
        <v>10</v>
      </c>
      <c r="D289">
        <v>2500</v>
      </c>
      <c r="E289">
        <v>4.9150740828102197</v>
      </c>
      <c r="F289">
        <v>5.67</v>
      </c>
      <c r="G289">
        <v>-0.75492591718977198</v>
      </c>
      <c r="H289">
        <v>1.9660296331240901</v>
      </c>
      <c r="I289">
        <v>1.9660296331240901</v>
      </c>
      <c r="J289">
        <v>17.2876852070255</v>
      </c>
      <c r="K289" t="s">
        <v>290</v>
      </c>
      <c r="L289">
        <f>VLOOKUP($A289,Actual!$A:$D,4,FALSE)</f>
        <v>1.3</v>
      </c>
      <c r="M289">
        <f>VLOOKUP($A289,Actual!$A:$D,3,FALSE)</f>
        <v>7.4000000000000003E-3</v>
      </c>
      <c r="N289">
        <f>VLOOKUP(A289,NHT!B:F,5,FALSE)</f>
        <v>18.616666666667001</v>
      </c>
    </row>
    <row r="290" spans="1:14" x14ac:dyDescent="0.2">
      <c r="A290" t="s">
        <v>117</v>
      </c>
      <c r="B290" t="s">
        <v>296</v>
      </c>
      <c r="C290" t="s">
        <v>292</v>
      </c>
      <c r="D290">
        <v>3400</v>
      </c>
      <c r="E290">
        <v>5.6517674963049398</v>
      </c>
      <c r="F290">
        <v>5.79</v>
      </c>
      <c r="G290">
        <v>-0.13823250369505699</v>
      </c>
      <c r="H290">
        <v>1.66228455773674</v>
      </c>
      <c r="I290">
        <v>2.2607069985219699</v>
      </c>
      <c r="J290">
        <v>19.129418740762301</v>
      </c>
      <c r="K290" t="s">
        <v>290</v>
      </c>
      <c r="L290">
        <f>VLOOKUP($A290,Actual!$A:$D,4,FALSE)</f>
        <v>0</v>
      </c>
      <c r="M290">
        <f>VLOOKUP($A290,Actual!$A:$D,3,FALSE)</f>
        <v>2.6100000000000002E-2</v>
      </c>
      <c r="N290">
        <f>VLOOKUP(A290,NHT!B:F,5,FALSE)</f>
        <v>18.233333333333</v>
      </c>
    </row>
    <row r="291" spans="1:14" x14ac:dyDescent="0.2">
      <c r="A291" t="s">
        <v>82</v>
      </c>
      <c r="B291" t="s">
        <v>296</v>
      </c>
      <c r="C291" t="s">
        <v>5</v>
      </c>
      <c r="D291">
        <v>4900</v>
      </c>
      <c r="E291">
        <v>9.9405960906055792</v>
      </c>
      <c r="F291">
        <v>9.8699999999999992</v>
      </c>
      <c r="G291">
        <v>7.0596090605587095E-2</v>
      </c>
      <c r="H291">
        <v>2.0286930797154201</v>
      </c>
      <c r="I291">
        <v>3.9762384362422298</v>
      </c>
      <c r="J291">
        <v>29.851490226513899</v>
      </c>
      <c r="K291" t="s">
        <v>290</v>
      </c>
      <c r="L291">
        <f>VLOOKUP($A291,Actual!$A:$D,4,FALSE)</f>
        <v>1.5</v>
      </c>
      <c r="M291">
        <f>VLOOKUP($A291,Actual!$A:$D,3,FALSE)</f>
        <v>3.85E-2</v>
      </c>
      <c r="N291">
        <f>VLOOKUP(A291,NHT!B:F,5,FALSE)</f>
        <v>16.683333333333</v>
      </c>
    </row>
    <row r="292" spans="1:14" x14ac:dyDescent="0.2">
      <c r="A292" t="s">
        <v>222</v>
      </c>
      <c r="B292" t="s">
        <v>296</v>
      </c>
      <c r="C292" t="s">
        <v>294</v>
      </c>
      <c r="D292">
        <v>2800</v>
      </c>
      <c r="E292">
        <v>7.1498795632000398</v>
      </c>
      <c r="F292">
        <v>4.97</v>
      </c>
      <c r="G292">
        <v>2.1798795632000401</v>
      </c>
      <c r="H292">
        <v>2.55352841542858</v>
      </c>
      <c r="I292">
        <v>2.8599518252800098</v>
      </c>
      <c r="J292">
        <v>22.874698908000099</v>
      </c>
      <c r="K292" t="s">
        <v>290</v>
      </c>
      <c r="L292">
        <f>VLOOKUP($A292,Actual!$A:$D,4,FALSE)</f>
        <v>1.5</v>
      </c>
      <c r="M292">
        <f>VLOOKUP($A292,Actual!$A:$D,3,FALSE)</f>
        <v>3.3999999999999998E-3</v>
      </c>
      <c r="N292">
        <f>VLOOKUP(A292,NHT!B:F,5,FALSE)</f>
        <v>15.1</v>
      </c>
    </row>
    <row r="293" spans="1:14" x14ac:dyDescent="0.2">
      <c r="A293" t="s">
        <v>211</v>
      </c>
      <c r="B293" t="s">
        <v>296</v>
      </c>
      <c r="C293" t="s">
        <v>5</v>
      </c>
      <c r="D293">
        <v>2500</v>
      </c>
      <c r="E293">
        <v>5.8544228790355497</v>
      </c>
      <c r="F293">
        <v>4.55</v>
      </c>
      <c r="G293">
        <v>1.3044228790355501</v>
      </c>
      <c r="H293">
        <v>2.3417691516142201</v>
      </c>
      <c r="I293">
        <v>2.3417691516142201</v>
      </c>
      <c r="J293">
        <v>19.636057197588801</v>
      </c>
      <c r="K293" t="s">
        <v>290</v>
      </c>
      <c r="L293">
        <f>VLOOKUP($A293,Actual!$A:$D,4,FALSE)</f>
        <v>1.3</v>
      </c>
      <c r="M293">
        <f>VLOOKUP($A293,Actual!$A:$D,3,FALSE)</f>
        <v>4.4999999999999997E-3</v>
      </c>
      <c r="N293">
        <f>VLOOKUP(A293,NHT!B:F,5,FALSE)</f>
        <v>16.016666666667</v>
      </c>
    </row>
    <row r="294" spans="1:14" x14ac:dyDescent="0.2">
      <c r="A294" t="s">
        <v>163</v>
      </c>
      <c r="B294" t="s">
        <v>296</v>
      </c>
      <c r="C294" t="s">
        <v>5</v>
      </c>
      <c r="D294">
        <v>3500</v>
      </c>
      <c r="E294">
        <v>7.83907716122454</v>
      </c>
      <c r="F294">
        <v>5.55</v>
      </c>
      <c r="G294">
        <v>2.2890771612245402</v>
      </c>
      <c r="H294">
        <v>2.23973633177844</v>
      </c>
      <c r="I294">
        <v>3.1356308644898099</v>
      </c>
      <c r="J294">
        <v>24.597692903061301</v>
      </c>
      <c r="K294" t="s">
        <v>290</v>
      </c>
      <c r="L294">
        <f>VLOOKUP($A294,Actual!$A:$D,4,FALSE)</f>
        <v>11.5</v>
      </c>
      <c r="M294">
        <f>VLOOKUP($A294,Actual!$A:$D,3,FALSE)</f>
        <v>1.47E-2</v>
      </c>
      <c r="N294">
        <f>VLOOKUP(A294,NHT!B:F,5,FALSE)</f>
        <v>16.083333333333002</v>
      </c>
    </row>
    <row r="295" spans="1:14" x14ac:dyDescent="0.2">
      <c r="A295" t="s">
        <v>217</v>
      </c>
      <c r="B295" t="s">
        <v>296</v>
      </c>
      <c r="C295" t="s">
        <v>10</v>
      </c>
      <c r="D295">
        <v>2500</v>
      </c>
      <c r="E295">
        <v>5.0284096293997296</v>
      </c>
      <c r="F295">
        <v>6.9</v>
      </c>
      <c r="G295">
        <v>-1.8715903706002599</v>
      </c>
      <c r="H295">
        <v>2.01136385175989</v>
      </c>
      <c r="I295">
        <v>2.01136385175989</v>
      </c>
      <c r="J295">
        <v>17.571024073499299</v>
      </c>
      <c r="K295" t="s">
        <v>290</v>
      </c>
      <c r="L295">
        <f>VLOOKUP($A295,Actual!$A:$D,4,FALSE)</f>
        <v>2.8</v>
      </c>
      <c r="M295">
        <f>VLOOKUP($A295,Actual!$A:$D,3,FALSE)</f>
        <v>4.0000000000000001E-3</v>
      </c>
      <c r="N295">
        <f>VLOOKUP(A295,NHT!B:F,5,FALSE)</f>
        <v>13.95</v>
      </c>
    </row>
    <row r="296" spans="1:14" x14ac:dyDescent="0.2">
      <c r="A296" t="s">
        <v>221</v>
      </c>
      <c r="B296" t="s">
        <v>296</v>
      </c>
      <c r="C296" t="s">
        <v>5</v>
      </c>
      <c r="D296">
        <v>2700</v>
      </c>
      <c r="E296">
        <v>6.3480016909534198</v>
      </c>
      <c r="F296">
        <v>4.37</v>
      </c>
      <c r="G296">
        <v>1.9780016909534199</v>
      </c>
      <c r="H296">
        <v>2.3511117373901498</v>
      </c>
      <c r="I296">
        <v>2.5392006763813599</v>
      </c>
      <c r="J296">
        <v>20.8700042273835</v>
      </c>
      <c r="K296" t="s">
        <v>290</v>
      </c>
      <c r="L296">
        <f>VLOOKUP($A296,Actual!$A:$D,4,FALSE)</f>
        <v>4.5</v>
      </c>
      <c r="M296">
        <f>VLOOKUP($A296,Actual!$A:$D,3,FALSE)</f>
        <v>3.3999999999999998E-3</v>
      </c>
      <c r="N296">
        <f>VLOOKUP(A296,NHT!B:F,5,FALSE)</f>
        <v>14.45</v>
      </c>
    </row>
    <row r="297" spans="1:14" x14ac:dyDescent="0.2">
      <c r="A297" t="s">
        <v>251</v>
      </c>
      <c r="B297" t="s">
        <v>296</v>
      </c>
      <c r="C297" t="s">
        <v>5</v>
      </c>
      <c r="D297">
        <v>2500</v>
      </c>
      <c r="E297">
        <v>5.5014093761733696</v>
      </c>
      <c r="F297">
        <v>3.84</v>
      </c>
      <c r="G297">
        <v>1.6614093761733699</v>
      </c>
      <c r="H297">
        <v>2.2005637504693398</v>
      </c>
      <c r="I297">
        <v>2.2005637504693398</v>
      </c>
      <c r="J297">
        <v>18.753523440433401</v>
      </c>
      <c r="K297" t="s">
        <v>290</v>
      </c>
      <c r="L297">
        <f>VLOOKUP($A297,Actual!$A:$D,4,FALSE)</f>
        <v>1.5</v>
      </c>
      <c r="M297">
        <f>VLOOKUP($A297,Actual!$A:$D,3,FALSE)</f>
        <v>1.1000000000000001E-3</v>
      </c>
      <c r="N297">
        <f>VLOOKUP(A297,NHT!B:F,5,FALSE)</f>
        <v>12.5</v>
      </c>
    </row>
    <row r="298" spans="1:14" x14ac:dyDescent="0.2">
      <c r="A298" t="s">
        <v>38</v>
      </c>
      <c r="B298" t="s">
        <v>296</v>
      </c>
      <c r="C298" t="s">
        <v>292</v>
      </c>
      <c r="D298">
        <v>5600</v>
      </c>
      <c r="E298">
        <v>11.580252621378699</v>
      </c>
      <c r="F298">
        <v>9.75</v>
      </c>
      <c r="G298">
        <v>1.83025262137874</v>
      </c>
      <c r="H298">
        <v>2.0679022538176302</v>
      </c>
      <c r="I298">
        <v>4.6321010485515002</v>
      </c>
      <c r="J298">
        <v>33.950631553446797</v>
      </c>
      <c r="K298" t="s">
        <v>290</v>
      </c>
      <c r="L298">
        <f>VLOOKUP($A298,Actual!$A:$D,4,FALSE)</f>
        <v>5.8</v>
      </c>
      <c r="M298">
        <f>VLOOKUP($A298,Actual!$A:$D,3,FALSE)</f>
        <v>8.1100000000000005E-2</v>
      </c>
      <c r="N298">
        <f>VLOOKUP(A298,NHT!B:F,5,FALSE)</f>
        <v>19.5</v>
      </c>
    </row>
    <row r="299" spans="1:14" x14ac:dyDescent="0.2">
      <c r="A299" t="s">
        <v>240</v>
      </c>
      <c r="B299" t="s">
        <v>296</v>
      </c>
      <c r="C299" t="s">
        <v>5</v>
      </c>
      <c r="D299">
        <v>2800</v>
      </c>
      <c r="E299">
        <v>4.3610139749080199</v>
      </c>
      <c r="F299">
        <v>5.88</v>
      </c>
      <c r="G299">
        <v>-1.51898602509197</v>
      </c>
      <c r="H299">
        <v>1.5575049910385701</v>
      </c>
      <c r="I299">
        <v>1.7444055899632001</v>
      </c>
      <c r="J299">
        <v>15.90253493727</v>
      </c>
      <c r="K299" t="s">
        <v>290</v>
      </c>
      <c r="L299">
        <f>VLOOKUP($A299,Actual!$A:$D,4,FALSE)</f>
        <v>1.5</v>
      </c>
      <c r="M299">
        <f>VLOOKUP($A299,Actual!$A:$D,3,FALSE)</f>
        <v>1.6999999999999999E-3</v>
      </c>
      <c r="N299">
        <f>VLOOKUP(A299,NHT!B:F,5,FALSE)</f>
        <v>8.75</v>
      </c>
    </row>
  </sheetData>
  <autoFilter ref="A1:N306" xr:uid="{4ABD07EF-DFFD-004C-9FB0-347BFCDF0603}">
    <sortState xmlns:xlrd2="http://schemas.microsoft.com/office/spreadsheetml/2017/richdata2" ref="A2:N306">
      <sortCondition ref="B1:B30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AAF5-094A-F249-AB7B-59E768D3B805}">
  <dimension ref="A1:AI289"/>
  <sheetViews>
    <sheetView workbookViewId="0">
      <selection sqref="A1:XFD1048576"/>
    </sheetView>
  </sheetViews>
  <sheetFormatPr baseColWidth="10" defaultRowHeight="16" x14ac:dyDescent="0.2"/>
  <cols>
    <col min="1" max="1" width="4.1640625" bestFit="1" customWidth="1"/>
    <col min="2" max="2" width="20" bestFit="1" customWidth="1"/>
    <col min="3" max="3" width="5.5" bestFit="1" customWidth="1"/>
    <col min="4" max="4" width="7.6640625" bestFit="1" customWidth="1"/>
    <col min="5" max="5" width="3.5" bestFit="1" customWidth="1"/>
    <col min="6" max="6" width="12.1640625" bestFit="1" customWidth="1"/>
    <col min="7" max="7" width="5.83203125" bestFit="1" customWidth="1"/>
    <col min="8" max="8" width="11" bestFit="1" customWidth="1"/>
    <col min="9" max="9" width="10.6640625" bestFit="1" customWidth="1"/>
    <col min="10" max="10" width="13" bestFit="1" customWidth="1"/>
    <col min="11" max="11" width="10.5" bestFit="1" customWidth="1"/>
    <col min="12" max="12" width="6.1640625" bestFit="1" customWidth="1"/>
    <col min="13" max="13" width="5.6640625" bestFit="1" customWidth="1"/>
    <col min="14" max="14" width="6.1640625" bestFit="1" customWidth="1"/>
    <col min="15" max="15" width="5.1640625" bestFit="1" customWidth="1"/>
    <col min="16" max="16" width="4" bestFit="1" customWidth="1"/>
    <col min="17" max="17" width="3.6640625" bestFit="1" customWidth="1"/>
    <col min="18" max="18" width="5" bestFit="1" customWidth="1"/>
    <col min="19" max="19" width="6.6640625" bestFit="1" customWidth="1"/>
    <col min="20" max="20" width="12.83203125" bestFit="1" customWidth="1"/>
    <col min="21" max="21" width="16.33203125" bestFit="1" customWidth="1"/>
    <col min="22" max="22" width="4.1640625" bestFit="1" customWidth="1"/>
    <col min="23" max="23" width="13" bestFit="1" customWidth="1"/>
    <col min="24" max="25" width="5.83203125" bestFit="1" customWidth="1"/>
    <col min="26" max="26" width="10.6640625" bestFit="1" customWidth="1"/>
    <col min="27" max="27" width="14.33203125" bestFit="1" customWidth="1"/>
    <col min="28" max="29" width="9.83203125" bestFit="1" customWidth="1"/>
    <col min="30" max="30" width="4.5" bestFit="1" customWidth="1"/>
    <col min="31" max="31" width="9.5" bestFit="1" customWidth="1"/>
    <col min="32" max="32" width="12.5" bestFit="1" customWidth="1"/>
    <col min="33" max="33" width="12" bestFit="1" customWidth="1"/>
    <col min="34" max="34" width="11.6640625" bestFit="1" customWidth="1"/>
    <col min="35" max="35" width="9.83203125" bestFit="1" customWidth="1"/>
  </cols>
  <sheetData>
    <row r="1" spans="1:35" x14ac:dyDescent="0.2">
      <c r="B1" t="s">
        <v>0</v>
      </c>
      <c r="C1" t="s">
        <v>397</v>
      </c>
      <c r="D1" t="s">
        <v>398</v>
      </c>
      <c r="E1" t="s">
        <v>399</v>
      </c>
      <c r="F1" t="s">
        <v>400</v>
      </c>
      <c r="G1" t="s">
        <v>401</v>
      </c>
      <c r="H1" t="s">
        <v>402</v>
      </c>
      <c r="I1" t="s">
        <v>403</v>
      </c>
      <c r="J1" t="s">
        <v>404</v>
      </c>
      <c r="K1" t="s">
        <v>405</v>
      </c>
      <c r="L1" t="s">
        <v>406</v>
      </c>
      <c r="M1" t="s">
        <v>407</v>
      </c>
      <c r="N1" t="s">
        <v>408</v>
      </c>
      <c r="O1" t="s">
        <v>409</v>
      </c>
      <c r="P1" t="s">
        <v>410</v>
      </c>
      <c r="Q1" t="s">
        <v>411</v>
      </c>
      <c r="R1" t="s">
        <v>412</v>
      </c>
      <c r="S1" t="s">
        <v>413</v>
      </c>
      <c r="T1" t="s">
        <v>414</v>
      </c>
      <c r="U1" t="s">
        <v>415</v>
      </c>
      <c r="V1" t="s">
        <v>416</v>
      </c>
      <c r="W1" t="s">
        <v>417</v>
      </c>
      <c r="X1" t="s">
        <v>418</v>
      </c>
      <c r="Y1" t="s">
        <v>419</v>
      </c>
      <c r="Z1" t="s">
        <v>420</v>
      </c>
      <c r="AA1" t="s">
        <v>421</v>
      </c>
      <c r="AB1" t="s">
        <v>422</v>
      </c>
      <c r="AC1" t="s">
        <v>423</v>
      </c>
      <c r="AD1" t="s">
        <v>424</v>
      </c>
      <c r="AE1" t="s">
        <v>425</v>
      </c>
      <c r="AF1" t="s">
        <v>426</v>
      </c>
      <c r="AG1" t="s">
        <v>427</v>
      </c>
      <c r="AH1" t="s">
        <v>428</v>
      </c>
      <c r="AI1" t="s">
        <v>429</v>
      </c>
    </row>
    <row r="2" spans="1:35" x14ac:dyDescent="0.2">
      <c r="A2">
        <v>245</v>
      </c>
      <c r="B2" t="s">
        <v>234</v>
      </c>
      <c r="C2" t="s">
        <v>293</v>
      </c>
      <c r="D2" t="s">
        <v>5</v>
      </c>
      <c r="E2">
        <v>1</v>
      </c>
      <c r="F2">
        <v>10.483333333333</v>
      </c>
      <c r="G2">
        <v>0</v>
      </c>
      <c r="H2">
        <v>0</v>
      </c>
      <c r="I2">
        <v>0</v>
      </c>
      <c r="J2">
        <v>0</v>
      </c>
      <c r="K2">
        <v>0</v>
      </c>
      <c r="L2" t="s">
        <v>430</v>
      </c>
      <c r="M2">
        <v>0</v>
      </c>
      <c r="N2" t="s">
        <v>430</v>
      </c>
      <c r="O2">
        <v>0.03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</v>
      </c>
      <c r="AB2">
        <v>1</v>
      </c>
      <c r="AC2">
        <v>0</v>
      </c>
      <c r="AD2">
        <v>1</v>
      </c>
      <c r="AE2">
        <v>3</v>
      </c>
      <c r="AF2">
        <v>0</v>
      </c>
      <c r="AG2">
        <v>0</v>
      </c>
      <c r="AH2">
        <v>0</v>
      </c>
      <c r="AI2" t="s">
        <v>430</v>
      </c>
    </row>
    <row r="3" spans="1:35" x14ac:dyDescent="0.2">
      <c r="A3">
        <v>143</v>
      </c>
      <c r="B3" t="s">
        <v>212</v>
      </c>
      <c r="C3" t="s">
        <v>293</v>
      </c>
      <c r="D3" t="s">
        <v>10</v>
      </c>
      <c r="E3">
        <v>1</v>
      </c>
      <c r="F3">
        <v>20.45</v>
      </c>
      <c r="G3">
        <v>0</v>
      </c>
      <c r="H3">
        <v>0</v>
      </c>
      <c r="I3">
        <v>0</v>
      </c>
      <c r="J3">
        <v>0</v>
      </c>
      <c r="K3">
        <v>0</v>
      </c>
      <c r="L3" t="s">
        <v>430</v>
      </c>
      <c r="M3">
        <v>0</v>
      </c>
      <c r="N3" t="s">
        <v>430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1</v>
      </c>
      <c r="AE3">
        <v>5</v>
      </c>
      <c r="AF3">
        <v>2</v>
      </c>
      <c r="AG3">
        <v>0</v>
      </c>
      <c r="AH3">
        <v>0</v>
      </c>
      <c r="AI3" t="s">
        <v>430</v>
      </c>
    </row>
    <row r="4" spans="1:35" x14ac:dyDescent="0.2">
      <c r="A4">
        <v>155</v>
      </c>
      <c r="B4" t="s">
        <v>98</v>
      </c>
      <c r="C4" t="s">
        <v>293</v>
      </c>
      <c r="D4" t="s">
        <v>5</v>
      </c>
      <c r="E4">
        <v>1</v>
      </c>
      <c r="F4">
        <v>14.666666666667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430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0</v>
      </c>
      <c r="AE4">
        <v>2</v>
      </c>
      <c r="AF4">
        <v>0</v>
      </c>
      <c r="AG4">
        <v>1</v>
      </c>
      <c r="AH4">
        <v>2</v>
      </c>
      <c r="AI4">
        <v>33.33</v>
      </c>
    </row>
    <row r="5" spans="1:35" x14ac:dyDescent="0.2">
      <c r="A5">
        <v>138</v>
      </c>
      <c r="B5" t="s">
        <v>126</v>
      </c>
      <c r="C5" t="s">
        <v>293</v>
      </c>
      <c r="D5" t="s">
        <v>10</v>
      </c>
      <c r="E5">
        <v>1</v>
      </c>
      <c r="F5">
        <v>27.016666666667</v>
      </c>
      <c r="G5">
        <v>1</v>
      </c>
      <c r="H5">
        <v>0</v>
      </c>
      <c r="I5">
        <v>0</v>
      </c>
      <c r="J5">
        <v>0</v>
      </c>
      <c r="K5">
        <v>1</v>
      </c>
      <c r="L5">
        <v>50</v>
      </c>
      <c r="M5">
        <v>4</v>
      </c>
      <c r="N5">
        <v>25</v>
      </c>
      <c r="O5">
        <v>0.09</v>
      </c>
      <c r="P5">
        <v>5</v>
      </c>
      <c r="Q5">
        <v>4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2</v>
      </c>
      <c r="AE5">
        <v>0</v>
      </c>
      <c r="AF5">
        <v>3</v>
      </c>
      <c r="AG5">
        <v>0</v>
      </c>
      <c r="AH5">
        <v>0</v>
      </c>
      <c r="AI5" t="s">
        <v>430</v>
      </c>
    </row>
    <row r="6" spans="1:35" x14ac:dyDescent="0.2">
      <c r="A6">
        <v>95</v>
      </c>
      <c r="B6" t="s">
        <v>91</v>
      </c>
      <c r="C6" t="s">
        <v>293</v>
      </c>
      <c r="D6" t="s">
        <v>294</v>
      </c>
      <c r="E6">
        <v>1</v>
      </c>
      <c r="F6">
        <v>17.533333333333001</v>
      </c>
      <c r="G6">
        <v>1</v>
      </c>
      <c r="H6">
        <v>2</v>
      </c>
      <c r="I6">
        <v>2</v>
      </c>
      <c r="J6">
        <v>0</v>
      </c>
      <c r="K6">
        <v>3</v>
      </c>
      <c r="L6">
        <v>100</v>
      </c>
      <c r="M6">
        <v>6</v>
      </c>
      <c r="N6">
        <v>16.670000000000002</v>
      </c>
      <c r="O6">
        <v>0.69</v>
      </c>
      <c r="P6">
        <v>12</v>
      </c>
      <c r="Q6">
        <v>9</v>
      </c>
      <c r="R6">
        <v>6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2</v>
      </c>
      <c r="AF6">
        <v>0</v>
      </c>
      <c r="AG6">
        <v>0</v>
      </c>
      <c r="AH6">
        <v>0</v>
      </c>
      <c r="AI6" t="s">
        <v>430</v>
      </c>
    </row>
    <row r="7" spans="1:35" x14ac:dyDescent="0.2">
      <c r="A7">
        <v>81</v>
      </c>
      <c r="B7" t="s">
        <v>99</v>
      </c>
      <c r="C7" t="s">
        <v>293</v>
      </c>
      <c r="D7" t="s">
        <v>5</v>
      </c>
      <c r="E7">
        <v>1</v>
      </c>
      <c r="F7">
        <v>19.733333333333</v>
      </c>
      <c r="G7">
        <v>1</v>
      </c>
      <c r="H7">
        <v>1</v>
      </c>
      <c r="I7">
        <v>0</v>
      </c>
      <c r="J7">
        <v>1</v>
      </c>
      <c r="K7">
        <v>2</v>
      </c>
      <c r="L7">
        <v>100</v>
      </c>
      <c r="M7">
        <v>3</v>
      </c>
      <c r="N7">
        <v>33.33</v>
      </c>
      <c r="O7">
        <v>0.83</v>
      </c>
      <c r="P7">
        <v>6</v>
      </c>
      <c r="Q7">
        <v>6</v>
      </c>
      <c r="R7">
        <v>5</v>
      </c>
      <c r="S7">
        <v>4</v>
      </c>
      <c r="T7">
        <v>0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1</v>
      </c>
      <c r="AG7">
        <v>10</v>
      </c>
      <c r="AH7">
        <v>13</v>
      </c>
      <c r="AI7">
        <v>43.48</v>
      </c>
    </row>
    <row r="8" spans="1:35" x14ac:dyDescent="0.2">
      <c r="A8">
        <v>264</v>
      </c>
      <c r="B8" t="s">
        <v>187</v>
      </c>
      <c r="C8" t="s">
        <v>293</v>
      </c>
      <c r="D8" t="s">
        <v>5</v>
      </c>
      <c r="E8">
        <v>1</v>
      </c>
      <c r="F8">
        <v>13.45</v>
      </c>
      <c r="G8">
        <v>0</v>
      </c>
      <c r="H8">
        <v>0</v>
      </c>
      <c r="I8">
        <v>0</v>
      </c>
      <c r="J8">
        <v>0</v>
      </c>
      <c r="K8">
        <v>0</v>
      </c>
      <c r="L8" t="s">
        <v>430</v>
      </c>
      <c r="M8">
        <v>1</v>
      </c>
      <c r="N8">
        <v>0</v>
      </c>
      <c r="O8">
        <v>0.06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0</v>
      </c>
      <c r="AE8">
        <v>0</v>
      </c>
      <c r="AF8">
        <v>0</v>
      </c>
      <c r="AG8">
        <v>5</v>
      </c>
      <c r="AH8">
        <v>6</v>
      </c>
      <c r="AI8">
        <v>45.45</v>
      </c>
    </row>
    <row r="9" spans="1:35" x14ac:dyDescent="0.2">
      <c r="A9">
        <v>53</v>
      </c>
      <c r="B9" t="s">
        <v>62</v>
      </c>
      <c r="C9" t="s">
        <v>293</v>
      </c>
      <c r="D9" t="s">
        <v>10</v>
      </c>
      <c r="E9">
        <v>1</v>
      </c>
      <c r="F9">
        <v>19.7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430</v>
      </c>
      <c r="O9">
        <v>0.03</v>
      </c>
      <c r="P9">
        <v>3</v>
      </c>
      <c r="Q9">
        <v>1</v>
      </c>
      <c r="R9">
        <v>3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2</v>
      </c>
      <c r="AF9">
        <v>2</v>
      </c>
      <c r="AG9">
        <v>0</v>
      </c>
      <c r="AH9">
        <v>0</v>
      </c>
      <c r="AI9" t="s">
        <v>430</v>
      </c>
    </row>
    <row r="10" spans="1:35" x14ac:dyDescent="0.2">
      <c r="A10">
        <v>196</v>
      </c>
      <c r="B10" t="s">
        <v>273</v>
      </c>
      <c r="C10" t="s">
        <v>293</v>
      </c>
      <c r="D10" t="s">
        <v>10</v>
      </c>
      <c r="E10">
        <v>1</v>
      </c>
      <c r="F10">
        <v>17.100000000000001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0.03</v>
      </c>
      <c r="P10">
        <v>2</v>
      </c>
      <c r="Q10">
        <v>2</v>
      </c>
      <c r="R10">
        <v>0</v>
      </c>
      <c r="S10">
        <v>0</v>
      </c>
      <c r="T10">
        <v>0</v>
      </c>
      <c r="U10">
        <v>0</v>
      </c>
      <c r="V10">
        <v>2</v>
      </c>
      <c r="W10">
        <v>1</v>
      </c>
      <c r="X10">
        <v>1</v>
      </c>
      <c r="Y10">
        <v>0</v>
      </c>
      <c r="Z10">
        <v>0</v>
      </c>
      <c r="AA10">
        <v>0</v>
      </c>
      <c r="AB10">
        <v>2</v>
      </c>
      <c r="AC10">
        <v>0</v>
      </c>
      <c r="AD10">
        <v>1</v>
      </c>
      <c r="AE10">
        <v>1</v>
      </c>
      <c r="AF10">
        <v>2</v>
      </c>
      <c r="AG10">
        <v>0</v>
      </c>
      <c r="AH10">
        <v>0</v>
      </c>
      <c r="AI10" t="s">
        <v>430</v>
      </c>
    </row>
    <row r="11" spans="1:35" x14ac:dyDescent="0.2">
      <c r="A11">
        <v>241</v>
      </c>
      <c r="B11" t="s">
        <v>151</v>
      </c>
      <c r="C11" t="s">
        <v>293</v>
      </c>
      <c r="D11" t="s">
        <v>5</v>
      </c>
      <c r="E11">
        <v>1</v>
      </c>
      <c r="F11">
        <v>18.033333333333001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430</v>
      </c>
      <c r="M11">
        <v>0</v>
      </c>
      <c r="N11" t="s">
        <v>430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2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2</v>
      </c>
      <c r="AF11">
        <v>1</v>
      </c>
      <c r="AG11">
        <v>0</v>
      </c>
      <c r="AH11">
        <v>0</v>
      </c>
      <c r="AI11" t="s">
        <v>430</v>
      </c>
    </row>
    <row r="12" spans="1:35" x14ac:dyDescent="0.2">
      <c r="A12">
        <v>169</v>
      </c>
      <c r="B12" t="s">
        <v>355</v>
      </c>
      <c r="C12" t="s">
        <v>293</v>
      </c>
      <c r="D12" t="s">
        <v>5</v>
      </c>
      <c r="E12">
        <v>1</v>
      </c>
      <c r="F12">
        <v>9.6333333333333009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430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1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2</v>
      </c>
      <c r="AH12">
        <v>2</v>
      </c>
      <c r="AI12">
        <v>50</v>
      </c>
    </row>
    <row r="13" spans="1:35" x14ac:dyDescent="0.2">
      <c r="A13">
        <v>244</v>
      </c>
      <c r="B13" t="s">
        <v>175</v>
      </c>
      <c r="C13" t="s">
        <v>293</v>
      </c>
      <c r="D13" t="s">
        <v>10</v>
      </c>
      <c r="E13">
        <v>1</v>
      </c>
      <c r="F13">
        <v>13.016666666667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0.06</v>
      </c>
      <c r="P13">
        <v>2</v>
      </c>
      <c r="Q13">
        <v>2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2</v>
      </c>
      <c r="AF13">
        <v>2</v>
      </c>
      <c r="AG13">
        <v>0</v>
      </c>
      <c r="AH13">
        <v>0</v>
      </c>
      <c r="AI13" t="s">
        <v>430</v>
      </c>
    </row>
    <row r="14" spans="1:35" x14ac:dyDescent="0.2">
      <c r="A14">
        <v>153</v>
      </c>
      <c r="B14" t="s">
        <v>124</v>
      </c>
      <c r="C14" t="s">
        <v>293</v>
      </c>
      <c r="D14" t="s">
        <v>5</v>
      </c>
      <c r="E14">
        <v>1</v>
      </c>
      <c r="F14">
        <v>15.516666666667</v>
      </c>
      <c r="G14">
        <v>0</v>
      </c>
      <c r="H14">
        <v>2</v>
      </c>
      <c r="I14">
        <v>0</v>
      </c>
      <c r="J14">
        <v>2</v>
      </c>
      <c r="K14">
        <v>2</v>
      </c>
      <c r="L14">
        <v>100</v>
      </c>
      <c r="M14">
        <v>1</v>
      </c>
      <c r="N14">
        <v>0</v>
      </c>
      <c r="O14">
        <v>0.08</v>
      </c>
      <c r="P14">
        <v>3</v>
      </c>
      <c r="Q14">
        <v>2</v>
      </c>
      <c r="R14">
        <v>0</v>
      </c>
      <c r="S14">
        <v>0</v>
      </c>
      <c r="T14">
        <v>0</v>
      </c>
      <c r="U14">
        <v>0</v>
      </c>
      <c r="V14">
        <v>2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4</v>
      </c>
      <c r="AE14">
        <v>1</v>
      </c>
      <c r="AF14">
        <v>0</v>
      </c>
      <c r="AG14">
        <v>1</v>
      </c>
      <c r="AH14">
        <v>1</v>
      </c>
      <c r="AI14">
        <v>50</v>
      </c>
    </row>
    <row r="15" spans="1:35" x14ac:dyDescent="0.2">
      <c r="A15">
        <v>85</v>
      </c>
      <c r="B15" t="s">
        <v>193</v>
      </c>
      <c r="C15" t="s">
        <v>293</v>
      </c>
      <c r="D15" t="s">
        <v>10</v>
      </c>
      <c r="E15">
        <v>1</v>
      </c>
      <c r="F15">
        <v>20.616666666667001</v>
      </c>
      <c r="G15">
        <v>0</v>
      </c>
      <c r="H15">
        <v>1</v>
      </c>
      <c r="I15">
        <v>1</v>
      </c>
      <c r="J15">
        <v>0</v>
      </c>
      <c r="K15">
        <v>1</v>
      </c>
      <c r="L15">
        <v>100</v>
      </c>
      <c r="M15">
        <v>1</v>
      </c>
      <c r="N15">
        <v>0</v>
      </c>
      <c r="O15">
        <v>0.05</v>
      </c>
      <c r="P15">
        <v>5</v>
      </c>
      <c r="Q15">
        <v>2</v>
      </c>
      <c r="R15">
        <v>1</v>
      </c>
      <c r="S15">
        <v>0</v>
      </c>
      <c r="T15">
        <v>0</v>
      </c>
      <c r="U15">
        <v>0</v>
      </c>
      <c r="V15">
        <v>2</v>
      </c>
      <c r="W15">
        <v>1</v>
      </c>
      <c r="X15">
        <v>1</v>
      </c>
      <c r="Y15">
        <v>0</v>
      </c>
      <c r="Z15">
        <v>0</v>
      </c>
      <c r="AA15">
        <v>0</v>
      </c>
      <c r="AB15">
        <v>2</v>
      </c>
      <c r="AC15">
        <v>0</v>
      </c>
      <c r="AD15">
        <v>1</v>
      </c>
      <c r="AE15">
        <v>2</v>
      </c>
      <c r="AF15">
        <v>2</v>
      </c>
      <c r="AG15">
        <v>0</v>
      </c>
      <c r="AH15">
        <v>0</v>
      </c>
      <c r="AI15" t="s">
        <v>430</v>
      </c>
    </row>
    <row r="16" spans="1:35" x14ac:dyDescent="0.2">
      <c r="A16">
        <v>109</v>
      </c>
      <c r="B16" t="s">
        <v>135</v>
      </c>
      <c r="C16" t="s">
        <v>293</v>
      </c>
      <c r="D16" t="s">
        <v>5</v>
      </c>
      <c r="E16">
        <v>1</v>
      </c>
      <c r="F16">
        <v>17.149999999999999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0</v>
      </c>
      <c r="O16">
        <v>0.66</v>
      </c>
      <c r="P16">
        <v>4</v>
      </c>
      <c r="Q16">
        <v>4</v>
      </c>
      <c r="R16">
        <v>3</v>
      </c>
      <c r="S16">
        <v>3</v>
      </c>
      <c r="T16">
        <v>0</v>
      </c>
      <c r="U16">
        <v>1</v>
      </c>
      <c r="V16">
        <v>2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3</v>
      </c>
      <c r="AH16">
        <v>10</v>
      </c>
      <c r="AI16">
        <v>23.08</v>
      </c>
    </row>
    <row r="17" spans="1:35" x14ac:dyDescent="0.2">
      <c r="A17">
        <v>42</v>
      </c>
      <c r="B17" t="s">
        <v>262</v>
      </c>
      <c r="C17" t="s">
        <v>293</v>
      </c>
      <c r="D17" t="s">
        <v>5</v>
      </c>
      <c r="E17">
        <v>1</v>
      </c>
      <c r="F17">
        <v>12.466666666667001</v>
      </c>
      <c r="G17">
        <v>0</v>
      </c>
      <c r="H17">
        <v>1</v>
      </c>
      <c r="I17">
        <v>1</v>
      </c>
      <c r="J17">
        <v>0</v>
      </c>
      <c r="K17">
        <v>1</v>
      </c>
      <c r="L17">
        <v>100</v>
      </c>
      <c r="M17">
        <v>0</v>
      </c>
      <c r="N17" t="s">
        <v>430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3</v>
      </c>
      <c r="AG17">
        <v>4</v>
      </c>
      <c r="AH17">
        <v>2</v>
      </c>
      <c r="AI17">
        <v>66.67</v>
      </c>
    </row>
    <row r="18" spans="1:35" x14ac:dyDescent="0.2">
      <c r="A18">
        <v>150</v>
      </c>
      <c r="B18" t="s">
        <v>433</v>
      </c>
      <c r="C18" t="s">
        <v>293</v>
      </c>
      <c r="D18" t="s">
        <v>292</v>
      </c>
      <c r="E18">
        <v>1</v>
      </c>
      <c r="F18">
        <v>8.6999999999999993</v>
      </c>
      <c r="G18">
        <v>1</v>
      </c>
      <c r="H18">
        <v>0</v>
      </c>
      <c r="I18">
        <v>0</v>
      </c>
      <c r="J18">
        <v>0</v>
      </c>
      <c r="K18">
        <v>1</v>
      </c>
      <c r="L18">
        <v>100</v>
      </c>
      <c r="M18">
        <v>1</v>
      </c>
      <c r="N18">
        <v>100</v>
      </c>
      <c r="O18">
        <v>0.14000000000000001</v>
      </c>
      <c r="P18">
        <v>3</v>
      </c>
      <c r="Q18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2</v>
      </c>
      <c r="AE18">
        <v>0</v>
      </c>
      <c r="AF18">
        <v>0</v>
      </c>
      <c r="AG18">
        <v>0</v>
      </c>
      <c r="AH18">
        <v>0</v>
      </c>
      <c r="AI18" t="s">
        <v>430</v>
      </c>
    </row>
    <row r="19" spans="1:35" x14ac:dyDescent="0.2">
      <c r="A19">
        <v>100</v>
      </c>
      <c r="B19" t="s">
        <v>74</v>
      </c>
      <c r="C19" t="s">
        <v>293</v>
      </c>
      <c r="D19" t="s">
        <v>292</v>
      </c>
      <c r="E19">
        <v>1</v>
      </c>
      <c r="F19">
        <v>15.35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430</v>
      </c>
      <c r="M19">
        <v>4</v>
      </c>
      <c r="N19">
        <v>0</v>
      </c>
      <c r="O19">
        <v>0.47</v>
      </c>
      <c r="P19">
        <v>9</v>
      </c>
      <c r="Q19">
        <v>6</v>
      </c>
      <c r="R19">
        <v>6</v>
      </c>
      <c r="S19">
        <v>4</v>
      </c>
      <c r="T19">
        <v>1</v>
      </c>
      <c r="U19">
        <v>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4</v>
      </c>
      <c r="AF19">
        <v>1</v>
      </c>
      <c r="AG19">
        <v>0</v>
      </c>
      <c r="AH19">
        <v>0</v>
      </c>
      <c r="AI19" t="s">
        <v>430</v>
      </c>
    </row>
    <row r="20" spans="1:35" x14ac:dyDescent="0.2">
      <c r="A20">
        <v>94</v>
      </c>
      <c r="B20" t="s">
        <v>129</v>
      </c>
      <c r="C20" t="s">
        <v>299</v>
      </c>
      <c r="D20" t="s">
        <v>294</v>
      </c>
      <c r="E20">
        <v>1</v>
      </c>
      <c r="F20">
        <v>19.766666666667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</v>
      </c>
      <c r="N20">
        <v>0</v>
      </c>
      <c r="O20">
        <v>0.18</v>
      </c>
      <c r="P20">
        <v>4</v>
      </c>
      <c r="Q20">
        <v>4</v>
      </c>
      <c r="R20">
        <v>2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3</v>
      </c>
      <c r="AE20">
        <v>0</v>
      </c>
      <c r="AF20">
        <v>3</v>
      </c>
      <c r="AG20">
        <v>0</v>
      </c>
      <c r="AH20">
        <v>1</v>
      </c>
      <c r="AI20">
        <v>0</v>
      </c>
    </row>
    <row r="21" spans="1:35" x14ac:dyDescent="0.2">
      <c r="A21">
        <v>141</v>
      </c>
      <c r="B21" t="s">
        <v>369</v>
      </c>
      <c r="C21" t="s">
        <v>299</v>
      </c>
      <c r="D21" t="s">
        <v>292</v>
      </c>
      <c r="E21">
        <v>1</v>
      </c>
      <c r="F21">
        <v>11.683333333333</v>
      </c>
      <c r="G21">
        <v>1</v>
      </c>
      <c r="H21">
        <v>0</v>
      </c>
      <c r="I21">
        <v>0</v>
      </c>
      <c r="J21">
        <v>0</v>
      </c>
      <c r="K21">
        <v>1</v>
      </c>
      <c r="L21">
        <v>100</v>
      </c>
      <c r="M21">
        <v>1</v>
      </c>
      <c r="N21">
        <v>100</v>
      </c>
      <c r="O21">
        <v>0.15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6</v>
      </c>
      <c r="AE21">
        <v>2</v>
      </c>
      <c r="AF21">
        <v>2</v>
      </c>
      <c r="AG21">
        <v>1</v>
      </c>
      <c r="AH21">
        <v>1</v>
      </c>
      <c r="AI21">
        <v>50</v>
      </c>
    </row>
    <row r="22" spans="1:35" x14ac:dyDescent="0.2">
      <c r="A22">
        <v>201</v>
      </c>
      <c r="B22" t="s">
        <v>177</v>
      </c>
      <c r="C22" t="s">
        <v>299</v>
      </c>
      <c r="D22" t="s">
        <v>10</v>
      </c>
      <c r="E22">
        <v>1</v>
      </c>
      <c r="F22">
        <v>27.35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7.0000000000000007E-2</v>
      </c>
      <c r="P22">
        <v>3</v>
      </c>
      <c r="Q22">
        <v>2</v>
      </c>
      <c r="R22">
        <v>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4</v>
      </c>
      <c r="AF22">
        <v>0</v>
      </c>
      <c r="AG22">
        <v>0</v>
      </c>
      <c r="AH22">
        <v>0</v>
      </c>
      <c r="AI22" t="s">
        <v>430</v>
      </c>
    </row>
    <row r="23" spans="1:35" x14ac:dyDescent="0.2">
      <c r="A23">
        <v>227</v>
      </c>
      <c r="B23" t="s">
        <v>108</v>
      </c>
      <c r="C23" t="s">
        <v>299</v>
      </c>
      <c r="D23" t="s">
        <v>294</v>
      </c>
      <c r="E23">
        <v>1</v>
      </c>
      <c r="F23">
        <v>16.95</v>
      </c>
      <c r="G23">
        <v>0</v>
      </c>
      <c r="H23">
        <v>1</v>
      </c>
      <c r="I23">
        <v>1</v>
      </c>
      <c r="J23">
        <v>0</v>
      </c>
      <c r="K23">
        <v>1</v>
      </c>
      <c r="L23">
        <v>100</v>
      </c>
      <c r="M23">
        <v>1</v>
      </c>
      <c r="N23">
        <v>0</v>
      </c>
      <c r="O23">
        <v>0.18</v>
      </c>
      <c r="P23">
        <v>4</v>
      </c>
      <c r="Q23">
        <v>2</v>
      </c>
      <c r="R23">
        <v>2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</v>
      </c>
      <c r="AF23">
        <v>0</v>
      </c>
      <c r="AG23">
        <v>0</v>
      </c>
      <c r="AH23">
        <v>0</v>
      </c>
      <c r="AI23" t="s">
        <v>430</v>
      </c>
    </row>
    <row r="24" spans="1:35" x14ac:dyDescent="0.2">
      <c r="A24">
        <v>164</v>
      </c>
      <c r="B24" t="s">
        <v>358</v>
      </c>
      <c r="C24" t="s">
        <v>299</v>
      </c>
      <c r="D24" t="s">
        <v>10</v>
      </c>
      <c r="E24">
        <v>1</v>
      </c>
      <c r="F24">
        <v>6.2833333333333004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430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</v>
      </c>
      <c r="AF24">
        <v>2</v>
      </c>
      <c r="AG24">
        <v>0</v>
      </c>
      <c r="AH24">
        <v>0</v>
      </c>
      <c r="AI24" t="s">
        <v>430</v>
      </c>
    </row>
    <row r="25" spans="1:35" x14ac:dyDescent="0.2">
      <c r="A25">
        <v>28</v>
      </c>
      <c r="B25" t="s">
        <v>106</v>
      </c>
      <c r="C25" t="s">
        <v>299</v>
      </c>
      <c r="D25" t="s">
        <v>292</v>
      </c>
      <c r="E25">
        <v>1</v>
      </c>
      <c r="F25">
        <v>17</v>
      </c>
      <c r="G25">
        <v>1</v>
      </c>
      <c r="H25">
        <v>0</v>
      </c>
      <c r="I25">
        <v>0</v>
      </c>
      <c r="J25">
        <v>0</v>
      </c>
      <c r="K25">
        <v>1</v>
      </c>
      <c r="L25">
        <v>100</v>
      </c>
      <c r="M25">
        <v>2</v>
      </c>
      <c r="N25">
        <v>50</v>
      </c>
      <c r="O25">
        <v>0.12</v>
      </c>
      <c r="P25">
        <v>2</v>
      </c>
      <c r="Q25">
        <v>2</v>
      </c>
      <c r="R25">
        <v>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1</v>
      </c>
      <c r="AI25">
        <v>0</v>
      </c>
    </row>
    <row r="26" spans="1:35" x14ac:dyDescent="0.2">
      <c r="A26">
        <v>112</v>
      </c>
      <c r="B26" t="s">
        <v>357</v>
      </c>
      <c r="C26" t="s">
        <v>299</v>
      </c>
      <c r="D26" t="s">
        <v>292</v>
      </c>
      <c r="E26">
        <v>1</v>
      </c>
      <c r="F26">
        <v>10.95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430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2</v>
      </c>
      <c r="AF26">
        <v>0</v>
      </c>
      <c r="AG26">
        <v>0</v>
      </c>
      <c r="AH26">
        <v>0</v>
      </c>
      <c r="AI26" t="s">
        <v>430</v>
      </c>
    </row>
    <row r="27" spans="1:35" x14ac:dyDescent="0.2">
      <c r="A27">
        <v>246</v>
      </c>
      <c r="B27" t="s">
        <v>54</v>
      </c>
      <c r="C27" t="s">
        <v>299</v>
      </c>
      <c r="D27" t="s">
        <v>294</v>
      </c>
      <c r="E27">
        <v>1</v>
      </c>
      <c r="F27">
        <v>15.433333333333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430</v>
      </c>
      <c r="M27">
        <v>0</v>
      </c>
      <c r="N27" t="s">
        <v>430</v>
      </c>
      <c r="O27">
        <v>0</v>
      </c>
      <c r="P27">
        <v>1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0</v>
      </c>
      <c r="AI27" t="s">
        <v>430</v>
      </c>
    </row>
    <row r="28" spans="1:35" x14ac:dyDescent="0.2">
      <c r="A28">
        <v>285</v>
      </c>
      <c r="B28" t="s">
        <v>94</v>
      </c>
      <c r="C28" t="s">
        <v>299</v>
      </c>
      <c r="D28" t="s">
        <v>5</v>
      </c>
      <c r="E28">
        <v>1</v>
      </c>
      <c r="F28">
        <v>9.6</v>
      </c>
      <c r="G28">
        <v>0</v>
      </c>
      <c r="H28">
        <v>1</v>
      </c>
      <c r="I28">
        <v>1</v>
      </c>
      <c r="J28">
        <v>0</v>
      </c>
      <c r="K28">
        <v>1</v>
      </c>
      <c r="L28">
        <v>100</v>
      </c>
      <c r="M28">
        <v>1</v>
      </c>
      <c r="N28">
        <v>0</v>
      </c>
      <c r="O28">
        <v>7.0000000000000007E-2</v>
      </c>
      <c r="P28">
        <v>2</v>
      </c>
      <c r="Q28">
        <v>2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2</v>
      </c>
      <c r="AI28">
        <v>33.33</v>
      </c>
    </row>
    <row r="29" spans="1:35" x14ac:dyDescent="0.2">
      <c r="A29">
        <v>175</v>
      </c>
      <c r="B29" t="s">
        <v>93</v>
      </c>
      <c r="C29" t="s">
        <v>299</v>
      </c>
      <c r="D29" t="s">
        <v>10</v>
      </c>
      <c r="E29">
        <v>1</v>
      </c>
      <c r="F29">
        <v>23.05</v>
      </c>
      <c r="G29">
        <v>0</v>
      </c>
      <c r="H29">
        <v>1</v>
      </c>
      <c r="I29">
        <v>1</v>
      </c>
      <c r="J29">
        <v>0</v>
      </c>
      <c r="K29">
        <v>1</v>
      </c>
      <c r="L29">
        <v>100</v>
      </c>
      <c r="M29">
        <v>0</v>
      </c>
      <c r="N29" t="s">
        <v>430</v>
      </c>
      <c r="O29">
        <v>0.03</v>
      </c>
      <c r="P29">
        <v>4</v>
      </c>
      <c r="Q29">
        <v>1</v>
      </c>
      <c r="R29">
        <v>1</v>
      </c>
      <c r="S29">
        <v>0</v>
      </c>
      <c r="T29">
        <v>0</v>
      </c>
      <c r="U29">
        <v>0</v>
      </c>
      <c r="V29">
        <v>2</v>
      </c>
      <c r="W29">
        <v>1</v>
      </c>
      <c r="X29">
        <v>1</v>
      </c>
      <c r="Y29">
        <v>0</v>
      </c>
      <c r="Z29">
        <v>0</v>
      </c>
      <c r="AA29">
        <v>1</v>
      </c>
      <c r="AB29">
        <v>1</v>
      </c>
      <c r="AC29">
        <v>1</v>
      </c>
      <c r="AD29">
        <v>5</v>
      </c>
      <c r="AE29">
        <v>1</v>
      </c>
      <c r="AF29">
        <v>2</v>
      </c>
      <c r="AG29">
        <v>0</v>
      </c>
      <c r="AH29">
        <v>0</v>
      </c>
      <c r="AI29" t="s">
        <v>430</v>
      </c>
    </row>
    <row r="30" spans="1:35" x14ac:dyDescent="0.2">
      <c r="A30">
        <v>186</v>
      </c>
      <c r="B30" t="s">
        <v>237</v>
      </c>
      <c r="C30" t="s">
        <v>299</v>
      </c>
      <c r="D30" t="s">
        <v>10</v>
      </c>
      <c r="E30">
        <v>1</v>
      </c>
      <c r="F30">
        <v>12.066666666667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</v>
      </c>
      <c r="N30">
        <v>0</v>
      </c>
      <c r="O30">
        <v>0.09</v>
      </c>
      <c r="P30">
        <v>2</v>
      </c>
      <c r="Q30">
        <v>2</v>
      </c>
      <c r="R30">
        <v>1</v>
      </c>
      <c r="S30">
        <v>0</v>
      </c>
      <c r="T30">
        <v>0</v>
      </c>
      <c r="U30">
        <v>0</v>
      </c>
      <c r="V30">
        <v>2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 t="s">
        <v>430</v>
      </c>
    </row>
    <row r="31" spans="1:35" x14ac:dyDescent="0.2">
      <c r="A31">
        <v>266</v>
      </c>
      <c r="B31" t="s">
        <v>64</v>
      </c>
      <c r="C31" t="s">
        <v>299</v>
      </c>
      <c r="D31" t="s">
        <v>5</v>
      </c>
      <c r="E31">
        <v>1</v>
      </c>
      <c r="F31">
        <v>13.033333333332999</v>
      </c>
      <c r="G31">
        <v>0</v>
      </c>
      <c r="H31">
        <v>1</v>
      </c>
      <c r="I31">
        <v>0</v>
      </c>
      <c r="J31">
        <v>1</v>
      </c>
      <c r="K31">
        <v>1</v>
      </c>
      <c r="L31">
        <v>100</v>
      </c>
      <c r="M31">
        <v>0</v>
      </c>
      <c r="N31" t="s">
        <v>430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</v>
      </c>
      <c r="W31">
        <v>1</v>
      </c>
      <c r="X31">
        <v>1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3</v>
      </c>
      <c r="AI31">
        <v>0</v>
      </c>
    </row>
    <row r="32" spans="1:35" x14ac:dyDescent="0.2">
      <c r="A32">
        <v>248</v>
      </c>
      <c r="B32" t="s">
        <v>171</v>
      </c>
      <c r="C32" t="s">
        <v>299</v>
      </c>
      <c r="D32" t="s">
        <v>10</v>
      </c>
      <c r="E32">
        <v>1</v>
      </c>
      <c r="F32">
        <v>26.416666666666998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430</v>
      </c>
      <c r="O32">
        <v>0</v>
      </c>
      <c r="P32">
        <v>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0</v>
      </c>
      <c r="AD32">
        <v>1</v>
      </c>
      <c r="AE32">
        <v>3</v>
      </c>
      <c r="AF32">
        <v>2</v>
      </c>
      <c r="AG32">
        <v>0</v>
      </c>
      <c r="AH32">
        <v>0</v>
      </c>
      <c r="AI32" t="s">
        <v>430</v>
      </c>
    </row>
    <row r="33" spans="1:35" x14ac:dyDescent="0.2">
      <c r="A33">
        <v>199</v>
      </c>
      <c r="B33" t="s">
        <v>235</v>
      </c>
      <c r="C33" t="s">
        <v>299</v>
      </c>
      <c r="D33" t="s">
        <v>5</v>
      </c>
      <c r="E33">
        <v>1</v>
      </c>
      <c r="F33">
        <v>10.633333333333001</v>
      </c>
      <c r="G33">
        <v>1</v>
      </c>
      <c r="H33">
        <v>0</v>
      </c>
      <c r="I33">
        <v>0</v>
      </c>
      <c r="J33">
        <v>0</v>
      </c>
      <c r="K33">
        <v>1</v>
      </c>
      <c r="L33">
        <v>100</v>
      </c>
      <c r="M33">
        <v>1</v>
      </c>
      <c r="N33">
        <v>100</v>
      </c>
      <c r="O33">
        <v>0.17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</v>
      </c>
      <c r="AE33">
        <v>1</v>
      </c>
      <c r="AF33">
        <v>0</v>
      </c>
      <c r="AG33">
        <v>4</v>
      </c>
      <c r="AH33">
        <v>3</v>
      </c>
      <c r="AI33">
        <v>57.14</v>
      </c>
    </row>
    <row r="34" spans="1:35" x14ac:dyDescent="0.2">
      <c r="A34">
        <v>181</v>
      </c>
      <c r="B34" t="s">
        <v>56</v>
      </c>
      <c r="C34" t="s">
        <v>299</v>
      </c>
      <c r="D34" t="s">
        <v>10</v>
      </c>
      <c r="E34">
        <v>1</v>
      </c>
      <c r="F34">
        <v>22.883333333332999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430</v>
      </c>
      <c r="M34">
        <v>1</v>
      </c>
      <c r="N34">
        <v>0</v>
      </c>
      <c r="O34">
        <v>0.12</v>
      </c>
      <c r="P34">
        <v>7</v>
      </c>
      <c r="Q34">
        <v>2</v>
      </c>
      <c r="R34">
        <v>3</v>
      </c>
      <c r="S34">
        <v>0</v>
      </c>
      <c r="T34">
        <v>0</v>
      </c>
      <c r="U34">
        <v>1</v>
      </c>
      <c r="V34">
        <v>4</v>
      </c>
      <c r="W34">
        <v>2</v>
      </c>
      <c r="X34">
        <v>2</v>
      </c>
      <c r="Y34">
        <v>0</v>
      </c>
      <c r="Z34">
        <v>0</v>
      </c>
      <c r="AA34">
        <v>2</v>
      </c>
      <c r="AB34">
        <v>1</v>
      </c>
      <c r="AC34">
        <v>0</v>
      </c>
      <c r="AD34">
        <v>1</v>
      </c>
      <c r="AE34">
        <v>3</v>
      </c>
      <c r="AF34">
        <v>2</v>
      </c>
      <c r="AG34">
        <v>0</v>
      </c>
      <c r="AH34">
        <v>0</v>
      </c>
      <c r="AI34" t="s">
        <v>430</v>
      </c>
    </row>
    <row r="35" spans="1:35" x14ac:dyDescent="0.2">
      <c r="A35">
        <v>172</v>
      </c>
      <c r="B35" t="s">
        <v>134</v>
      </c>
      <c r="C35" t="s">
        <v>299</v>
      </c>
      <c r="D35" t="s">
        <v>5</v>
      </c>
      <c r="E35">
        <v>1</v>
      </c>
      <c r="F35">
        <v>20.883333333332999</v>
      </c>
      <c r="G35">
        <v>0</v>
      </c>
      <c r="H35">
        <v>1</v>
      </c>
      <c r="I35">
        <v>0</v>
      </c>
      <c r="J35">
        <v>1</v>
      </c>
      <c r="K35">
        <v>1</v>
      </c>
      <c r="L35">
        <v>100</v>
      </c>
      <c r="M35">
        <v>0</v>
      </c>
      <c r="N35" t="s">
        <v>430</v>
      </c>
      <c r="O35">
        <v>0.4</v>
      </c>
      <c r="P35">
        <v>4</v>
      </c>
      <c r="Q35">
        <v>2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2</v>
      </c>
      <c r="AF35">
        <v>0</v>
      </c>
      <c r="AG35">
        <v>9</v>
      </c>
      <c r="AH35">
        <v>12</v>
      </c>
      <c r="AI35">
        <v>42.86</v>
      </c>
    </row>
    <row r="36" spans="1:35" x14ac:dyDescent="0.2">
      <c r="A36">
        <v>146</v>
      </c>
      <c r="B36" t="s">
        <v>39</v>
      </c>
      <c r="C36" t="s">
        <v>299</v>
      </c>
      <c r="D36" t="s">
        <v>5</v>
      </c>
      <c r="E36">
        <v>1</v>
      </c>
      <c r="F36">
        <v>17.233333333333</v>
      </c>
      <c r="G36">
        <v>0</v>
      </c>
      <c r="H36">
        <v>1</v>
      </c>
      <c r="I36">
        <v>1</v>
      </c>
      <c r="J36">
        <v>0</v>
      </c>
      <c r="K36">
        <v>1</v>
      </c>
      <c r="L36">
        <v>100</v>
      </c>
      <c r="M36">
        <v>1</v>
      </c>
      <c r="N36">
        <v>0</v>
      </c>
      <c r="O36">
        <v>0.09</v>
      </c>
      <c r="P36">
        <v>2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</v>
      </c>
      <c r="AG36">
        <v>5</v>
      </c>
      <c r="AH36">
        <v>13</v>
      </c>
      <c r="AI36">
        <v>27.78</v>
      </c>
    </row>
    <row r="37" spans="1:35" x14ac:dyDescent="0.2">
      <c r="A37">
        <v>276</v>
      </c>
      <c r="B37" t="s">
        <v>185</v>
      </c>
      <c r="C37" t="s">
        <v>299</v>
      </c>
      <c r="D37" t="s">
        <v>292</v>
      </c>
      <c r="E37">
        <v>1</v>
      </c>
      <c r="F37">
        <v>10.783333333332999</v>
      </c>
      <c r="G37">
        <v>1</v>
      </c>
      <c r="H37">
        <v>0</v>
      </c>
      <c r="I37">
        <v>0</v>
      </c>
      <c r="J37">
        <v>0</v>
      </c>
      <c r="K37">
        <v>1</v>
      </c>
      <c r="L37">
        <v>100</v>
      </c>
      <c r="M37">
        <v>2</v>
      </c>
      <c r="N37">
        <v>50</v>
      </c>
      <c r="O37">
        <v>0.68</v>
      </c>
      <c r="P37">
        <v>4</v>
      </c>
      <c r="Q37">
        <v>4</v>
      </c>
      <c r="R37">
        <v>3</v>
      </c>
      <c r="S37">
        <v>3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2</v>
      </c>
      <c r="AF37">
        <v>0</v>
      </c>
      <c r="AG37">
        <v>0</v>
      </c>
      <c r="AH37">
        <v>0</v>
      </c>
      <c r="AI37" t="s">
        <v>430</v>
      </c>
    </row>
    <row r="38" spans="1:35" x14ac:dyDescent="0.2">
      <c r="A38">
        <v>228</v>
      </c>
      <c r="B38" t="s">
        <v>16</v>
      </c>
      <c r="C38" t="s">
        <v>303</v>
      </c>
      <c r="D38" t="s">
        <v>10</v>
      </c>
      <c r="E38">
        <v>1</v>
      </c>
      <c r="F38">
        <v>15.783333333332999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0.14000000000000001</v>
      </c>
      <c r="P38">
        <v>4</v>
      </c>
      <c r="Q38">
        <v>2</v>
      </c>
      <c r="R38">
        <v>3</v>
      </c>
      <c r="S38">
        <v>0</v>
      </c>
      <c r="T38">
        <v>0</v>
      </c>
      <c r="U38">
        <v>0</v>
      </c>
      <c r="V38">
        <v>5</v>
      </c>
      <c r="W38">
        <v>1</v>
      </c>
      <c r="X38">
        <v>0</v>
      </c>
      <c r="Y38">
        <v>1</v>
      </c>
      <c r="Z38">
        <v>0</v>
      </c>
      <c r="AA38">
        <v>2</v>
      </c>
      <c r="AB38">
        <v>0</v>
      </c>
      <c r="AC38">
        <v>0</v>
      </c>
      <c r="AD38">
        <v>2</v>
      </c>
      <c r="AE38">
        <v>0</v>
      </c>
      <c r="AF38">
        <v>1</v>
      </c>
      <c r="AG38">
        <v>0</v>
      </c>
      <c r="AH38">
        <v>0</v>
      </c>
      <c r="AI38" t="s">
        <v>430</v>
      </c>
    </row>
    <row r="39" spans="1:35" x14ac:dyDescent="0.2">
      <c r="A39">
        <v>179</v>
      </c>
      <c r="B39" t="s">
        <v>25</v>
      </c>
      <c r="C39" t="s">
        <v>303</v>
      </c>
      <c r="D39" t="s">
        <v>294</v>
      </c>
      <c r="E39">
        <v>1</v>
      </c>
      <c r="F39">
        <v>22.2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430</v>
      </c>
      <c r="M39">
        <v>1</v>
      </c>
      <c r="N39">
        <v>0</v>
      </c>
      <c r="O39">
        <v>0.18</v>
      </c>
      <c r="P39">
        <v>4</v>
      </c>
      <c r="Q39">
        <v>3</v>
      </c>
      <c r="R39">
        <v>3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2</v>
      </c>
      <c r="AC39">
        <v>0</v>
      </c>
      <c r="AD39">
        <v>2</v>
      </c>
      <c r="AE39">
        <v>0</v>
      </c>
      <c r="AF39">
        <v>1</v>
      </c>
      <c r="AG39">
        <v>0</v>
      </c>
      <c r="AH39">
        <v>0</v>
      </c>
      <c r="AI39" t="s">
        <v>430</v>
      </c>
    </row>
    <row r="40" spans="1:35" x14ac:dyDescent="0.2">
      <c r="A40">
        <v>65</v>
      </c>
      <c r="B40" t="s">
        <v>122</v>
      </c>
      <c r="C40" t="s">
        <v>303</v>
      </c>
      <c r="D40" t="s">
        <v>10</v>
      </c>
      <c r="E40">
        <v>1</v>
      </c>
      <c r="F40">
        <v>23.533333333333001</v>
      </c>
      <c r="G40">
        <v>0</v>
      </c>
      <c r="H40">
        <v>1</v>
      </c>
      <c r="I40">
        <v>0</v>
      </c>
      <c r="J40">
        <v>1</v>
      </c>
      <c r="K40">
        <v>1</v>
      </c>
      <c r="L40">
        <v>50</v>
      </c>
      <c r="M40">
        <v>1</v>
      </c>
      <c r="N40">
        <v>0</v>
      </c>
      <c r="O40">
        <v>0.02</v>
      </c>
      <c r="P40">
        <v>2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</v>
      </c>
      <c r="AC40">
        <v>1</v>
      </c>
      <c r="AD40">
        <v>0</v>
      </c>
      <c r="AE40">
        <v>3</v>
      </c>
      <c r="AF40">
        <v>1</v>
      </c>
      <c r="AG40">
        <v>0</v>
      </c>
      <c r="AH40">
        <v>0</v>
      </c>
      <c r="AI40" t="s">
        <v>430</v>
      </c>
    </row>
    <row r="41" spans="1:35" x14ac:dyDescent="0.2">
      <c r="A41">
        <v>257</v>
      </c>
      <c r="B41" t="s">
        <v>53</v>
      </c>
      <c r="C41" t="s">
        <v>303</v>
      </c>
      <c r="D41" t="s">
        <v>294</v>
      </c>
      <c r="E41">
        <v>1</v>
      </c>
      <c r="F41">
        <v>15.616666666666999</v>
      </c>
      <c r="G41">
        <v>1</v>
      </c>
      <c r="H41">
        <v>0</v>
      </c>
      <c r="I41">
        <v>0</v>
      </c>
      <c r="J41">
        <v>0</v>
      </c>
      <c r="K41">
        <v>1</v>
      </c>
      <c r="L41">
        <v>100</v>
      </c>
      <c r="M41">
        <v>3</v>
      </c>
      <c r="N41">
        <v>33.33</v>
      </c>
      <c r="O41">
        <v>0.34</v>
      </c>
      <c r="P41">
        <v>4</v>
      </c>
      <c r="Q41">
        <v>3</v>
      </c>
      <c r="R41">
        <v>4</v>
      </c>
      <c r="S41">
        <v>2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430</v>
      </c>
    </row>
    <row r="42" spans="1:35" x14ac:dyDescent="0.2">
      <c r="A42">
        <v>134</v>
      </c>
      <c r="B42" t="s">
        <v>181</v>
      </c>
      <c r="C42" t="s">
        <v>303</v>
      </c>
      <c r="D42" t="s">
        <v>10</v>
      </c>
      <c r="E42">
        <v>1</v>
      </c>
      <c r="F42">
        <v>19.983333333333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430</v>
      </c>
      <c r="O42">
        <v>0.01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430</v>
      </c>
    </row>
    <row r="43" spans="1:35" x14ac:dyDescent="0.2">
      <c r="A43">
        <v>178</v>
      </c>
      <c r="B43" t="s">
        <v>318</v>
      </c>
      <c r="C43" t="s">
        <v>303</v>
      </c>
      <c r="D43" t="s">
        <v>5</v>
      </c>
      <c r="E43">
        <v>1</v>
      </c>
      <c r="F43">
        <v>9.5500000000000007</v>
      </c>
      <c r="G43">
        <v>0</v>
      </c>
      <c r="H43">
        <v>1</v>
      </c>
      <c r="I43">
        <v>1</v>
      </c>
      <c r="J43">
        <v>0</v>
      </c>
      <c r="K43">
        <v>1</v>
      </c>
      <c r="L43">
        <v>100</v>
      </c>
      <c r="M43">
        <v>2</v>
      </c>
      <c r="N43">
        <v>0</v>
      </c>
      <c r="O43">
        <v>0.13</v>
      </c>
      <c r="P43">
        <v>3</v>
      </c>
      <c r="Q43">
        <v>2</v>
      </c>
      <c r="R43">
        <v>2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2</v>
      </c>
      <c r="AC43">
        <v>0</v>
      </c>
      <c r="AD43">
        <v>3</v>
      </c>
      <c r="AE43">
        <v>3</v>
      </c>
      <c r="AF43">
        <v>0</v>
      </c>
      <c r="AG43">
        <v>1</v>
      </c>
      <c r="AH43">
        <v>0</v>
      </c>
      <c r="AI43">
        <v>100</v>
      </c>
    </row>
    <row r="44" spans="1:35" x14ac:dyDescent="0.2">
      <c r="A44">
        <v>258</v>
      </c>
      <c r="B44" t="s">
        <v>436</v>
      </c>
      <c r="C44" t="s">
        <v>303</v>
      </c>
      <c r="D44" t="s">
        <v>10</v>
      </c>
      <c r="E44">
        <v>1</v>
      </c>
      <c r="F44">
        <v>10.716666666667001</v>
      </c>
      <c r="G44">
        <v>1</v>
      </c>
      <c r="H44">
        <v>0</v>
      </c>
      <c r="I44">
        <v>0</v>
      </c>
      <c r="J44">
        <v>0</v>
      </c>
      <c r="K44">
        <v>1</v>
      </c>
      <c r="L44">
        <v>100</v>
      </c>
      <c r="M44">
        <v>2</v>
      </c>
      <c r="N44">
        <v>50</v>
      </c>
      <c r="O44">
        <v>0.06</v>
      </c>
      <c r="P44">
        <v>3</v>
      </c>
      <c r="Q44">
        <v>2</v>
      </c>
      <c r="R44">
        <v>2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0</v>
      </c>
      <c r="AG44">
        <v>0</v>
      </c>
      <c r="AH44">
        <v>0</v>
      </c>
      <c r="AI44" t="s">
        <v>430</v>
      </c>
    </row>
    <row r="45" spans="1:35" x14ac:dyDescent="0.2">
      <c r="A45">
        <v>63</v>
      </c>
      <c r="B45" t="s">
        <v>132</v>
      </c>
      <c r="C45" t="s">
        <v>303</v>
      </c>
      <c r="D45" t="s">
        <v>292</v>
      </c>
      <c r="E45">
        <v>1</v>
      </c>
      <c r="F45">
        <v>14.35</v>
      </c>
      <c r="G45">
        <v>0</v>
      </c>
      <c r="H45">
        <v>1</v>
      </c>
      <c r="I45">
        <v>1</v>
      </c>
      <c r="J45">
        <v>0</v>
      </c>
      <c r="K45">
        <v>1</v>
      </c>
      <c r="L45">
        <v>100</v>
      </c>
      <c r="M45">
        <v>0</v>
      </c>
      <c r="N45" t="s">
        <v>430</v>
      </c>
      <c r="O45">
        <v>0.06</v>
      </c>
      <c r="P45">
        <v>2</v>
      </c>
      <c r="Q45">
        <v>2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</row>
    <row r="46" spans="1:35" x14ac:dyDescent="0.2">
      <c r="A46">
        <v>6</v>
      </c>
      <c r="B46" t="s">
        <v>89</v>
      </c>
      <c r="C46" t="s">
        <v>303</v>
      </c>
      <c r="D46" t="s">
        <v>5</v>
      </c>
      <c r="E46">
        <v>1</v>
      </c>
      <c r="F46">
        <v>18.233333333333</v>
      </c>
      <c r="G46">
        <v>1</v>
      </c>
      <c r="H46">
        <v>0</v>
      </c>
      <c r="I46">
        <v>0</v>
      </c>
      <c r="J46">
        <v>0</v>
      </c>
      <c r="K46">
        <v>1</v>
      </c>
      <c r="L46">
        <v>100</v>
      </c>
      <c r="M46">
        <v>1</v>
      </c>
      <c r="N46">
        <v>100</v>
      </c>
      <c r="O46">
        <v>0.2</v>
      </c>
      <c r="P46">
        <v>3</v>
      </c>
      <c r="Q46">
        <v>3</v>
      </c>
      <c r="R46">
        <v>3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</v>
      </c>
      <c r="AE46">
        <v>1</v>
      </c>
      <c r="AF46">
        <v>0</v>
      </c>
      <c r="AG46">
        <v>13</v>
      </c>
      <c r="AH46">
        <v>7</v>
      </c>
      <c r="AI46">
        <v>65</v>
      </c>
    </row>
    <row r="47" spans="1:35" x14ac:dyDescent="0.2">
      <c r="A47">
        <v>177</v>
      </c>
      <c r="B47" t="s">
        <v>42</v>
      </c>
      <c r="C47" t="s">
        <v>303</v>
      </c>
      <c r="D47" t="s">
        <v>10</v>
      </c>
      <c r="E47">
        <v>1</v>
      </c>
      <c r="F47">
        <v>25.65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430</v>
      </c>
      <c r="M47">
        <v>1</v>
      </c>
      <c r="N47">
        <v>0</v>
      </c>
      <c r="O47">
        <v>0.11</v>
      </c>
      <c r="P47">
        <v>6</v>
      </c>
      <c r="Q47">
        <v>3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 t="s">
        <v>430</v>
      </c>
    </row>
    <row r="48" spans="1:35" x14ac:dyDescent="0.2">
      <c r="A48">
        <v>249</v>
      </c>
      <c r="B48" t="s">
        <v>59</v>
      </c>
      <c r="C48" t="s">
        <v>303</v>
      </c>
      <c r="D48" t="s">
        <v>5</v>
      </c>
      <c r="E48">
        <v>1</v>
      </c>
      <c r="F48">
        <v>14.233333333333</v>
      </c>
      <c r="G48">
        <v>0</v>
      </c>
      <c r="H48">
        <v>1</v>
      </c>
      <c r="I48">
        <v>1</v>
      </c>
      <c r="J48">
        <v>0</v>
      </c>
      <c r="K48">
        <v>1</v>
      </c>
      <c r="L48">
        <v>100</v>
      </c>
      <c r="M48">
        <v>3</v>
      </c>
      <c r="N48">
        <v>0</v>
      </c>
      <c r="O48">
        <v>0.69</v>
      </c>
      <c r="P48">
        <v>4</v>
      </c>
      <c r="Q48">
        <v>4</v>
      </c>
      <c r="R48">
        <v>4</v>
      </c>
      <c r="S48">
        <v>3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6</v>
      </c>
      <c r="AH48">
        <v>4</v>
      </c>
      <c r="AI48">
        <v>60</v>
      </c>
    </row>
    <row r="49" spans="1:35" x14ac:dyDescent="0.2">
      <c r="A49">
        <v>56</v>
      </c>
      <c r="B49" t="s">
        <v>232</v>
      </c>
      <c r="C49" t="s">
        <v>303</v>
      </c>
      <c r="D49" t="s">
        <v>292</v>
      </c>
      <c r="E49">
        <v>1</v>
      </c>
      <c r="F49">
        <v>9.3833333333333009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430</v>
      </c>
      <c r="O49">
        <v>0.04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4</v>
      </c>
      <c r="AF49">
        <v>0</v>
      </c>
      <c r="AG49">
        <v>7</v>
      </c>
      <c r="AH49">
        <v>3</v>
      </c>
      <c r="AI49">
        <v>70</v>
      </c>
    </row>
    <row r="50" spans="1:35" x14ac:dyDescent="0.2">
      <c r="A50">
        <v>92</v>
      </c>
      <c r="B50" t="s">
        <v>38</v>
      </c>
      <c r="C50" t="s">
        <v>303</v>
      </c>
      <c r="D50" t="s">
        <v>292</v>
      </c>
      <c r="E50">
        <v>1</v>
      </c>
      <c r="F50">
        <v>19.5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430</v>
      </c>
      <c r="M50">
        <v>3</v>
      </c>
      <c r="N50">
        <v>0</v>
      </c>
      <c r="O50">
        <v>0.35</v>
      </c>
      <c r="P50">
        <v>7</v>
      </c>
      <c r="Q50">
        <v>4</v>
      </c>
      <c r="R50">
        <v>3</v>
      </c>
      <c r="S50">
        <v>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0</v>
      </c>
      <c r="AH50">
        <v>0</v>
      </c>
      <c r="AI50" t="s">
        <v>430</v>
      </c>
    </row>
    <row r="51" spans="1:35" x14ac:dyDescent="0.2">
      <c r="A51">
        <v>168</v>
      </c>
      <c r="B51" t="s">
        <v>76</v>
      </c>
      <c r="C51" t="s">
        <v>303</v>
      </c>
      <c r="D51" t="s">
        <v>10</v>
      </c>
      <c r="E51">
        <v>1</v>
      </c>
      <c r="F51">
        <v>20.3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430</v>
      </c>
      <c r="M51">
        <v>3</v>
      </c>
      <c r="N51">
        <v>0</v>
      </c>
      <c r="O51">
        <v>0.06</v>
      </c>
      <c r="P51">
        <v>7</v>
      </c>
      <c r="Q51">
        <v>3</v>
      </c>
      <c r="R51">
        <v>2</v>
      </c>
      <c r="S51">
        <v>0</v>
      </c>
      <c r="T51">
        <v>0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0</v>
      </c>
      <c r="AD51">
        <v>6</v>
      </c>
      <c r="AE51">
        <v>3</v>
      </c>
      <c r="AF51">
        <v>0</v>
      </c>
      <c r="AG51">
        <v>0</v>
      </c>
      <c r="AH51">
        <v>0</v>
      </c>
      <c r="AI51" t="s">
        <v>430</v>
      </c>
    </row>
    <row r="52" spans="1:35" x14ac:dyDescent="0.2">
      <c r="A52">
        <v>114</v>
      </c>
      <c r="B52" t="s">
        <v>23</v>
      </c>
      <c r="C52" t="s">
        <v>303</v>
      </c>
      <c r="D52" t="s">
        <v>5</v>
      </c>
      <c r="E52">
        <v>1</v>
      </c>
      <c r="F52">
        <v>23.6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430</v>
      </c>
      <c r="M52">
        <v>3</v>
      </c>
      <c r="N52">
        <v>0</v>
      </c>
      <c r="O52">
        <v>0.5</v>
      </c>
      <c r="P52">
        <v>7</v>
      </c>
      <c r="Q52">
        <v>6</v>
      </c>
      <c r="R52">
        <v>4</v>
      </c>
      <c r="S52">
        <v>3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1</v>
      </c>
      <c r="AF52">
        <v>0</v>
      </c>
      <c r="AG52">
        <v>11</v>
      </c>
      <c r="AH52">
        <v>5</v>
      </c>
      <c r="AI52">
        <v>68.75</v>
      </c>
    </row>
    <row r="53" spans="1:35" x14ac:dyDescent="0.2">
      <c r="A53">
        <v>224</v>
      </c>
      <c r="B53" t="s">
        <v>20</v>
      </c>
      <c r="C53" t="s">
        <v>303</v>
      </c>
      <c r="D53" t="s">
        <v>5</v>
      </c>
      <c r="E53">
        <v>1</v>
      </c>
      <c r="F53">
        <v>22.283333333333001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430</v>
      </c>
      <c r="M53">
        <v>4</v>
      </c>
      <c r="N53">
        <v>0</v>
      </c>
      <c r="O53">
        <v>0.22</v>
      </c>
      <c r="P53">
        <v>5</v>
      </c>
      <c r="Q53">
        <v>4</v>
      </c>
      <c r="R53">
        <v>4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1</v>
      </c>
      <c r="AF53">
        <v>0</v>
      </c>
      <c r="AG53">
        <v>1</v>
      </c>
      <c r="AH53">
        <v>0</v>
      </c>
      <c r="AI53">
        <v>100</v>
      </c>
    </row>
    <row r="54" spans="1:35" x14ac:dyDescent="0.2">
      <c r="A54">
        <v>35</v>
      </c>
      <c r="B54" t="s">
        <v>71</v>
      </c>
      <c r="C54" t="s">
        <v>303</v>
      </c>
      <c r="D54" t="s">
        <v>292</v>
      </c>
      <c r="E54">
        <v>1</v>
      </c>
      <c r="F54">
        <v>15.583333333333</v>
      </c>
      <c r="G54">
        <v>0</v>
      </c>
      <c r="H54">
        <v>1</v>
      </c>
      <c r="I54">
        <v>0</v>
      </c>
      <c r="J54">
        <v>1</v>
      </c>
      <c r="K54">
        <v>1</v>
      </c>
      <c r="L54">
        <v>100</v>
      </c>
      <c r="M54">
        <v>0</v>
      </c>
      <c r="N54" t="s">
        <v>430</v>
      </c>
      <c r="O54">
        <v>0.42</v>
      </c>
      <c r="P54">
        <v>5</v>
      </c>
      <c r="Q54">
        <v>5</v>
      </c>
      <c r="R54">
        <v>4</v>
      </c>
      <c r="S54">
        <v>2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0</v>
      </c>
    </row>
    <row r="55" spans="1:35" x14ac:dyDescent="0.2">
      <c r="A55">
        <v>79</v>
      </c>
      <c r="B55" t="s">
        <v>259</v>
      </c>
      <c r="C55" t="s">
        <v>303</v>
      </c>
      <c r="D55" t="s">
        <v>292</v>
      </c>
      <c r="E55">
        <v>1</v>
      </c>
      <c r="F55">
        <v>12.683333333333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</v>
      </c>
      <c r="N55">
        <v>0</v>
      </c>
      <c r="O55">
        <v>0.14000000000000001</v>
      </c>
      <c r="P55">
        <v>3</v>
      </c>
      <c r="Q55">
        <v>3</v>
      </c>
      <c r="R55">
        <v>1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</v>
      </c>
      <c r="AE55">
        <v>0</v>
      </c>
      <c r="AF55">
        <v>1</v>
      </c>
      <c r="AG55">
        <v>0</v>
      </c>
      <c r="AH55">
        <v>0</v>
      </c>
      <c r="AI55" t="s">
        <v>430</v>
      </c>
    </row>
    <row r="56" spans="1:35" x14ac:dyDescent="0.2">
      <c r="A56">
        <v>277</v>
      </c>
      <c r="B56" t="s">
        <v>79</v>
      </c>
      <c r="C56" t="s">
        <v>295</v>
      </c>
      <c r="D56" t="s">
        <v>5</v>
      </c>
      <c r="E56">
        <v>1</v>
      </c>
      <c r="F56">
        <v>21.2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430</v>
      </c>
      <c r="M56">
        <v>2</v>
      </c>
      <c r="N56">
        <v>0</v>
      </c>
      <c r="O56">
        <v>0.21</v>
      </c>
      <c r="P56">
        <v>4</v>
      </c>
      <c r="Q56">
        <v>3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4</v>
      </c>
      <c r="AE56">
        <v>0</v>
      </c>
      <c r="AF56">
        <v>1</v>
      </c>
      <c r="AG56">
        <v>16</v>
      </c>
      <c r="AH56">
        <v>8</v>
      </c>
      <c r="AI56">
        <v>66.67</v>
      </c>
    </row>
    <row r="57" spans="1:35" x14ac:dyDescent="0.2">
      <c r="A57">
        <v>45</v>
      </c>
      <c r="B57" t="s">
        <v>131</v>
      </c>
      <c r="C57" t="s">
        <v>295</v>
      </c>
      <c r="D57" t="s">
        <v>5</v>
      </c>
      <c r="E57">
        <v>1</v>
      </c>
      <c r="F57">
        <v>17.066666666667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430</v>
      </c>
      <c r="M57">
        <v>0</v>
      </c>
      <c r="N57" t="s">
        <v>430</v>
      </c>
      <c r="O57">
        <v>0.01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0</v>
      </c>
      <c r="AD57">
        <v>3</v>
      </c>
      <c r="AE57">
        <v>1</v>
      </c>
      <c r="AF57">
        <v>2</v>
      </c>
      <c r="AG57">
        <v>1</v>
      </c>
      <c r="AH57">
        <v>1</v>
      </c>
      <c r="AI57">
        <v>50</v>
      </c>
    </row>
    <row r="58" spans="1:35" x14ac:dyDescent="0.2">
      <c r="A58">
        <v>29</v>
      </c>
      <c r="B58" t="s">
        <v>145</v>
      </c>
      <c r="C58" t="s">
        <v>295</v>
      </c>
      <c r="D58" t="s">
        <v>5</v>
      </c>
      <c r="E58">
        <v>1</v>
      </c>
      <c r="F58">
        <v>20.183333333333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430</v>
      </c>
      <c r="M58">
        <v>1</v>
      </c>
      <c r="N58">
        <v>0</v>
      </c>
      <c r="O58">
        <v>0.12</v>
      </c>
      <c r="P58">
        <v>3</v>
      </c>
      <c r="Q58">
        <v>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</v>
      </c>
      <c r="AC58">
        <v>0</v>
      </c>
      <c r="AD58">
        <v>1</v>
      </c>
      <c r="AE58">
        <v>0</v>
      </c>
      <c r="AF58">
        <v>2</v>
      </c>
      <c r="AG58">
        <v>6</v>
      </c>
      <c r="AH58">
        <v>8</v>
      </c>
      <c r="AI58">
        <v>42.86</v>
      </c>
    </row>
    <row r="59" spans="1:35" x14ac:dyDescent="0.2">
      <c r="A59">
        <v>251</v>
      </c>
      <c r="B59" t="s">
        <v>198</v>
      </c>
      <c r="C59" t="s">
        <v>295</v>
      </c>
      <c r="D59" t="s">
        <v>5</v>
      </c>
      <c r="E59">
        <v>1</v>
      </c>
      <c r="F59">
        <v>15.85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430</v>
      </c>
      <c r="M59">
        <v>0</v>
      </c>
      <c r="N59" t="s">
        <v>430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</v>
      </c>
      <c r="AE59">
        <v>0</v>
      </c>
      <c r="AF59">
        <v>1</v>
      </c>
      <c r="AG59">
        <v>1</v>
      </c>
      <c r="AH59">
        <v>0</v>
      </c>
      <c r="AI59">
        <v>100</v>
      </c>
    </row>
    <row r="60" spans="1:35" x14ac:dyDescent="0.2">
      <c r="A60">
        <v>64</v>
      </c>
      <c r="B60" t="s">
        <v>152</v>
      </c>
      <c r="C60" t="s">
        <v>295</v>
      </c>
      <c r="D60" t="s">
        <v>10</v>
      </c>
      <c r="E60">
        <v>1</v>
      </c>
      <c r="F60">
        <v>27.35</v>
      </c>
      <c r="G60">
        <v>0</v>
      </c>
      <c r="H60">
        <v>1</v>
      </c>
      <c r="I60">
        <v>1</v>
      </c>
      <c r="J60">
        <v>0</v>
      </c>
      <c r="K60">
        <v>1</v>
      </c>
      <c r="L60">
        <v>100</v>
      </c>
      <c r="M60">
        <v>1</v>
      </c>
      <c r="N60">
        <v>0</v>
      </c>
      <c r="O60">
        <v>0.03</v>
      </c>
      <c r="P60">
        <v>2</v>
      </c>
      <c r="Q60">
        <v>1</v>
      </c>
      <c r="R60">
        <v>0</v>
      </c>
      <c r="S60">
        <v>0</v>
      </c>
      <c r="T60">
        <v>0</v>
      </c>
      <c r="U60">
        <v>0</v>
      </c>
      <c r="V60">
        <v>2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0</v>
      </c>
      <c r="AI60" t="s">
        <v>430</v>
      </c>
    </row>
    <row r="61" spans="1:35" x14ac:dyDescent="0.2">
      <c r="A61">
        <v>101</v>
      </c>
      <c r="B61" t="s">
        <v>443</v>
      </c>
      <c r="C61" t="s">
        <v>295</v>
      </c>
      <c r="D61" t="s">
        <v>292</v>
      </c>
      <c r="E61">
        <v>1</v>
      </c>
      <c r="F61">
        <v>6.6166666666667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430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0</v>
      </c>
      <c r="AF61">
        <v>0</v>
      </c>
      <c r="AG61">
        <v>1</v>
      </c>
      <c r="AH61">
        <v>0</v>
      </c>
      <c r="AI61">
        <v>100</v>
      </c>
    </row>
    <row r="62" spans="1:35" x14ac:dyDescent="0.2">
      <c r="A62">
        <v>217</v>
      </c>
      <c r="B62" t="s">
        <v>219</v>
      </c>
      <c r="C62" t="s">
        <v>295</v>
      </c>
      <c r="D62" t="s">
        <v>292</v>
      </c>
      <c r="E62">
        <v>1</v>
      </c>
      <c r="F62">
        <v>6.7166666666666996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</v>
      </c>
      <c r="N62">
        <v>0</v>
      </c>
      <c r="O62">
        <v>0.18</v>
      </c>
      <c r="P62">
        <v>3</v>
      </c>
      <c r="Q62">
        <v>3</v>
      </c>
      <c r="R62">
        <v>3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</v>
      </c>
      <c r="AE62">
        <v>0</v>
      </c>
      <c r="AF62">
        <v>0</v>
      </c>
      <c r="AG62">
        <v>0</v>
      </c>
      <c r="AH62">
        <v>0</v>
      </c>
      <c r="AI62" t="s">
        <v>430</v>
      </c>
    </row>
    <row r="63" spans="1:35" x14ac:dyDescent="0.2">
      <c r="A63">
        <v>195</v>
      </c>
      <c r="B63" t="s">
        <v>450</v>
      </c>
      <c r="C63" t="s">
        <v>295</v>
      </c>
      <c r="D63" t="s">
        <v>10</v>
      </c>
      <c r="E63">
        <v>1</v>
      </c>
      <c r="F63">
        <v>9.5500000000000007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430</v>
      </c>
      <c r="M63">
        <v>0</v>
      </c>
      <c r="N63" t="s">
        <v>430</v>
      </c>
      <c r="O63">
        <v>0.02</v>
      </c>
      <c r="P63">
        <v>1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 t="s">
        <v>430</v>
      </c>
    </row>
    <row r="64" spans="1:35" x14ac:dyDescent="0.2">
      <c r="A64">
        <v>34</v>
      </c>
      <c r="B64" t="s">
        <v>199</v>
      </c>
      <c r="C64" t="s">
        <v>295</v>
      </c>
      <c r="D64" t="s">
        <v>10</v>
      </c>
      <c r="E64">
        <v>1</v>
      </c>
      <c r="F64">
        <v>21.116666666667001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430</v>
      </c>
      <c r="M64">
        <v>1</v>
      </c>
      <c r="N64">
        <v>0</v>
      </c>
      <c r="O64">
        <v>0</v>
      </c>
      <c r="P64">
        <v>5</v>
      </c>
      <c r="Q64">
        <v>2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2</v>
      </c>
      <c r="AE64">
        <v>2</v>
      </c>
      <c r="AF64">
        <v>4</v>
      </c>
      <c r="AG64">
        <v>0</v>
      </c>
      <c r="AH64">
        <v>0</v>
      </c>
      <c r="AI64" t="s">
        <v>430</v>
      </c>
    </row>
    <row r="65" spans="1:35" x14ac:dyDescent="0.2">
      <c r="A65">
        <v>174</v>
      </c>
      <c r="B65" t="s">
        <v>434</v>
      </c>
      <c r="C65" t="s">
        <v>295</v>
      </c>
      <c r="D65" t="s">
        <v>5</v>
      </c>
      <c r="E65">
        <v>1</v>
      </c>
      <c r="F65">
        <v>7.45</v>
      </c>
      <c r="G65">
        <v>0</v>
      </c>
      <c r="H65">
        <v>1</v>
      </c>
      <c r="I65">
        <v>0</v>
      </c>
      <c r="J65">
        <v>1</v>
      </c>
      <c r="K65">
        <v>1</v>
      </c>
      <c r="L65">
        <v>100</v>
      </c>
      <c r="M65">
        <v>0</v>
      </c>
      <c r="N65" t="s">
        <v>430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</v>
      </c>
      <c r="AE65">
        <v>0</v>
      </c>
      <c r="AF65">
        <v>0</v>
      </c>
      <c r="AG65">
        <v>1</v>
      </c>
      <c r="AH65">
        <v>1</v>
      </c>
      <c r="AI65">
        <v>50</v>
      </c>
    </row>
    <row r="66" spans="1:35" x14ac:dyDescent="0.2">
      <c r="A66">
        <v>125</v>
      </c>
      <c r="B66" t="s">
        <v>115</v>
      </c>
      <c r="C66" t="s">
        <v>295</v>
      </c>
      <c r="D66" t="s">
        <v>10</v>
      </c>
      <c r="E66">
        <v>1</v>
      </c>
      <c r="F66">
        <v>23.033333333333001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430</v>
      </c>
      <c r="M66">
        <v>2</v>
      </c>
      <c r="N66">
        <v>0</v>
      </c>
      <c r="O66">
        <v>0.04</v>
      </c>
      <c r="P66">
        <v>4</v>
      </c>
      <c r="Q66">
        <v>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430</v>
      </c>
    </row>
    <row r="67" spans="1:35" x14ac:dyDescent="0.2">
      <c r="A67">
        <v>194</v>
      </c>
      <c r="B67" t="s">
        <v>345</v>
      </c>
      <c r="C67" t="s">
        <v>295</v>
      </c>
      <c r="D67" t="s">
        <v>10</v>
      </c>
      <c r="E67">
        <v>1</v>
      </c>
      <c r="F67">
        <v>10.683333333333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430</v>
      </c>
      <c r="M67">
        <v>1</v>
      </c>
      <c r="N67">
        <v>0</v>
      </c>
      <c r="O67">
        <v>0.01</v>
      </c>
      <c r="P67">
        <v>3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</v>
      </c>
      <c r="AE67">
        <v>2</v>
      </c>
      <c r="AF67">
        <v>0</v>
      </c>
      <c r="AG67">
        <v>0</v>
      </c>
      <c r="AH67">
        <v>0</v>
      </c>
      <c r="AI67" t="s">
        <v>430</v>
      </c>
    </row>
    <row r="68" spans="1:35" x14ac:dyDescent="0.2">
      <c r="A68">
        <v>247</v>
      </c>
      <c r="B68" t="s">
        <v>153</v>
      </c>
      <c r="C68" t="s">
        <v>295</v>
      </c>
      <c r="D68" t="s">
        <v>5</v>
      </c>
      <c r="E68">
        <v>1</v>
      </c>
      <c r="F68">
        <v>11.25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430</v>
      </c>
      <c r="M68">
        <v>0</v>
      </c>
      <c r="N68" t="s">
        <v>430</v>
      </c>
      <c r="O68">
        <v>0.01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430</v>
      </c>
    </row>
    <row r="69" spans="1:35" x14ac:dyDescent="0.2">
      <c r="A69">
        <v>187</v>
      </c>
      <c r="B69" t="s">
        <v>113</v>
      </c>
      <c r="C69" t="s">
        <v>295</v>
      </c>
      <c r="D69" t="s">
        <v>294</v>
      </c>
      <c r="E69">
        <v>1</v>
      </c>
      <c r="F69">
        <v>17.583333333333002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430</v>
      </c>
      <c r="M69">
        <v>3</v>
      </c>
      <c r="N69">
        <v>0</v>
      </c>
      <c r="O69">
        <v>0.21</v>
      </c>
      <c r="P69">
        <v>4</v>
      </c>
      <c r="Q69">
        <v>4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1</v>
      </c>
      <c r="AF69">
        <v>0</v>
      </c>
      <c r="AG69">
        <v>0</v>
      </c>
      <c r="AH69">
        <v>0</v>
      </c>
      <c r="AI69" t="s">
        <v>430</v>
      </c>
    </row>
    <row r="70" spans="1:35" x14ac:dyDescent="0.2">
      <c r="A70">
        <v>135</v>
      </c>
      <c r="B70" t="s">
        <v>101</v>
      </c>
      <c r="C70" t="s">
        <v>295</v>
      </c>
      <c r="D70" t="s">
        <v>292</v>
      </c>
      <c r="E70">
        <v>1</v>
      </c>
      <c r="F70">
        <v>18.383333333332999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430</v>
      </c>
      <c r="M70">
        <v>1</v>
      </c>
      <c r="N70">
        <v>0</v>
      </c>
      <c r="O70">
        <v>0.11</v>
      </c>
      <c r="P70">
        <v>2</v>
      </c>
      <c r="Q70">
        <v>2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0</v>
      </c>
      <c r="AD70">
        <v>2</v>
      </c>
      <c r="AE70">
        <v>0</v>
      </c>
      <c r="AF70">
        <v>1</v>
      </c>
      <c r="AG70">
        <v>0</v>
      </c>
      <c r="AH70">
        <v>0</v>
      </c>
      <c r="AI70" t="s">
        <v>430</v>
      </c>
    </row>
    <row r="71" spans="1:35" x14ac:dyDescent="0.2">
      <c r="A71">
        <v>151</v>
      </c>
      <c r="B71" t="s">
        <v>206</v>
      </c>
      <c r="C71" t="s">
        <v>295</v>
      </c>
      <c r="D71" t="s">
        <v>294</v>
      </c>
      <c r="E71">
        <v>1</v>
      </c>
      <c r="F71">
        <v>16.483333333333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430</v>
      </c>
      <c r="M71">
        <v>5</v>
      </c>
      <c r="N71">
        <v>0</v>
      </c>
      <c r="O71">
        <v>0.11</v>
      </c>
      <c r="P71">
        <v>5</v>
      </c>
      <c r="Q71">
        <v>5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5</v>
      </c>
      <c r="AE71">
        <v>1</v>
      </c>
      <c r="AF71">
        <v>1</v>
      </c>
      <c r="AG71">
        <v>0</v>
      </c>
      <c r="AH71">
        <v>0</v>
      </c>
      <c r="AI71" t="s">
        <v>430</v>
      </c>
    </row>
    <row r="72" spans="1:35" x14ac:dyDescent="0.2">
      <c r="A72">
        <v>82</v>
      </c>
      <c r="B72" t="s">
        <v>138</v>
      </c>
      <c r="C72" t="s">
        <v>295</v>
      </c>
      <c r="D72" t="s">
        <v>5</v>
      </c>
      <c r="E72">
        <v>1</v>
      </c>
      <c r="F72">
        <v>17.916666666666998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430</v>
      </c>
      <c r="M72">
        <v>0</v>
      </c>
      <c r="N72" t="s">
        <v>430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1</v>
      </c>
      <c r="AD72">
        <v>0</v>
      </c>
      <c r="AE72">
        <v>0</v>
      </c>
      <c r="AF72">
        <v>0</v>
      </c>
      <c r="AG72">
        <v>1</v>
      </c>
      <c r="AH72">
        <v>8</v>
      </c>
      <c r="AI72">
        <v>11.11</v>
      </c>
    </row>
    <row r="73" spans="1:35" x14ac:dyDescent="0.2">
      <c r="A73">
        <v>120</v>
      </c>
      <c r="B73" t="s">
        <v>70</v>
      </c>
      <c r="C73" t="s">
        <v>295</v>
      </c>
      <c r="D73" t="s">
        <v>10</v>
      </c>
      <c r="E73">
        <v>1</v>
      </c>
      <c r="F73">
        <v>27.75</v>
      </c>
      <c r="G73">
        <v>1</v>
      </c>
      <c r="H73">
        <v>0</v>
      </c>
      <c r="I73">
        <v>0</v>
      </c>
      <c r="J73">
        <v>0</v>
      </c>
      <c r="K73">
        <v>1</v>
      </c>
      <c r="L73">
        <v>100</v>
      </c>
      <c r="M73">
        <v>3</v>
      </c>
      <c r="N73">
        <v>33.33</v>
      </c>
      <c r="O73">
        <v>0.17</v>
      </c>
      <c r="P73">
        <v>7</v>
      </c>
      <c r="Q73">
        <v>6</v>
      </c>
      <c r="R73">
        <v>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3</v>
      </c>
      <c r="AG73">
        <v>0</v>
      </c>
      <c r="AH73">
        <v>0</v>
      </c>
      <c r="AI73" t="s">
        <v>430</v>
      </c>
    </row>
    <row r="74" spans="1:35" x14ac:dyDescent="0.2">
      <c r="A74">
        <v>206</v>
      </c>
      <c r="B74" t="s">
        <v>214</v>
      </c>
      <c r="C74" t="s">
        <v>307</v>
      </c>
      <c r="D74" t="s">
        <v>10</v>
      </c>
      <c r="E74">
        <v>1</v>
      </c>
      <c r="F74">
        <v>25.616666666667001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430</v>
      </c>
      <c r="M74">
        <v>0</v>
      </c>
      <c r="N74" t="s">
        <v>430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</v>
      </c>
      <c r="W74">
        <v>1</v>
      </c>
      <c r="X74">
        <v>1</v>
      </c>
      <c r="Y74">
        <v>0</v>
      </c>
      <c r="Z74">
        <v>0</v>
      </c>
      <c r="AA74">
        <v>0</v>
      </c>
      <c r="AB74">
        <v>2</v>
      </c>
      <c r="AC74">
        <v>0</v>
      </c>
      <c r="AD74">
        <v>0</v>
      </c>
      <c r="AE74">
        <v>3</v>
      </c>
      <c r="AF74">
        <v>0</v>
      </c>
      <c r="AG74">
        <v>0</v>
      </c>
      <c r="AH74">
        <v>0</v>
      </c>
      <c r="AI74" t="s">
        <v>430</v>
      </c>
    </row>
    <row r="75" spans="1:35" x14ac:dyDescent="0.2">
      <c r="A75">
        <v>74</v>
      </c>
      <c r="B75" t="s">
        <v>164</v>
      </c>
      <c r="C75" t="s">
        <v>307</v>
      </c>
      <c r="D75" t="s">
        <v>292</v>
      </c>
      <c r="E75">
        <v>1</v>
      </c>
      <c r="F75">
        <v>18.216666666666999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430</v>
      </c>
      <c r="M75">
        <v>1</v>
      </c>
      <c r="N75">
        <v>0</v>
      </c>
      <c r="O75">
        <v>0.03</v>
      </c>
      <c r="P75">
        <v>1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2</v>
      </c>
      <c r="AG75">
        <v>1</v>
      </c>
      <c r="AH75">
        <v>1</v>
      </c>
      <c r="AI75">
        <v>50</v>
      </c>
    </row>
    <row r="76" spans="1:35" x14ac:dyDescent="0.2">
      <c r="A76">
        <v>284</v>
      </c>
      <c r="B76" t="s">
        <v>123</v>
      </c>
      <c r="C76" t="s">
        <v>307</v>
      </c>
      <c r="D76" t="s">
        <v>10</v>
      </c>
      <c r="E76">
        <v>1</v>
      </c>
      <c r="F76">
        <v>16.616666666667001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430</v>
      </c>
      <c r="M76">
        <v>0</v>
      </c>
      <c r="N76" t="s">
        <v>430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1</v>
      </c>
      <c r="AD76">
        <v>1</v>
      </c>
      <c r="AE76">
        <v>2</v>
      </c>
      <c r="AF76">
        <v>0</v>
      </c>
      <c r="AG76">
        <v>0</v>
      </c>
      <c r="AH76">
        <v>0</v>
      </c>
      <c r="AI76" t="s">
        <v>430</v>
      </c>
    </row>
    <row r="77" spans="1:35" x14ac:dyDescent="0.2">
      <c r="A77">
        <v>250</v>
      </c>
      <c r="B77" t="s">
        <v>353</v>
      </c>
      <c r="C77" t="s">
        <v>307</v>
      </c>
      <c r="D77" t="s">
        <v>5</v>
      </c>
      <c r="E77">
        <v>1</v>
      </c>
      <c r="F77">
        <v>10.183333333333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430</v>
      </c>
      <c r="M77">
        <v>0</v>
      </c>
      <c r="N77" t="s">
        <v>430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6</v>
      </c>
      <c r="AE77">
        <v>1</v>
      </c>
      <c r="AF77">
        <v>1</v>
      </c>
      <c r="AG77">
        <v>0</v>
      </c>
      <c r="AH77">
        <v>1</v>
      </c>
      <c r="AI77">
        <v>0</v>
      </c>
    </row>
    <row r="78" spans="1:35" x14ac:dyDescent="0.2">
      <c r="A78">
        <v>275</v>
      </c>
      <c r="B78" t="s">
        <v>142</v>
      </c>
      <c r="C78" t="s">
        <v>307</v>
      </c>
      <c r="D78" t="s">
        <v>5</v>
      </c>
      <c r="E78">
        <v>1</v>
      </c>
      <c r="F78">
        <v>20.816666666667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430</v>
      </c>
      <c r="M78">
        <v>3</v>
      </c>
      <c r="N78">
        <v>0</v>
      </c>
      <c r="O78">
        <v>0.31</v>
      </c>
      <c r="P78">
        <v>5</v>
      </c>
      <c r="Q78">
        <v>5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</v>
      </c>
      <c r="AE78">
        <v>1</v>
      </c>
      <c r="AF78">
        <v>0</v>
      </c>
      <c r="AG78">
        <v>0</v>
      </c>
      <c r="AH78">
        <v>0</v>
      </c>
      <c r="AI78" t="s">
        <v>430</v>
      </c>
    </row>
    <row r="79" spans="1:35" x14ac:dyDescent="0.2">
      <c r="A79">
        <v>48</v>
      </c>
      <c r="B79" t="s">
        <v>239</v>
      </c>
      <c r="C79" t="s">
        <v>307</v>
      </c>
      <c r="D79" t="s">
        <v>10</v>
      </c>
      <c r="E79">
        <v>1</v>
      </c>
      <c r="F79">
        <v>22.283333333333001</v>
      </c>
      <c r="G79">
        <v>1</v>
      </c>
      <c r="H79">
        <v>0</v>
      </c>
      <c r="I79">
        <v>0</v>
      </c>
      <c r="J79">
        <v>0</v>
      </c>
      <c r="K79">
        <v>1</v>
      </c>
      <c r="L79">
        <v>33.33</v>
      </c>
      <c r="M79">
        <v>1</v>
      </c>
      <c r="N79">
        <v>100</v>
      </c>
      <c r="O79">
        <v>0.14000000000000001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2</v>
      </c>
      <c r="AF79">
        <v>1</v>
      </c>
      <c r="AG79">
        <v>0</v>
      </c>
      <c r="AH79">
        <v>0</v>
      </c>
      <c r="AI79" t="s">
        <v>430</v>
      </c>
    </row>
    <row r="80" spans="1:35" x14ac:dyDescent="0.2">
      <c r="A80">
        <v>265</v>
      </c>
      <c r="B80" t="s">
        <v>210</v>
      </c>
      <c r="C80" t="s">
        <v>307</v>
      </c>
      <c r="D80" t="s">
        <v>5</v>
      </c>
      <c r="E80">
        <v>1</v>
      </c>
      <c r="F80">
        <v>18.5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4</v>
      </c>
      <c r="N80">
        <v>0</v>
      </c>
      <c r="O80">
        <v>0.36</v>
      </c>
      <c r="P80">
        <v>7</v>
      </c>
      <c r="Q80">
        <v>7</v>
      </c>
      <c r="R80">
        <v>3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</v>
      </c>
      <c r="AC80">
        <v>0</v>
      </c>
      <c r="AD80">
        <v>1</v>
      </c>
      <c r="AE80">
        <v>1</v>
      </c>
      <c r="AF80">
        <v>0</v>
      </c>
      <c r="AG80">
        <v>6</v>
      </c>
      <c r="AH80">
        <v>3</v>
      </c>
      <c r="AI80">
        <v>66.67</v>
      </c>
    </row>
    <row r="81" spans="1:35" x14ac:dyDescent="0.2">
      <c r="A81">
        <v>215</v>
      </c>
      <c r="B81" t="s">
        <v>231</v>
      </c>
      <c r="C81" t="s">
        <v>307</v>
      </c>
      <c r="D81" t="s">
        <v>294</v>
      </c>
      <c r="E81">
        <v>1</v>
      </c>
      <c r="F81">
        <v>18.583333333333002</v>
      </c>
      <c r="G81">
        <v>1</v>
      </c>
      <c r="H81">
        <v>1</v>
      </c>
      <c r="I81">
        <v>0</v>
      </c>
      <c r="J81">
        <v>1</v>
      </c>
      <c r="K81">
        <v>2</v>
      </c>
      <c r="L81">
        <v>100</v>
      </c>
      <c r="M81">
        <v>2</v>
      </c>
      <c r="N81">
        <v>50</v>
      </c>
      <c r="O81">
        <v>0.44</v>
      </c>
      <c r="P81">
        <v>2</v>
      </c>
      <c r="Q81">
        <v>2</v>
      </c>
      <c r="R81">
        <v>2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</v>
      </c>
      <c r="AD81">
        <v>0</v>
      </c>
      <c r="AE81">
        <v>3</v>
      </c>
      <c r="AF81">
        <v>1</v>
      </c>
      <c r="AG81">
        <v>0</v>
      </c>
      <c r="AH81">
        <v>0</v>
      </c>
      <c r="AI81" t="s">
        <v>430</v>
      </c>
    </row>
    <row r="82" spans="1:35" x14ac:dyDescent="0.2">
      <c r="A82">
        <v>239</v>
      </c>
      <c r="B82" t="s">
        <v>361</v>
      </c>
      <c r="C82" t="s">
        <v>307</v>
      </c>
      <c r="D82" t="s">
        <v>292</v>
      </c>
      <c r="E82">
        <v>1</v>
      </c>
      <c r="F82">
        <v>12.366666666666999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430</v>
      </c>
      <c r="M82">
        <v>0</v>
      </c>
      <c r="N82" t="s">
        <v>430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 t="s">
        <v>430</v>
      </c>
    </row>
    <row r="83" spans="1:35" x14ac:dyDescent="0.2">
      <c r="A83">
        <v>219</v>
      </c>
      <c r="B83" t="s">
        <v>114</v>
      </c>
      <c r="C83" t="s">
        <v>307</v>
      </c>
      <c r="D83" t="s">
        <v>10</v>
      </c>
      <c r="E83">
        <v>1</v>
      </c>
      <c r="F83">
        <v>22.35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430</v>
      </c>
      <c r="M83">
        <v>1</v>
      </c>
      <c r="N83">
        <v>0</v>
      </c>
      <c r="O83">
        <v>7.0000000000000007E-2</v>
      </c>
      <c r="P83">
        <v>7</v>
      </c>
      <c r="Q83">
        <v>3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0</v>
      </c>
      <c r="AD83">
        <v>5</v>
      </c>
      <c r="AE83">
        <v>4</v>
      </c>
      <c r="AF83">
        <v>4</v>
      </c>
      <c r="AG83">
        <v>0</v>
      </c>
      <c r="AH83">
        <v>0</v>
      </c>
      <c r="AI83" t="s">
        <v>430</v>
      </c>
    </row>
    <row r="84" spans="1:35" x14ac:dyDescent="0.2">
      <c r="A84">
        <v>61</v>
      </c>
      <c r="B84" t="s">
        <v>271</v>
      </c>
      <c r="C84" t="s">
        <v>307</v>
      </c>
      <c r="D84" t="s">
        <v>10</v>
      </c>
      <c r="E84">
        <v>1</v>
      </c>
      <c r="F84">
        <v>13.95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0.01</v>
      </c>
      <c r="P84">
        <v>2</v>
      </c>
      <c r="Q84">
        <v>2</v>
      </c>
      <c r="R84">
        <v>0</v>
      </c>
      <c r="S84">
        <v>0</v>
      </c>
      <c r="T84">
        <v>0</v>
      </c>
      <c r="U84">
        <v>0</v>
      </c>
      <c r="V84">
        <v>2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</v>
      </c>
      <c r="AF84">
        <v>0</v>
      </c>
      <c r="AG84">
        <v>0</v>
      </c>
      <c r="AH84">
        <v>0</v>
      </c>
      <c r="AI84" t="s">
        <v>430</v>
      </c>
    </row>
    <row r="85" spans="1:35" x14ac:dyDescent="0.2">
      <c r="A85">
        <v>3</v>
      </c>
      <c r="B85" t="s">
        <v>258</v>
      </c>
      <c r="C85" t="s">
        <v>307</v>
      </c>
      <c r="D85" t="s">
        <v>292</v>
      </c>
      <c r="E85">
        <v>1</v>
      </c>
      <c r="F85">
        <v>10.1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430</v>
      </c>
      <c r="M85">
        <v>1</v>
      </c>
      <c r="N85">
        <v>0</v>
      </c>
      <c r="O85">
        <v>0.11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</v>
      </c>
      <c r="AE85">
        <v>0</v>
      </c>
      <c r="AF85">
        <v>2</v>
      </c>
      <c r="AG85">
        <v>0</v>
      </c>
      <c r="AH85">
        <v>8</v>
      </c>
      <c r="AI85">
        <v>0</v>
      </c>
    </row>
    <row r="86" spans="1:35" x14ac:dyDescent="0.2">
      <c r="A86">
        <v>278</v>
      </c>
      <c r="B86" t="s">
        <v>438</v>
      </c>
      <c r="C86" t="s">
        <v>307</v>
      </c>
      <c r="D86" t="s">
        <v>292</v>
      </c>
      <c r="E86">
        <v>1</v>
      </c>
      <c r="F86">
        <v>11.5</v>
      </c>
      <c r="G86">
        <v>1</v>
      </c>
      <c r="H86">
        <v>0</v>
      </c>
      <c r="I86">
        <v>0</v>
      </c>
      <c r="J86">
        <v>0</v>
      </c>
      <c r="K86">
        <v>1</v>
      </c>
      <c r="L86">
        <v>100</v>
      </c>
      <c r="M86">
        <v>2</v>
      </c>
      <c r="N86">
        <v>50</v>
      </c>
      <c r="O86">
        <v>0.17</v>
      </c>
      <c r="P86">
        <v>3</v>
      </c>
      <c r="Q86">
        <v>2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2</v>
      </c>
      <c r="AF86">
        <v>0</v>
      </c>
      <c r="AG86">
        <v>0</v>
      </c>
      <c r="AH86">
        <v>0</v>
      </c>
      <c r="AI86" t="s">
        <v>430</v>
      </c>
    </row>
    <row r="87" spans="1:35" x14ac:dyDescent="0.2">
      <c r="A87">
        <v>279</v>
      </c>
      <c r="B87" t="s">
        <v>340</v>
      </c>
      <c r="C87" t="s">
        <v>307</v>
      </c>
      <c r="D87" t="s">
        <v>5</v>
      </c>
      <c r="E87">
        <v>1</v>
      </c>
      <c r="F87">
        <v>12.85</v>
      </c>
      <c r="G87">
        <v>0</v>
      </c>
      <c r="H87">
        <v>1</v>
      </c>
      <c r="I87">
        <v>0</v>
      </c>
      <c r="J87">
        <v>1</v>
      </c>
      <c r="K87">
        <v>1</v>
      </c>
      <c r="L87">
        <v>100</v>
      </c>
      <c r="M87">
        <v>2</v>
      </c>
      <c r="N87">
        <v>0</v>
      </c>
      <c r="O87">
        <v>0.44</v>
      </c>
      <c r="P87">
        <v>3</v>
      </c>
      <c r="Q87">
        <v>3</v>
      </c>
      <c r="R87">
        <v>3</v>
      </c>
      <c r="S87">
        <v>3</v>
      </c>
      <c r="T87">
        <v>0</v>
      </c>
      <c r="U87">
        <v>1</v>
      </c>
      <c r="V87">
        <v>7</v>
      </c>
      <c r="W87">
        <v>2</v>
      </c>
      <c r="X87">
        <v>1</v>
      </c>
      <c r="Y87">
        <v>1</v>
      </c>
      <c r="Z87">
        <v>0</v>
      </c>
      <c r="AA87">
        <v>1</v>
      </c>
      <c r="AB87">
        <v>1</v>
      </c>
      <c r="AC87">
        <v>0</v>
      </c>
      <c r="AD87">
        <v>0</v>
      </c>
      <c r="AE87">
        <v>2</v>
      </c>
      <c r="AF87">
        <v>0</v>
      </c>
      <c r="AG87">
        <v>6</v>
      </c>
      <c r="AH87">
        <v>7</v>
      </c>
      <c r="AI87">
        <v>46.15</v>
      </c>
    </row>
    <row r="88" spans="1:35" x14ac:dyDescent="0.2">
      <c r="A88">
        <v>97</v>
      </c>
      <c r="B88" t="s">
        <v>226</v>
      </c>
      <c r="C88" t="s">
        <v>307</v>
      </c>
      <c r="D88" t="s">
        <v>5</v>
      </c>
      <c r="E88">
        <v>1</v>
      </c>
      <c r="F88">
        <v>10.816666666667</v>
      </c>
      <c r="G88">
        <v>0</v>
      </c>
      <c r="H88">
        <v>1</v>
      </c>
      <c r="I88">
        <v>1</v>
      </c>
      <c r="J88">
        <v>0</v>
      </c>
      <c r="K88">
        <v>1</v>
      </c>
      <c r="L88">
        <v>100</v>
      </c>
      <c r="M88">
        <v>1</v>
      </c>
      <c r="N88">
        <v>0</v>
      </c>
      <c r="O88">
        <v>0.05</v>
      </c>
      <c r="P88">
        <v>1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 t="s">
        <v>430</v>
      </c>
    </row>
    <row r="89" spans="1:35" x14ac:dyDescent="0.2">
      <c r="A89">
        <v>259</v>
      </c>
      <c r="B89" t="s">
        <v>139</v>
      </c>
      <c r="C89" t="s">
        <v>307</v>
      </c>
      <c r="D89" t="s">
        <v>5</v>
      </c>
      <c r="E89">
        <v>1</v>
      </c>
      <c r="F89">
        <v>18.816666666667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0.03</v>
      </c>
      <c r="P89">
        <v>1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1</v>
      </c>
      <c r="AG89">
        <v>7</v>
      </c>
      <c r="AH89">
        <v>16</v>
      </c>
      <c r="AI89">
        <v>30.43</v>
      </c>
    </row>
    <row r="90" spans="1:35" x14ac:dyDescent="0.2">
      <c r="A90">
        <v>80</v>
      </c>
      <c r="B90" t="s">
        <v>158</v>
      </c>
      <c r="C90" t="s">
        <v>307</v>
      </c>
      <c r="D90" t="s">
        <v>292</v>
      </c>
      <c r="E90">
        <v>1</v>
      </c>
      <c r="F90">
        <v>18.766666666667</v>
      </c>
      <c r="G90">
        <v>0</v>
      </c>
      <c r="H90">
        <v>1</v>
      </c>
      <c r="I90">
        <v>1</v>
      </c>
      <c r="J90">
        <v>0</v>
      </c>
      <c r="K90">
        <v>1</v>
      </c>
      <c r="L90">
        <v>100</v>
      </c>
      <c r="M90">
        <v>0</v>
      </c>
      <c r="N90" t="s">
        <v>430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</v>
      </c>
      <c r="W90">
        <v>1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2</v>
      </c>
      <c r="AE90">
        <v>1</v>
      </c>
      <c r="AF90">
        <v>1</v>
      </c>
      <c r="AG90">
        <v>1</v>
      </c>
      <c r="AH90">
        <v>3</v>
      </c>
      <c r="AI90">
        <v>25</v>
      </c>
    </row>
    <row r="91" spans="1:35" x14ac:dyDescent="0.2">
      <c r="A91">
        <v>240</v>
      </c>
      <c r="B91" t="s">
        <v>207</v>
      </c>
      <c r="C91" t="s">
        <v>307</v>
      </c>
      <c r="D91" t="s">
        <v>10</v>
      </c>
      <c r="E91">
        <v>1</v>
      </c>
      <c r="F91">
        <v>22.666666666666998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0</v>
      </c>
      <c r="O91">
        <v>7.0000000000000007E-2</v>
      </c>
      <c r="P91">
        <v>4</v>
      </c>
      <c r="Q91">
        <v>3</v>
      </c>
      <c r="R91">
        <v>1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3</v>
      </c>
      <c r="AF91">
        <v>0</v>
      </c>
      <c r="AG91">
        <v>0</v>
      </c>
      <c r="AH91">
        <v>0</v>
      </c>
      <c r="AI91" t="s">
        <v>430</v>
      </c>
    </row>
    <row r="92" spans="1:35" x14ac:dyDescent="0.2">
      <c r="A92">
        <v>31</v>
      </c>
      <c r="B92" t="s">
        <v>441</v>
      </c>
      <c r="C92" t="s">
        <v>306</v>
      </c>
      <c r="D92" t="s">
        <v>10</v>
      </c>
      <c r="E92">
        <v>1</v>
      </c>
      <c r="F92">
        <v>12.066666666667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430</v>
      </c>
      <c r="M92">
        <v>0</v>
      </c>
      <c r="N92" t="s">
        <v>430</v>
      </c>
      <c r="O92">
        <v>0</v>
      </c>
      <c r="P92">
        <v>3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3</v>
      </c>
      <c r="AF92">
        <v>0</v>
      </c>
      <c r="AG92">
        <v>0</v>
      </c>
      <c r="AH92">
        <v>0</v>
      </c>
      <c r="AI92" t="s">
        <v>430</v>
      </c>
    </row>
    <row r="93" spans="1:35" x14ac:dyDescent="0.2">
      <c r="A93">
        <v>40</v>
      </c>
      <c r="B93" t="s">
        <v>350</v>
      </c>
      <c r="C93" t="s">
        <v>306</v>
      </c>
      <c r="D93" t="s">
        <v>5</v>
      </c>
      <c r="E93">
        <v>1</v>
      </c>
      <c r="F93">
        <v>8.6833333333332998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430</v>
      </c>
      <c r="M93">
        <v>0</v>
      </c>
      <c r="N93" t="s">
        <v>430</v>
      </c>
      <c r="O93">
        <v>0</v>
      </c>
      <c r="P93">
        <v>2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0</v>
      </c>
      <c r="AI93">
        <v>100</v>
      </c>
    </row>
    <row r="94" spans="1:35" x14ac:dyDescent="0.2">
      <c r="A94">
        <v>62</v>
      </c>
      <c r="B94" t="s">
        <v>47</v>
      </c>
      <c r="C94" t="s">
        <v>306</v>
      </c>
      <c r="D94" t="s">
        <v>10</v>
      </c>
      <c r="E94">
        <v>1</v>
      </c>
      <c r="F94">
        <v>19.783333333333001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430</v>
      </c>
      <c r="M94">
        <v>2</v>
      </c>
      <c r="N94">
        <v>0</v>
      </c>
      <c r="O94">
        <v>0.11</v>
      </c>
      <c r="P94">
        <v>4</v>
      </c>
      <c r="Q94">
        <v>2</v>
      </c>
      <c r="R94">
        <v>2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</v>
      </c>
      <c r="AF94">
        <v>0</v>
      </c>
      <c r="AG94">
        <v>0</v>
      </c>
      <c r="AH94">
        <v>0</v>
      </c>
      <c r="AI94" t="s">
        <v>430</v>
      </c>
    </row>
    <row r="95" spans="1:35" x14ac:dyDescent="0.2">
      <c r="A95">
        <v>188</v>
      </c>
      <c r="B95" t="s">
        <v>347</v>
      </c>
      <c r="C95" t="s">
        <v>306</v>
      </c>
      <c r="D95" t="s">
        <v>10</v>
      </c>
      <c r="E95">
        <v>1</v>
      </c>
      <c r="F95">
        <v>15.75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430</v>
      </c>
      <c r="M95">
        <v>0</v>
      </c>
      <c r="N95" t="s">
        <v>430</v>
      </c>
      <c r="O95">
        <v>0.25</v>
      </c>
      <c r="P95">
        <v>2</v>
      </c>
      <c r="Q95">
        <v>2</v>
      </c>
      <c r="R95">
        <v>2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 t="s">
        <v>430</v>
      </c>
    </row>
    <row r="96" spans="1:35" x14ac:dyDescent="0.2">
      <c r="A96">
        <v>8</v>
      </c>
      <c r="B96" t="s">
        <v>137</v>
      </c>
      <c r="C96" t="s">
        <v>306</v>
      </c>
      <c r="D96" t="s">
        <v>292</v>
      </c>
      <c r="E96">
        <v>1</v>
      </c>
      <c r="F96">
        <v>14.4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430</v>
      </c>
      <c r="M96">
        <v>1</v>
      </c>
      <c r="N96">
        <v>0</v>
      </c>
      <c r="O96">
        <v>0.18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 t="s">
        <v>430</v>
      </c>
    </row>
    <row r="97" spans="1:35" x14ac:dyDescent="0.2">
      <c r="A97">
        <v>158</v>
      </c>
      <c r="B97" t="s">
        <v>30</v>
      </c>
      <c r="C97" t="s">
        <v>306</v>
      </c>
      <c r="D97" t="s">
        <v>292</v>
      </c>
      <c r="E97">
        <v>1</v>
      </c>
      <c r="F97">
        <v>23.233333333333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430</v>
      </c>
      <c r="M97">
        <v>2</v>
      </c>
      <c r="N97">
        <v>0</v>
      </c>
      <c r="O97">
        <v>0.22</v>
      </c>
      <c r="P97">
        <v>6</v>
      </c>
      <c r="Q97">
        <v>4</v>
      </c>
      <c r="R97">
        <v>3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4</v>
      </c>
      <c r="AC97">
        <v>2</v>
      </c>
      <c r="AD97">
        <v>1</v>
      </c>
      <c r="AE97">
        <v>0</v>
      </c>
      <c r="AF97">
        <v>0</v>
      </c>
      <c r="AG97">
        <v>0</v>
      </c>
      <c r="AH97">
        <v>0</v>
      </c>
      <c r="AI97" t="s">
        <v>430</v>
      </c>
    </row>
    <row r="98" spans="1:35" x14ac:dyDescent="0.2">
      <c r="A98">
        <v>286</v>
      </c>
      <c r="B98" t="s">
        <v>179</v>
      </c>
      <c r="C98" t="s">
        <v>306</v>
      </c>
      <c r="D98" t="s">
        <v>5</v>
      </c>
      <c r="E98">
        <v>1</v>
      </c>
      <c r="F98">
        <v>15.95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430</v>
      </c>
      <c r="M98">
        <v>1</v>
      </c>
      <c r="N98">
        <v>0</v>
      </c>
      <c r="O98">
        <v>0.11</v>
      </c>
      <c r="P98">
        <v>2</v>
      </c>
      <c r="Q98">
        <v>2</v>
      </c>
      <c r="R98">
        <v>1</v>
      </c>
      <c r="S98">
        <v>1</v>
      </c>
      <c r="T98">
        <v>0</v>
      </c>
      <c r="U98">
        <v>0</v>
      </c>
      <c r="V98">
        <v>2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4</v>
      </c>
      <c r="AF98">
        <v>3</v>
      </c>
      <c r="AG98">
        <v>3</v>
      </c>
      <c r="AH98">
        <v>4</v>
      </c>
      <c r="AI98">
        <v>42.86</v>
      </c>
    </row>
    <row r="99" spans="1:35" x14ac:dyDescent="0.2">
      <c r="A99">
        <v>20</v>
      </c>
      <c r="B99" t="s">
        <v>8</v>
      </c>
      <c r="C99" t="s">
        <v>306</v>
      </c>
      <c r="D99" t="s">
        <v>5</v>
      </c>
      <c r="E99">
        <v>1</v>
      </c>
      <c r="F99">
        <v>20.866666666667001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430</v>
      </c>
      <c r="M99">
        <v>2</v>
      </c>
      <c r="N99">
        <v>0</v>
      </c>
      <c r="O99">
        <v>0.63</v>
      </c>
      <c r="P99">
        <v>5</v>
      </c>
      <c r="Q99">
        <v>5</v>
      </c>
      <c r="R99">
        <v>5</v>
      </c>
      <c r="S99">
        <v>3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3</v>
      </c>
      <c r="AF99">
        <v>0</v>
      </c>
      <c r="AG99">
        <v>4</v>
      </c>
      <c r="AH99">
        <v>1</v>
      </c>
      <c r="AI99">
        <v>80</v>
      </c>
    </row>
    <row r="100" spans="1:35" x14ac:dyDescent="0.2">
      <c r="A100">
        <v>236</v>
      </c>
      <c r="B100" t="s">
        <v>88</v>
      </c>
      <c r="C100" t="s">
        <v>306</v>
      </c>
      <c r="D100" t="s">
        <v>5</v>
      </c>
      <c r="E100">
        <v>1</v>
      </c>
      <c r="F100">
        <v>16.95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430</v>
      </c>
      <c r="M100">
        <v>3</v>
      </c>
      <c r="N100">
        <v>0</v>
      </c>
      <c r="O100">
        <v>0.2</v>
      </c>
      <c r="P100">
        <v>3</v>
      </c>
      <c r="Q100">
        <v>3</v>
      </c>
      <c r="R100">
        <v>3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2</v>
      </c>
      <c r="AF100">
        <v>0</v>
      </c>
      <c r="AG100">
        <v>4</v>
      </c>
      <c r="AH100">
        <v>5</v>
      </c>
      <c r="AI100">
        <v>44.44</v>
      </c>
    </row>
    <row r="101" spans="1:35" x14ac:dyDescent="0.2">
      <c r="A101">
        <v>159</v>
      </c>
      <c r="B101" t="s">
        <v>78</v>
      </c>
      <c r="C101" t="s">
        <v>306</v>
      </c>
      <c r="D101" t="s">
        <v>10</v>
      </c>
      <c r="E101">
        <v>1</v>
      </c>
      <c r="F101">
        <v>25.716666666666999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430</v>
      </c>
      <c r="M101">
        <v>4</v>
      </c>
      <c r="N101">
        <v>0</v>
      </c>
      <c r="O101">
        <v>0.16</v>
      </c>
      <c r="P101">
        <v>8</v>
      </c>
      <c r="Q101">
        <v>6</v>
      </c>
      <c r="R101">
        <v>3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0</v>
      </c>
      <c r="AE101">
        <v>2</v>
      </c>
      <c r="AF101">
        <v>1</v>
      </c>
      <c r="AG101">
        <v>0</v>
      </c>
      <c r="AH101">
        <v>0</v>
      </c>
      <c r="AI101" t="s">
        <v>430</v>
      </c>
    </row>
    <row r="102" spans="1:35" x14ac:dyDescent="0.2">
      <c r="A102">
        <v>145</v>
      </c>
      <c r="B102" t="s">
        <v>446</v>
      </c>
      <c r="C102" t="s">
        <v>306</v>
      </c>
      <c r="D102" t="s">
        <v>294</v>
      </c>
      <c r="E102">
        <v>1</v>
      </c>
      <c r="F102">
        <v>7.6166666666667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430</v>
      </c>
      <c r="M102">
        <v>2</v>
      </c>
      <c r="N102">
        <v>0</v>
      </c>
      <c r="O102">
        <v>0.34</v>
      </c>
      <c r="P102">
        <v>3</v>
      </c>
      <c r="Q102">
        <v>3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 t="s">
        <v>430</v>
      </c>
    </row>
    <row r="103" spans="1:35" x14ac:dyDescent="0.2">
      <c r="A103">
        <v>184</v>
      </c>
      <c r="B103" t="s">
        <v>215</v>
      </c>
      <c r="C103" t="s">
        <v>306</v>
      </c>
      <c r="D103" t="s">
        <v>10</v>
      </c>
      <c r="E103">
        <v>1</v>
      </c>
      <c r="F103">
        <v>16.883333333332999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430</v>
      </c>
      <c r="M103">
        <v>1</v>
      </c>
      <c r="N103">
        <v>0</v>
      </c>
      <c r="O103">
        <v>0.01</v>
      </c>
      <c r="P103">
        <v>3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6</v>
      </c>
      <c r="AF103">
        <v>1</v>
      </c>
      <c r="AG103">
        <v>0</v>
      </c>
      <c r="AH103">
        <v>0</v>
      </c>
      <c r="AI103" t="s">
        <v>430</v>
      </c>
    </row>
    <row r="104" spans="1:35" x14ac:dyDescent="0.2">
      <c r="A104">
        <v>182</v>
      </c>
      <c r="B104" t="s">
        <v>447</v>
      </c>
      <c r="C104" t="s">
        <v>306</v>
      </c>
      <c r="D104" t="s">
        <v>5</v>
      </c>
      <c r="E104">
        <v>1</v>
      </c>
      <c r="F104">
        <v>11.166666666667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430</v>
      </c>
      <c r="M104">
        <v>2</v>
      </c>
      <c r="N104">
        <v>0</v>
      </c>
      <c r="O104">
        <v>0.44</v>
      </c>
      <c r="P104">
        <v>4</v>
      </c>
      <c r="Q104">
        <v>4</v>
      </c>
      <c r="R104">
        <v>4</v>
      </c>
      <c r="S104">
        <v>3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</v>
      </c>
      <c r="AC104">
        <v>0</v>
      </c>
      <c r="AD104">
        <v>1</v>
      </c>
      <c r="AE104">
        <v>4</v>
      </c>
      <c r="AF104">
        <v>1</v>
      </c>
      <c r="AG104">
        <v>0</v>
      </c>
      <c r="AH104">
        <v>0</v>
      </c>
      <c r="AI104" t="s">
        <v>430</v>
      </c>
    </row>
    <row r="105" spans="1:35" x14ac:dyDescent="0.2">
      <c r="A105">
        <v>60</v>
      </c>
      <c r="B105" t="s">
        <v>272</v>
      </c>
      <c r="C105" t="s">
        <v>306</v>
      </c>
      <c r="D105" t="s">
        <v>5</v>
      </c>
      <c r="E105">
        <v>1</v>
      </c>
      <c r="F105">
        <v>8.25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430</v>
      </c>
      <c r="M105">
        <v>0</v>
      </c>
      <c r="N105" t="s">
        <v>430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2</v>
      </c>
      <c r="AI105">
        <v>0</v>
      </c>
    </row>
    <row r="106" spans="1:35" x14ac:dyDescent="0.2">
      <c r="A106">
        <v>117</v>
      </c>
      <c r="B106" t="s">
        <v>24</v>
      </c>
      <c r="C106" t="s">
        <v>306</v>
      </c>
      <c r="D106" t="s">
        <v>5</v>
      </c>
      <c r="E106">
        <v>1</v>
      </c>
      <c r="F106">
        <v>19.833333333333002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430</v>
      </c>
      <c r="M106">
        <v>2</v>
      </c>
      <c r="N106">
        <v>0</v>
      </c>
      <c r="O106">
        <v>0.28999999999999998</v>
      </c>
      <c r="P106">
        <v>3</v>
      </c>
      <c r="Q106">
        <v>2</v>
      </c>
      <c r="R106">
        <v>2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</v>
      </c>
      <c r="AE106">
        <v>1</v>
      </c>
      <c r="AF106">
        <v>0</v>
      </c>
      <c r="AG106">
        <v>8</v>
      </c>
      <c r="AH106">
        <v>8</v>
      </c>
      <c r="AI106">
        <v>50</v>
      </c>
    </row>
    <row r="107" spans="1:35" x14ac:dyDescent="0.2">
      <c r="A107">
        <v>140</v>
      </c>
      <c r="B107" t="s">
        <v>150</v>
      </c>
      <c r="C107" t="s">
        <v>306</v>
      </c>
      <c r="D107" t="s">
        <v>5</v>
      </c>
      <c r="E107">
        <v>1</v>
      </c>
      <c r="F107">
        <v>17.95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430</v>
      </c>
      <c r="M107">
        <v>1</v>
      </c>
      <c r="N107">
        <v>0</v>
      </c>
      <c r="O107">
        <v>0.05</v>
      </c>
      <c r="P107">
        <v>2</v>
      </c>
      <c r="Q107">
        <v>1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430</v>
      </c>
    </row>
    <row r="108" spans="1:35" x14ac:dyDescent="0.2">
      <c r="A108">
        <v>207</v>
      </c>
      <c r="B108" t="s">
        <v>92</v>
      </c>
      <c r="C108" t="s">
        <v>306</v>
      </c>
      <c r="D108" t="s">
        <v>10</v>
      </c>
      <c r="E108">
        <v>1</v>
      </c>
      <c r="F108">
        <v>23.766666666667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430</v>
      </c>
      <c r="M108">
        <v>2</v>
      </c>
      <c r="N108">
        <v>0</v>
      </c>
      <c r="O108">
        <v>0.03</v>
      </c>
      <c r="P108">
        <v>4</v>
      </c>
      <c r="Q108">
        <v>3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1</v>
      </c>
      <c r="AD108">
        <v>0</v>
      </c>
      <c r="AE108">
        <v>3</v>
      </c>
      <c r="AF108">
        <v>1</v>
      </c>
      <c r="AG108">
        <v>0</v>
      </c>
      <c r="AH108">
        <v>0</v>
      </c>
      <c r="AI108" t="s">
        <v>430</v>
      </c>
    </row>
    <row r="109" spans="1:35" x14ac:dyDescent="0.2">
      <c r="A109">
        <v>254</v>
      </c>
      <c r="B109" t="s">
        <v>26</v>
      </c>
      <c r="C109" t="s">
        <v>306</v>
      </c>
      <c r="D109" t="s">
        <v>5</v>
      </c>
      <c r="E109">
        <v>1</v>
      </c>
      <c r="F109">
        <v>22.35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430</v>
      </c>
      <c r="M109">
        <v>3</v>
      </c>
      <c r="N109">
        <v>0</v>
      </c>
      <c r="O109">
        <v>0.23</v>
      </c>
      <c r="P109">
        <v>6</v>
      </c>
      <c r="Q109">
        <v>4</v>
      </c>
      <c r="R109">
        <v>4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1</v>
      </c>
      <c r="AG109">
        <v>6</v>
      </c>
      <c r="AH109">
        <v>7</v>
      </c>
      <c r="AI109">
        <v>46.15</v>
      </c>
    </row>
    <row r="110" spans="1:35" x14ac:dyDescent="0.2">
      <c r="A110">
        <v>213</v>
      </c>
      <c r="B110" t="s">
        <v>264</v>
      </c>
      <c r="C110" t="s">
        <v>305</v>
      </c>
      <c r="D110" t="s">
        <v>10</v>
      </c>
      <c r="E110">
        <v>1</v>
      </c>
      <c r="F110">
        <v>20.183333333333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430</v>
      </c>
      <c r="M110">
        <v>2</v>
      </c>
      <c r="N110">
        <v>0</v>
      </c>
      <c r="O110">
        <v>0.08</v>
      </c>
      <c r="P110">
        <v>4</v>
      </c>
      <c r="Q110">
        <v>2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>
        <v>1</v>
      </c>
      <c r="AG110">
        <v>0</v>
      </c>
      <c r="AH110">
        <v>0</v>
      </c>
      <c r="AI110" t="s">
        <v>430</v>
      </c>
    </row>
    <row r="111" spans="1:35" x14ac:dyDescent="0.2">
      <c r="A111">
        <v>139</v>
      </c>
      <c r="B111" t="s">
        <v>90</v>
      </c>
      <c r="C111" t="s">
        <v>305</v>
      </c>
      <c r="D111" t="s">
        <v>294</v>
      </c>
      <c r="E111">
        <v>1</v>
      </c>
      <c r="F111">
        <v>17.95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</v>
      </c>
      <c r="N111">
        <v>0</v>
      </c>
      <c r="O111">
        <v>0.28000000000000003</v>
      </c>
      <c r="P111">
        <v>9</v>
      </c>
      <c r="Q111">
        <v>6</v>
      </c>
      <c r="R111">
        <v>5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0</v>
      </c>
      <c r="AH111">
        <v>0</v>
      </c>
      <c r="AI111" t="s">
        <v>430</v>
      </c>
    </row>
    <row r="112" spans="1:35" x14ac:dyDescent="0.2">
      <c r="A112">
        <v>73</v>
      </c>
      <c r="B112" t="s">
        <v>136</v>
      </c>
      <c r="C112" t="s">
        <v>305</v>
      </c>
      <c r="D112" t="s">
        <v>5</v>
      </c>
      <c r="E112">
        <v>1</v>
      </c>
      <c r="F112">
        <v>20.033333333333001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430</v>
      </c>
      <c r="M112">
        <v>2</v>
      </c>
      <c r="N112">
        <v>0</v>
      </c>
      <c r="O112">
        <v>0.23</v>
      </c>
      <c r="P112">
        <v>3</v>
      </c>
      <c r="Q112">
        <v>3</v>
      </c>
      <c r="R112">
        <v>3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0</v>
      </c>
      <c r="AD112">
        <v>0</v>
      </c>
      <c r="AE112">
        <v>1</v>
      </c>
      <c r="AF112">
        <v>0</v>
      </c>
      <c r="AG112">
        <v>13</v>
      </c>
      <c r="AH112">
        <v>7</v>
      </c>
      <c r="AI112">
        <v>65</v>
      </c>
    </row>
    <row r="113" spans="1:35" x14ac:dyDescent="0.2">
      <c r="A113">
        <v>280</v>
      </c>
      <c r="B113" t="s">
        <v>229</v>
      </c>
      <c r="C113" t="s">
        <v>305</v>
      </c>
      <c r="D113" t="s">
        <v>10</v>
      </c>
      <c r="E113">
        <v>1</v>
      </c>
      <c r="F113">
        <v>12.516666666667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</v>
      </c>
      <c r="N113">
        <v>0</v>
      </c>
      <c r="O113">
        <v>0.06</v>
      </c>
      <c r="P113">
        <v>3</v>
      </c>
      <c r="Q113">
        <v>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430</v>
      </c>
    </row>
    <row r="114" spans="1:35" x14ac:dyDescent="0.2">
      <c r="A114">
        <v>24</v>
      </c>
      <c r="B114" t="s">
        <v>173</v>
      </c>
      <c r="C114" t="s">
        <v>305</v>
      </c>
      <c r="D114" t="s">
        <v>10</v>
      </c>
      <c r="E114">
        <v>1</v>
      </c>
      <c r="F114">
        <v>21.933333333333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</v>
      </c>
      <c r="N114">
        <v>0</v>
      </c>
      <c r="O114">
        <v>7.0000000000000007E-2</v>
      </c>
      <c r="P114">
        <v>7</v>
      </c>
      <c r="Q114">
        <v>4</v>
      </c>
      <c r="R114">
        <v>3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</v>
      </c>
      <c r="AE114">
        <v>2</v>
      </c>
      <c r="AF114">
        <v>3</v>
      </c>
      <c r="AG114">
        <v>0</v>
      </c>
      <c r="AH114">
        <v>0</v>
      </c>
      <c r="AI114" t="s">
        <v>430</v>
      </c>
    </row>
    <row r="115" spans="1:35" x14ac:dyDescent="0.2">
      <c r="A115">
        <v>93</v>
      </c>
      <c r="B115" t="s">
        <v>144</v>
      </c>
      <c r="C115" t="s">
        <v>305</v>
      </c>
      <c r="D115" t="s">
        <v>5</v>
      </c>
      <c r="E115">
        <v>1</v>
      </c>
      <c r="F115">
        <v>23.533333333333001</v>
      </c>
      <c r="G115">
        <v>0</v>
      </c>
      <c r="H115">
        <v>1</v>
      </c>
      <c r="I115">
        <v>0</v>
      </c>
      <c r="J115">
        <v>1</v>
      </c>
      <c r="K115">
        <v>1</v>
      </c>
      <c r="L115">
        <v>50</v>
      </c>
      <c r="M115">
        <v>2</v>
      </c>
      <c r="N115">
        <v>0</v>
      </c>
      <c r="O115">
        <v>0.15</v>
      </c>
      <c r="P115">
        <v>7</v>
      </c>
      <c r="Q115">
        <v>5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2</v>
      </c>
      <c r="AF115">
        <v>0</v>
      </c>
      <c r="AG115">
        <v>17</v>
      </c>
      <c r="AH115">
        <v>9</v>
      </c>
      <c r="AI115">
        <v>65.38</v>
      </c>
    </row>
    <row r="116" spans="1:35" x14ac:dyDescent="0.2">
      <c r="A116">
        <v>218</v>
      </c>
      <c r="B116" t="s">
        <v>322</v>
      </c>
      <c r="C116" t="s">
        <v>305</v>
      </c>
      <c r="D116" t="s">
        <v>292</v>
      </c>
      <c r="E116">
        <v>1</v>
      </c>
      <c r="F116">
        <v>10.199999999999999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430</v>
      </c>
      <c r="M116">
        <v>3</v>
      </c>
      <c r="N116">
        <v>0</v>
      </c>
      <c r="O116">
        <v>0.4</v>
      </c>
      <c r="P116">
        <v>6</v>
      </c>
      <c r="Q116">
        <v>5</v>
      </c>
      <c r="R116">
        <v>4</v>
      </c>
      <c r="S116">
        <v>2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</v>
      </c>
      <c r="AC116">
        <v>0</v>
      </c>
      <c r="AD116">
        <v>3</v>
      </c>
      <c r="AE116">
        <v>1</v>
      </c>
      <c r="AF116">
        <v>1</v>
      </c>
      <c r="AG116">
        <v>0</v>
      </c>
      <c r="AH116">
        <v>0</v>
      </c>
      <c r="AI116" t="s">
        <v>430</v>
      </c>
    </row>
    <row r="117" spans="1:35" x14ac:dyDescent="0.2">
      <c r="A117">
        <v>283</v>
      </c>
      <c r="B117" t="s">
        <v>267</v>
      </c>
      <c r="C117" t="s">
        <v>305</v>
      </c>
      <c r="D117" t="s">
        <v>5</v>
      </c>
      <c r="E117">
        <v>1</v>
      </c>
      <c r="F117">
        <v>7.4833333333332996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100</v>
      </c>
      <c r="M117">
        <v>2</v>
      </c>
      <c r="N117">
        <v>0</v>
      </c>
      <c r="O117">
        <v>0.09</v>
      </c>
      <c r="P117">
        <v>2</v>
      </c>
      <c r="Q117">
        <v>2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 t="s">
        <v>430</v>
      </c>
    </row>
    <row r="118" spans="1:35" x14ac:dyDescent="0.2">
      <c r="A118">
        <v>78</v>
      </c>
      <c r="B118" t="s">
        <v>245</v>
      </c>
      <c r="C118" t="s">
        <v>305</v>
      </c>
      <c r="D118" t="s">
        <v>292</v>
      </c>
      <c r="E118">
        <v>1</v>
      </c>
      <c r="F118">
        <v>11.45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430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2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5</v>
      </c>
      <c r="AH118">
        <v>1</v>
      </c>
      <c r="AI118">
        <v>83.33</v>
      </c>
    </row>
    <row r="119" spans="1:35" x14ac:dyDescent="0.2">
      <c r="A119">
        <v>185</v>
      </c>
      <c r="B119" t="s">
        <v>448</v>
      </c>
      <c r="C119" t="s">
        <v>305</v>
      </c>
      <c r="D119" t="s">
        <v>10</v>
      </c>
      <c r="E119">
        <v>1</v>
      </c>
      <c r="F119">
        <v>19.233333333333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430</v>
      </c>
      <c r="O119">
        <v>0.05</v>
      </c>
      <c r="P119">
        <v>3</v>
      </c>
      <c r="Q119">
        <v>3</v>
      </c>
      <c r="R119">
        <v>0</v>
      </c>
      <c r="S119">
        <v>0</v>
      </c>
      <c r="T119">
        <v>0</v>
      </c>
      <c r="U119">
        <v>0</v>
      </c>
      <c r="V119">
        <v>2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>
        <v>2</v>
      </c>
      <c r="AG119">
        <v>0</v>
      </c>
      <c r="AH119">
        <v>0</v>
      </c>
      <c r="AI119" t="s">
        <v>430</v>
      </c>
    </row>
    <row r="120" spans="1:35" x14ac:dyDescent="0.2">
      <c r="A120">
        <v>9</v>
      </c>
      <c r="B120" t="s">
        <v>170</v>
      </c>
      <c r="C120" t="s">
        <v>305</v>
      </c>
      <c r="D120" t="s">
        <v>292</v>
      </c>
      <c r="E120">
        <v>1</v>
      </c>
      <c r="F120">
        <v>9.2666666666666995</v>
      </c>
      <c r="G120">
        <v>1</v>
      </c>
      <c r="H120">
        <v>0</v>
      </c>
      <c r="I120">
        <v>0</v>
      </c>
      <c r="J120">
        <v>0</v>
      </c>
      <c r="K120">
        <v>1</v>
      </c>
      <c r="L120">
        <v>50</v>
      </c>
      <c r="M120">
        <v>1</v>
      </c>
      <c r="N120">
        <v>100</v>
      </c>
      <c r="O120">
        <v>0.12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430</v>
      </c>
    </row>
    <row r="121" spans="1:35" x14ac:dyDescent="0.2">
      <c r="A121">
        <v>221</v>
      </c>
      <c r="B121" t="s">
        <v>178</v>
      </c>
      <c r="C121" t="s">
        <v>305</v>
      </c>
      <c r="D121" t="s">
        <v>292</v>
      </c>
      <c r="E121">
        <v>1</v>
      </c>
      <c r="F121">
        <v>18.166666666666998</v>
      </c>
      <c r="G121">
        <v>2</v>
      </c>
      <c r="H121">
        <v>0</v>
      </c>
      <c r="I121">
        <v>0</v>
      </c>
      <c r="J121">
        <v>0</v>
      </c>
      <c r="K121">
        <v>2</v>
      </c>
      <c r="L121">
        <v>100</v>
      </c>
      <c r="M121">
        <v>3</v>
      </c>
      <c r="N121">
        <v>66.67</v>
      </c>
      <c r="O121">
        <v>0.17</v>
      </c>
      <c r="P121">
        <v>6</v>
      </c>
      <c r="Q121">
        <v>3</v>
      </c>
      <c r="R121">
        <v>5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2</v>
      </c>
      <c r="AF121">
        <v>0</v>
      </c>
      <c r="AG121">
        <v>0</v>
      </c>
      <c r="AH121">
        <v>0</v>
      </c>
      <c r="AI121" t="s">
        <v>430</v>
      </c>
    </row>
    <row r="122" spans="1:35" x14ac:dyDescent="0.2">
      <c r="A122">
        <v>263</v>
      </c>
      <c r="B122" t="s">
        <v>167</v>
      </c>
      <c r="C122" t="s">
        <v>305</v>
      </c>
      <c r="D122" t="s">
        <v>5</v>
      </c>
      <c r="E122">
        <v>1</v>
      </c>
      <c r="F122">
        <v>17.483333333333</v>
      </c>
      <c r="G122">
        <v>0</v>
      </c>
      <c r="H122">
        <v>1</v>
      </c>
      <c r="I122">
        <v>1</v>
      </c>
      <c r="J122">
        <v>0</v>
      </c>
      <c r="K122">
        <v>1</v>
      </c>
      <c r="L122">
        <v>100</v>
      </c>
      <c r="M122">
        <v>0</v>
      </c>
      <c r="N122" t="s">
        <v>430</v>
      </c>
      <c r="O122">
        <v>0.09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2</v>
      </c>
      <c r="AE122">
        <v>1</v>
      </c>
      <c r="AF122">
        <v>0</v>
      </c>
      <c r="AG122">
        <v>2</v>
      </c>
      <c r="AH122">
        <v>0</v>
      </c>
      <c r="AI122">
        <v>100</v>
      </c>
    </row>
    <row r="123" spans="1:35" x14ac:dyDescent="0.2">
      <c r="A123">
        <v>133</v>
      </c>
      <c r="B123" t="s">
        <v>251</v>
      </c>
      <c r="C123" t="s">
        <v>305</v>
      </c>
      <c r="D123" t="s">
        <v>5</v>
      </c>
      <c r="E123">
        <v>1</v>
      </c>
      <c r="F123">
        <v>12.5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430</v>
      </c>
      <c r="M123">
        <v>1</v>
      </c>
      <c r="N123">
        <v>0</v>
      </c>
      <c r="O123">
        <v>0.02</v>
      </c>
      <c r="P123">
        <v>4</v>
      </c>
      <c r="Q123">
        <v>2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</v>
      </c>
      <c r="AF123">
        <v>0</v>
      </c>
      <c r="AG123">
        <v>1</v>
      </c>
      <c r="AH123">
        <v>0</v>
      </c>
      <c r="AI123">
        <v>100</v>
      </c>
    </row>
    <row r="124" spans="1:35" x14ac:dyDescent="0.2">
      <c r="A124">
        <v>154</v>
      </c>
      <c r="B124" t="s">
        <v>242</v>
      </c>
      <c r="C124" t="s">
        <v>305</v>
      </c>
      <c r="D124" t="s">
        <v>5</v>
      </c>
      <c r="E124">
        <v>1</v>
      </c>
      <c r="F124">
        <v>12.85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430</v>
      </c>
      <c r="M124">
        <v>1</v>
      </c>
      <c r="N124">
        <v>0</v>
      </c>
      <c r="O124">
        <v>0.23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</v>
      </c>
      <c r="AG124">
        <v>2</v>
      </c>
      <c r="AH124">
        <v>3</v>
      </c>
      <c r="AI124">
        <v>40</v>
      </c>
    </row>
    <row r="125" spans="1:35" x14ac:dyDescent="0.2">
      <c r="A125">
        <v>205</v>
      </c>
      <c r="B125" t="s">
        <v>140</v>
      </c>
      <c r="C125" t="s">
        <v>305</v>
      </c>
      <c r="D125" t="s">
        <v>10</v>
      </c>
      <c r="E125">
        <v>1</v>
      </c>
      <c r="F125">
        <v>27.633333333332999</v>
      </c>
      <c r="G125">
        <v>0</v>
      </c>
      <c r="H125">
        <v>1</v>
      </c>
      <c r="I125">
        <v>1</v>
      </c>
      <c r="J125">
        <v>0</v>
      </c>
      <c r="K125">
        <v>1</v>
      </c>
      <c r="L125">
        <v>50</v>
      </c>
      <c r="M125">
        <v>3</v>
      </c>
      <c r="N125">
        <v>0</v>
      </c>
      <c r="O125">
        <v>0.04</v>
      </c>
      <c r="P125">
        <v>4</v>
      </c>
      <c r="Q125">
        <v>3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1</v>
      </c>
      <c r="AD125">
        <v>0</v>
      </c>
      <c r="AE125">
        <v>0</v>
      </c>
      <c r="AF125">
        <v>3</v>
      </c>
      <c r="AG125">
        <v>0</v>
      </c>
      <c r="AH125">
        <v>0</v>
      </c>
      <c r="AI125" t="s">
        <v>430</v>
      </c>
    </row>
    <row r="126" spans="1:35" x14ac:dyDescent="0.2">
      <c r="A126">
        <v>10</v>
      </c>
      <c r="B126" t="s">
        <v>154</v>
      </c>
      <c r="C126" t="s">
        <v>305</v>
      </c>
      <c r="D126" t="s">
        <v>294</v>
      </c>
      <c r="E126">
        <v>1</v>
      </c>
      <c r="F126">
        <v>15.883333333333001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430</v>
      </c>
      <c r="M126">
        <v>3</v>
      </c>
      <c r="N126">
        <v>0</v>
      </c>
      <c r="O126">
        <v>0.4</v>
      </c>
      <c r="P126">
        <v>5</v>
      </c>
      <c r="Q126">
        <v>4</v>
      </c>
      <c r="R126">
        <v>2</v>
      </c>
      <c r="S126">
        <v>2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  <c r="AE126">
        <v>1</v>
      </c>
      <c r="AF126">
        <v>0</v>
      </c>
      <c r="AG126">
        <v>0</v>
      </c>
      <c r="AH126">
        <v>0</v>
      </c>
      <c r="AI126" t="s">
        <v>430</v>
      </c>
    </row>
    <row r="127" spans="1:35" x14ac:dyDescent="0.2">
      <c r="A127">
        <v>16</v>
      </c>
      <c r="B127" t="s">
        <v>334</v>
      </c>
      <c r="C127" t="s">
        <v>305</v>
      </c>
      <c r="D127" t="s">
        <v>10</v>
      </c>
      <c r="E127">
        <v>1</v>
      </c>
      <c r="F127">
        <v>17.066666666667</v>
      </c>
      <c r="G127">
        <v>0</v>
      </c>
      <c r="H127">
        <v>1</v>
      </c>
      <c r="I127">
        <v>0</v>
      </c>
      <c r="J127">
        <v>1</v>
      </c>
      <c r="K127">
        <v>1</v>
      </c>
      <c r="L127" t="s">
        <v>432</v>
      </c>
      <c r="M127">
        <v>0</v>
      </c>
      <c r="N127" t="s">
        <v>430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4</v>
      </c>
      <c r="W127">
        <v>2</v>
      </c>
      <c r="X127">
        <v>2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2</v>
      </c>
      <c r="AE127">
        <v>2</v>
      </c>
      <c r="AF127">
        <v>4</v>
      </c>
      <c r="AG127">
        <v>0</v>
      </c>
      <c r="AH127">
        <v>0</v>
      </c>
      <c r="AI127" t="s">
        <v>430</v>
      </c>
    </row>
    <row r="128" spans="1:35" x14ac:dyDescent="0.2">
      <c r="A128">
        <v>106</v>
      </c>
      <c r="B128" t="s">
        <v>444</v>
      </c>
      <c r="C128" t="s">
        <v>289</v>
      </c>
      <c r="D128" t="s">
        <v>292</v>
      </c>
      <c r="E128">
        <v>1</v>
      </c>
      <c r="F128">
        <v>10.883333333333001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430</v>
      </c>
      <c r="M128">
        <v>1</v>
      </c>
      <c r="N128">
        <v>0</v>
      </c>
      <c r="O128">
        <v>0.22</v>
      </c>
      <c r="P128">
        <v>3</v>
      </c>
      <c r="Q128">
        <v>3</v>
      </c>
      <c r="R128">
        <v>2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4</v>
      </c>
      <c r="AE128">
        <v>0</v>
      </c>
      <c r="AF128">
        <v>0</v>
      </c>
      <c r="AG128">
        <v>0</v>
      </c>
      <c r="AH128">
        <v>0</v>
      </c>
      <c r="AI128" t="s">
        <v>430</v>
      </c>
    </row>
    <row r="129" spans="1:35" x14ac:dyDescent="0.2">
      <c r="A129">
        <v>110</v>
      </c>
      <c r="B129" t="s">
        <v>4</v>
      </c>
      <c r="C129" t="s">
        <v>289</v>
      </c>
      <c r="D129" t="s">
        <v>5</v>
      </c>
      <c r="E129">
        <v>1</v>
      </c>
      <c r="F129">
        <v>20.933333333333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430</v>
      </c>
      <c r="M129">
        <v>1</v>
      </c>
      <c r="N129">
        <v>0</v>
      </c>
      <c r="O129">
        <v>0.16</v>
      </c>
      <c r="P129">
        <v>2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2</v>
      </c>
      <c r="W129">
        <v>1</v>
      </c>
      <c r="X129">
        <v>1</v>
      </c>
      <c r="Y129">
        <v>0</v>
      </c>
      <c r="Z129">
        <v>0</v>
      </c>
      <c r="AA129">
        <v>1</v>
      </c>
      <c r="AB129">
        <v>1</v>
      </c>
      <c r="AC129">
        <v>1</v>
      </c>
      <c r="AD129">
        <v>1</v>
      </c>
      <c r="AE129">
        <v>3</v>
      </c>
      <c r="AF129">
        <v>0</v>
      </c>
      <c r="AG129">
        <v>6</v>
      </c>
      <c r="AH129">
        <v>5</v>
      </c>
      <c r="AI129">
        <v>54.55</v>
      </c>
    </row>
    <row r="130" spans="1:35" x14ac:dyDescent="0.2">
      <c r="A130">
        <v>86</v>
      </c>
      <c r="B130" t="s">
        <v>442</v>
      </c>
      <c r="C130" t="s">
        <v>289</v>
      </c>
      <c r="D130" t="s">
        <v>5</v>
      </c>
      <c r="E130">
        <v>1</v>
      </c>
      <c r="F130">
        <v>9.65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430</v>
      </c>
      <c r="M130">
        <v>1</v>
      </c>
      <c r="N130">
        <v>0</v>
      </c>
      <c r="O130">
        <v>0.15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4</v>
      </c>
      <c r="AH130">
        <v>1</v>
      </c>
      <c r="AI130">
        <v>80</v>
      </c>
    </row>
    <row r="131" spans="1:35" x14ac:dyDescent="0.2">
      <c r="A131">
        <v>83</v>
      </c>
      <c r="B131" t="s">
        <v>118</v>
      </c>
      <c r="C131" t="s">
        <v>289</v>
      </c>
      <c r="D131" t="s">
        <v>10</v>
      </c>
      <c r="E131">
        <v>1</v>
      </c>
      <c r="F131">
        <v>21.216666666666999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0</v>
      </c>
      <c r="O131">
        <v>0.02</v>
      </c>
      <c r="P131">
        <v>3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3</v>
      </c>
      <c r="AE131">
        <v>1</v>
      </c>
      <c r="AF131">
        <v>0</v>
      </c>
      <c r="AG131">
        <v>0</v>
      </c>
      <c r="AH131">
        <v>0</v>
      </c>
      <c r="AI131" t="s">
        <v>430</v>
      </c>
    </row>
    <row r="132" spans="1:35" x14ac:dyDescent="0.2">
      <c r="A132">
        <v>173</v>
      </c>
      <c r="B132" t="s">
        <v>27</v>
      </c>
      <c r="C132" t="s">
        <v>289</v>
      </c>
      <c r="D132" t="s">
        <v>10</v>
      </c>
      <c r="E132">
        <v>1</v>
      </c>
      <c r="F132">
        <v>24.8</v>
      </c>
      <c r="G132">
        <v>0</v>
      </c>
      <c r="H132">
        <v>1</v>
      </c>
      <c r="I132">
        <v>1</v>
      </c>
      <c r="J132">
        <v>0</v>
      </c>
      <c r="K132">
        <v>1</v>
      </c>
      <c r="L132">
        <v>100</v>
      </c>
      <c r="M132">
        <v>4</v>
      </c>
      <c r="N132">
        <v>0</v>
      </c>
      <c r="O132">
        <v>0.28999999999999998</v>
      </c>
      <c r="P132">
        <v>8</v>
      </c>
      <c r="Q132">
        <v>5</v>
      </c>
      <c r="R132">
        <v>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 t="s">
        <v>430</v>
      </c>
    </row>
    <row r="133" spans="1:35" x14ac:dyDescent="0.2">
      <c r="A133">
        <v>260</v>
      </c>
      <c r="B133" t="s">
        <v>162</v>
      </c>
      <c r="C133" t="s">
        <v>289</v>
      </c>
      <c r="D133" t="s">
        <v>292</v>
      </c>
      <c r="E133">
        <v>1</v>
      </c>
      <c r="F133">
        <v>13.766666666667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0</v>
      </c>
      <c r="O133">
        <v>0.18</v>
      </c>
      <c r="P133">
        <v>5</v>
      </c>
      <c r="Q133">
        <v>4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1</v>
      </c>
      <c r="AG133">
        <v>0</v>
      </c>
      <c r="AH133">
        <v>0</v>
      </c>
      <c r="AI133" t="s">
        <v>430</v>
      </c>
    </row>
    <row r="134" spans="1:35" x14ac:dyDescent="0.2">
      <c r="A134">
        <v>119</v>
      </c>
      <c r="B134" t="s">
        <v>75</v>
      </c>
      <c r="C134" t="s">
        <v>289</v>
      </c>
      <c r="D134" t="s">
        <v>5</v>
      </c>
      <c r="E134">
        <v>1</v>
      </c>
      <c r="F134">
        <v>16.366666666667001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430</v>
      </c>
      <c r="O134">
        <v>0.02</v>
      </c>
      <c r="P134">
        <v>2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</v>
      </c>
      <c r="AC134">
        <v>0</v>
      </c>
      <c r="AD134">
        <v>1</v>
      </c>
      <c r="AE134">
        <v>0</v>
      </c>
      <c r="AF134">
        <v>1</v>
      </c>
      <c r="AG134">
        <v>5</v>
      </c>
      <c r="AH134">
        <v>2</v>
      </c>
      <c r="AI134">
        <v>71.430000000000007</v>
      </c>
    </row>
    <row r="135" spans="1:35" x14ac:dyDescent="0.2">
      <c r="A135">
        <v>98</v>
      </c>
      <c r="B135" t="s">
        <v>9</v>
      </c>
      <c r="C135" t="s">
        <v>289</v>
      </c>
      <c r="D135" t="s">
        <v>10</v>
      </c>
      <c r="E135">
        <v>1</v>
      </c>
      <c r="F135">
        <v>17.333333333333002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100</v>
      </c>
      <c r="M135">
        <v>3</v>
      </c>
      <c r="N135">
        <v>33.33</v>
      </c>
      <c r="O135">
        <v>0.08</v>
      </c>
      <c r="P135">
        <v>4</v>
      </c>
      <c r="Q135">
        <v>4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430</v>
      </c>
    </row>
    <row r="136" spans="1:35" x14ac:dyDescent="0.2">
      <c r="A136">
        <v>90</v>
      </c>
      <c r="B136" t="s">
        <v>166</v>
      </c>
      <c r="C136" t="s">
        <v>289</v>
      </c>
      <c r="D136" t="s">
        <v>5</v>
      </c>
      <c r="E136">
        <v>1</v>
      </c>
      <c r="F136">
        <v>19.283333333333001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430</v>
      </c>
      <c r="M136">
        <v>4</v>
      </c>
      <c r="N136">
        <v>0</v>
      </c>
      <c r="O136">
        <v>0.61</v>
      </c>
      <c r="P136">
        <v>6</v>
      </c>
      <c r="Q136">
        <v>5</v>
      </c>
      <c r="R136">
        <v>3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2</v>
      </c>
      <c r="AC136">
        <v>0</v>
      </c>
      <c r="AD136">
        <v>2</v>
      </c>
      <c r="AE136">
        <v>2</v>
      </c>
      <c r="AF136">
        <v>0</v>
      </c>
      <c r="AG136">
        <v>7</v>
      </c>
      <c r="AH136">
        <v>7</v>
      </c>
      <c r="AI136">
        <v>50</v>
      </c>
    </row>
    <row r="137" spans="1:35" x14ac:dyDescent="0.2">
      <c r="A137">
        <v>268</v>
      </c>
      <c r="B137" t="s">
        <v>102</v>
      </c>
      <c r="C137" t="s">
        <v>289</v>
      </c>
      <c r="D137" t="s">
        <v>5</v>
      </c>
      <c r="E137">
        <v>1</v>
      </c>
      <c r="F137">
        <v>13.183333333333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50</v>
      </c>
      <c r="M137">
        <v>1</v>
      </c>
      <c r="N137">
        <v>100</v>
      </c>
      <c r="O137">
        <v>0.02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2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 t="s">
        <v>430</v>
      </c>
    </row>
    <row r="138" spans="1:35" x14ac:dyDescent="0.2">
      <c r="A138">
        <v>22</v>
      </c>
      <c r="B138" t="s">
        <v>52</v>
      </c>
      <c r="C138" t="s">
        <v>289</v>
      </c>
      <c r="D138" t="s">
        <v>10</v>
      </c>
      <c r="E138">
        <v>1</v>
      </c>
      <c r="F138">
        <v>20.116666666667001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100</v>
      </c>
      <c r="M138">
        <v>3</v>
      </c>
      <c r="N138">
        <v>0</v>
      </c>
      <c r="O138">
        <v>0.15</v>
      </c>
      <c r="P138">
        <v>7</v>
      </c>
      <c r="Q138">
        <v>6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 t="s">
        <v>430</v>
      </c>
    </row>
    <row r="139" spans="1:35" x14ac:dyDescent="0.2">
      <c r="A139">
        <v>71</v>
      </c>
      <c r="B139" t="s">
        <v>368</v>
      </c>
      <c r="C139" t="s">
        <v>289</v>
      </c>
      <c r="D139" t="s">
        <v>5</v>
      </c>
      <c r="E139">
        <v>1</v>
      </c>
      <c r="F139">
        <v>11.666666666667</v>
      </c>
      <c r="G139">
        <v>0</v>
      </c>
      <c r="H139">
        <v>1</v>
      </c>
      <c r="I139">
        <v>1</v>
      </c>
      <c r="J139">
        <v>0</v>
      </c>
      <c r="K139">
        <v>1</v>
      </c>
      <c r="L139">
        <v>100</v>
      </c>
      <c r="M139">
        <v>0</v>
      </c>
      <c r="N139" t="s">
        <v>430</v>
      </c>
      <c r="O139">
        <v>0.04</v>
      </c>
      <c r="P139">
        <v>1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1</v>
      </c>
      <c r="AI139">
        <v>0</v>
      </c>
    </row>
    <row r="140" spans="1:35" x14ac:dyDescent="0.2">
      <c r="A140">
        <v>46</v>
      </c>
      <c r="B140" t="s">
        <v>15</v>
      </c>
      <c r="C140" t="s">
        <v>289</v>
      </c>
      <c r="D140" t="s">
        <v>5</v>
      </c>
      <c r="E140">
        <v>1</v>
      </c>
      <c r="F140">
        <v>18.583333333333002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430</v>
      </c>
      <c r="M140">
        <v>0</v>
      </c>
      <c r="N140" t="s">
        <v>430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2</v>
      </c>
      <c r="AI140">
        <v>33.33</v>
      </c>
    </row>
    <row r="141" spans="1:35" x14ac:dyDescent="0.2">
      <c r="A141">
        <v>192</v>
      </c>
      <c r="B141" t="s">
        <v>349</v>
      </c>
      <c r="C141" t="s">
        <v>289</v>
      </c>
      <c r="D141" t="s">
        <v>10</v>
      </c>
      <c r="E141">
        <v>1</v>
      </c>
      <c r="F141">
        <v>14.85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430</v>
      </c>
      <c r="M141">
        <v>2</v>
      </c>
      <c r="N141">
        <v>0</v>
      </c>
      <c r="O141">
        <v>0.03</v>
      </c>
      <c r="P141">
        <v>2</v>
      </c>
      <c r="Q141">
        <v>2</v>
      </c>
      <c r="R141">
        <v>0</v>
      </c>
      <c r="S141">
        <v>0</v>
      </c>
      <c r="T141">
        <v>0</v>
      </c>
      <c r="U141">
        <v>1</v>
      </c>
      <c r="V141">
        <v>2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2</v>
      </c>
      <c r="AG141">
        <v>0</v>
      </c>
      <c r="AH141">
        <v>0</v>
      </c>
      <c r="AI141" t="s">
        <v>430</v>
      </c>
    </row>
    <row r="142" spans="1:35" x14ac:dyDescent="0.2">
      <c r="A142">
        <v>142</v>
      </c>
      <c r="B142" t="s">
        <v>274</v>
      </c>
      <c r="C142" t="s">
        <v>289</v>
      </c>
      <c r="D142" t="s">
        <v>5</v>
      </c>
      <c r="E142">
        <v>1</v>
      </c>
      <c r="F142">
        <v>11.316666666667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430</v>
      </c>
      <c r="M142">
        <v>1</v>
      </c>
      <c r="N142">
        <v>0</v>
      </c>
      <c r="O142">
        <v>0.03</v>
      </c>
      <c r="P142">
        <v>2</v>
      </c>
      <c r="Q142">
        <v>2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0</v>
      </c>
      <c r="AD142">
        <v>1</v>
      </c>
      <c r="AE142">
        <v>0</v>
      </c>
      <c r="AF142">
        <v>1</v>
      </c>
      <c r="AG142">
        <v>5</v>
      </c>
      <c r="AH142">
        <v>4</v>
      </c>
      <c r="AI142">
        <v>55.56</v>
      </c>
    </row>
    <row r="143" spans="1:35" x14ac:dyDescent="0.2">
      <c r="A143">
        <v>180</v>
      </c>
      <c r="B143" t="s">
        <v>233</v>
      </c>
      <c r="C143" t="s">
        <v>289</v>
      </c>
      <c r="D143" t="s">
        <v>10</v>
      </c>
      <c r="E143">
        <v>1</v>
      </c>
      <c r="F143">
        <v>19.183333333333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430</v>
      </c>
      <c r="M143">
        <v>0</v>
      </c>
      <c r="N143" t="s">
        <v>430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6</v>
      </c>
      <c r="AE143">
        <v>3</v>
      </c>
      <c r="AF143">
        <v>1</v>
      </c>
      <c r="AG143">
        <v>0</v>
      </c>
      <c r="AH143">
        <v>0</v>
      </c>
      <c r="AI143" t="s">
        <v>430</v>
      </c>
    </row>
    <row r="144" spans="1:35" x14ac:dyDescent="0.2">
      <c r="A144">
        <v>214</v>
      </c>
      <c r="B144" t="s">
        <v>128</v>
      </c>
      <c r="C144" t="s">
        <v>289</v>
      </c>
      <c r="D144" t="s">
        <v>294</v>
      </c>
      <c r="E144">
        <v>1</v>
      </c>
      <c r="F144">
        <v>14.416666666667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430</v>
      </c>
      <c r="M144">
        <v>2</v>
      </c>
      <c r="N144">
        <v>0</v>
      </c>
      <c r="O144">
        <v>0.1</v>
      </c>
      <c r="P144">
        <v>3</v>
      </c>
      <c r="Q144">
        <v>3</v>
      </c>
      <c r="R144">
        <v>2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2</v>
      </c>
      <c r="AE144">
        <v>1</v>
      </c>
      <c r="AF144">
        <v>0</v>
      </c>
      <c r="AG144">
        <v>0</v>
      </c>
      <c r="AH144">
        <v>1</v>
      </c>
      <c r="AI144">
        <v>0</v>
      </c>
    </row>
    <row r="145" spans="1:35" x14ac:dyDescent="0.2">
      <c r="A145">
        <v>33</v>
      </c>
      <c r="B145" t="s">
        <v>6</v>
      </c>
      <c r="C145" t="s">
        <v>289</v>
      </c>
      <c r="D145" t="s">
        <v>292</v>
      </c>
      <c r="E145">
        <v>1</v>
      </c>
      <c r="F145">
        <v>18.45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430</v>
      </c>
      <c r="M145">
        <v>4</v>
      </c>
      <c r="N145">
        <v>0</v>
      </c>
      <c r="O145">
        <v>0.48</v>
      </c>
      <c r="P145">
        <v>5</v>
      </c>
      <c r="Q145">
        <v>5</v>
      </c>
      <c r="R145">
        <v>4</v>
      </c>
      <c r="S145">
        <v>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430</v>
      </c>
    </row>
    <row r="146" spans="1:35" x14ac:dyDescent="0.2">
      <c r="A146">
        <v>113</v>
      </c>
      <c r="B146" t="s">
        <v>220</v>
      </c>
      <c r="C146" t="s">
        <v>301</v>
      </c>
      <c r="D146" t="s">
        <v>292</v>
      </c>
      <c r="E146">
        <v>1</v>
      </c>
      <c r="F146">
        <v>12.85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430</v>
      </c>
      <c r="M146">
        <v>2</v>
      </c>
      <c r="N146">
        <v>0</v>
      </c>
      <c r="O146">
        <v>0.19</v>
      </c>
      <c r="P146">
        <v>5</v>
      </c>
      <c r="Q146">
        <v>4</v>
      </c>
      <c r="R146">
        <v>3</v>
      </c>
      <c r="S146">
        <v>1</v>
      </c>
      <c r="T146">
        <v>0</v>
      </c>
      <c r="U146">
        <v>0</v>
      </c>
      <c r="V146">
        <v>4</v>
      </c>
      <c r="W146">
        <v>2</v>
      </c>
      <c r="X146">
        <v>2</v>
      </c>
      <c r="Y146">
        <v>0</v>
      </c>
      <c r="Z146">
        <v>0</v>
      </c>
      <c r="AA146">
        <v>2</v>
      </c>
      <c r="AB146">
        <v>1</v>
      </c>
      <c r="AC146">
        <v>0</v>
      </c>
      <c r="AD146">
        <v>4</v>
      </c>
      <c r="AE146">
        <v>1</v>
      </c>
      <c r="AF146">
        <v>0</v>
      </c>
      <c r="AG146">
        <v>0</v>
      </c>
      <c r="AH146">
        <v>0</v>
      </c>
      <c r="AI146" t="s">
        <v>430</v>
      </c>
    </row>
    <row r="147" spans="1:35" x14ac:dyDescent="0.2">
      <c r="A147">
        <v>88</v>
      </c>
      <c r="B147" t="s">
        <v>205</v>
      </c>
      <c r="C147" t="s">
        <v>301</v>
      </c>
      <c r="D147" t="s">
        <v>10</v>
      </c>
      <c r="E147">
        <v>1</v>
      </c>
      <c r="F147">
        <v>26.65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430</v>
      </c>
      <c r="M147">
        <v>2</v>
      </c>
      <c r="N147">
        <v>0</v>
      </c>
      <c r="O147">
        <v>0.1</v>
      </c>
      <c r="P147">
        <v>3</v>
      </c>
      <c r="Q147">
        <v>2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1</v>
      </c>
      <c r="AG147">
        <v>0</v>
      </c>
      <c r="AH147">
        <v>0</v>
      </c>
      <c r="AI147" t="s">
        <v>430</v>
      </c>
    </row>
    <row r="148" spans="1:35" x14ac:dyDescent="0.2">
      <c r="A148">
        <v>232</v>
      </c>
      <c r="B148" t="s">
        <v>149</v>
      </c>
      <c r="C148" t="s">
        <v>301</v>
      </c>
      <c r="D148" t="s">
        <v>5</v>
      </c>
      <c r="E148">
        <v>1</v>
      </c>
      <c r="F148">
        <v>20.516666666667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430</v>
      </c>
      <c r="M148">
        <v>0</v>
      </c>
      <c r="N148" t="s">
        <v>430</v>
      </c>
      <c r="O148">
        <v>7.0000000000000007E-2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3</v>
      </c>
      <c r="AE148">
        <v>3</v>
      </c>
      <c r="AF148">
        <v>1</v>
      </c>
      <c r="AG148">
        <v>8</v>
      </c>
      <c r="AH148">
        <v>7</v>
      </c>
      <c r="AI148">
        <v>53.33</v>
      </c>
    </row>
    <row r="149" spans="1:35" x14ac:dyDescent="0.2">
      <c r="A149">
        <v>72</v>
      </c>
      <c r="B149" t="s">
        <v>127</v>
      </c>
      <c r="C149" t="s">
        <v>301</v>
      </c>
      <c r="D149" t="s">
        <v>5</v>
      </c>
      <c r="E149">
        <v>1</v>
      </c>
      <c r="F149">
        <v>19.366666666667001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430</v>
      </c>
      <c r="O149">
        <v>0.24</v>
      </c>
      <c r="P149">
        <v>4</v>
      </c>
      <c r="Q149">
        <v>2</v>
      </c>
      <c r="R149">
        <v>3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2</v>
      </c>
      <c r="AE149">
        <v>0</v>
      </c>
      <c r="AF149">
        <v>0</v>
      </c>
      <c r="AG149">
        <v>0</v>
      </c>
      <c r="AH149">
        <v>0</v>
      </c>
      <c r="AI149" t="s">
        <v>430</v>
      </c>
    </row>
    <row r="150" spans="1:35" x14ac:dyDescent="0.2">
      <c r="A150">
        <v>216</v>
      </c>
      <c r="B150" t="s">
        <v>371</v>
      </c>
      <c r="C150" t="s">
        <v>301</v>
      </c>
      <c r="D150" t="s">
        <v>294</v>
      </c>
      <c r="E150">
        <v>1</v>
      </c>
      <c r="F150">
        <v>5.5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430</v>
      </c>
      <c r="M150">
        <v>0</v>
      </c>
      <c r="N150" t="s">
        <v>430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430</v>
      </c>
    </row>
    <row r="151" spans="1:35" x14ac:dyDescent="0.2">
      <c r="A151">
        <v>162</v>
      </c>
      <c r="B151" t="s">
        <v>183</v>
      </c>
      <c r="C151" t="s">
        <v>301</v>
      </c>
      <c r="D151" t="s">
        <v>5</v>
      </c>
      <c r="E151">
        <v>1</v>
      </c>
      <c r="F151">
        <v>16.216666666666999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430</v>
      </c>
      <c r="M151">
        <v>0</v>
      </c>
      <c r="N151" t="s">
        <v>430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</row>
    <row r="152" spans="1:35" x14ac:dyDescent="0.2">
      <c r="A152">
        <v>127</v>
      </c>
      <c r="B152" t="s">
        <v>202</v>
      </c>
      <c r="C152" t="s">
        <v>301</v>
      </c>
      <c r="D152" t="s">
        <v>5</v>
      </c>
      <c r="E152">
        <v>1</v>
      </c>
      <c r="F152">
        <v>17.833333333333002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430</v>
      </c>
      <c r="M152">
        <v>5</v>
      </c>
      <c r="N152">
        <v>0</v>
      </c>
      <c r="O152">
        <v>0.09</v>
      </c>
      <c r="P152">
        <v>5</v>
      </c>
      <c r="Q152">
        <v>5</v>
      </c>
      <c r="R152">
        <v>2</v>
      </c>
      <c r="S152">
        <v>0</v>
      </c>
      <c r="T152">
        <v>0</v>
      </c>
      <c r="U152">
        <v>0</v>
      </c>
      <c r="V152">
        <v>2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2</v>
      </c>
      <c r="AE152">
        <v>1</v>
      </c>
      <c r="AF152">
        <v>2</v>
      </c>
      <c r="AG152">
        <v>4</v>
      </c>
      <c r="AH152">
        <v>6</v>
      </c>
      <c r="AI152">
        <v>40</v>
      </c>
    </row>
    <row r="153" spans="1:35" x14ac:dyDescent="0.2">
      <c r="A153">
        <v>103</v>
      </c>
      <c r="B153" t="s">
        <v>201</v>
      </c>
      <c r="C153" t="s">
        <v>301</v>
      </c>
      <c r="D153" t="s">
        <v>10</v>
      </c>
      <c r="E153">
        <v>1</v>
      </c>
      <c r="F153">
        <v>27.316666666667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430</v>
      </c>
      <c r="M153">
        <v>2</v>
      </c>
      <c r="N153">
        <v>0</v>
      </c>
      <c r="O153">
        <v>0.04</v>
      </c>
      <c r="P153">
        <v>4</v>
      </c>
      <c r="Q153">
        <v>3</v>
      </c>
      <c r="R153">
        <v>0</v>
      </c>
      <c r="S153">
        <v>0</v>
      </c>
      <c r="T153">
        <v>0</v>
      </c>
      <c r="U153">
        <v>0</v>
      </c>
      <c r="V153">
        <v>2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3</v>
      </c>
      <c r="AC153">
        <v>1</v>
      </c>
      <c r="AD153">
        <v>0</v>
      </c>
      <c r="AE153">
        <v>1</v>
      </c>
      <c r="AF153">
        <v>1</v>
      </c>
      <c r="AG153">
        <v>0</v>
      </c>
      <c r="AH153">
        <v>0</v>
      </c>
      <c r="AI153" t="s">
        <v>430</v>
      </c>
    </row>
    <row r="154" spans="1:35" x14ac:dyDescent="0.2">
      <c r="A154">
        <v>4</v>
      </c>
      <c r="B154" t="s">
        <v>250</v>
      </c>
      <c r="C154" t="s">
        <v>301</v>
      </c>
      <c r="D154" t="s">
        <v>10</v>
      </c>
      <c r="E154">
        <v>1</v>
      </c>
      <c r="F154">
        <v>14.6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430</v>
      </c>
      <c r="M154">
        <v>1</v>
      </c>
      <c r="N154">
        <v>0</v>
      </c>
      <c r="O154">
        <v>0.1</v>
      </c>
      <c r="P154">
        <v>4</v>
      </c>
      <c r="Q154">
        <v>4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3</v>
      </c>
      <c r="AF154">
        <v>1</v>
      </c>
      <c r="AG154">
        <v>0</v>
      </c>
      <c r="AH154">
        <v>0</v>
      </c>
      <c r="AI154" t="s">
        <v>430</v>
      </c>
    </row>
    <row r="155" spans="1:35" x14ac:dyDescent="0.2">
      <c r="A155">
        <v>137</v>
      </c>
      <c r="B155" t="s">
        <v>445</v>
      </c>
      <c r="C155" t="s">
        <v>301</v>
      </c>
      <c r="D155" t="s">
        <v>5</v>
      </c>
      <c r="E155">
        <v>1</v>
      </c>
      <c r="F155">
        <v>7.3833333333333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430</v>
      </c>
      <c r="M155">
        <v>0</v>
      </c>
      <c r="N155" t="s">
        <v>430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>
        <v>0</v>
      </c>
      <c r="AG155">
        <v>1</v>
      </c>
      <c r="AH155">
        <v>2</v>
      </c>
      <c r="AI155">
        <v>33.33</v>
      </c>
    </row>
    <row r="156" spans="1:35" x14ac:dyDescent="0.2">
      <c r="A156">
        <v>252</v>
      </c>
      <c r="B156" t="s">
        <v>216</v>
      </c>
      <c r="C156" t="s">
        <v>301</v>
      </c>
      <c r="D156" t="s">
        <v>294</v>
      </c>
      <c r="E156">
        <v>1</v>
      </c>
      <c r="F156">
        <v>14.25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430</v>
      </c>
      <c r="M156">
        <v>2</v>
      </c>
      <c r="N156">
        <v>0</v>
      </c>
      <c r="O156">
        <v>0.27</v>
      </c>
      <c r="P156">
        <v>7</v>
      </c>
      <c r="Q156">
        <v>5</v>
      </c>
      <c r="R156">
        <v>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</v>
      </c>
      <c r="AC156">
        <v>0</v>
      </c>
      <c r="AD156">
        <v>1</v>
      </c>
      <c r="AE156">
        <v>1</v>
      </c>
      <c r="AF156">
        <v>0</v>
      </c>
      <c r="AG156">
        <v>0</v>
      </c>
      <c r="AH156">
        <v>0</v>
      </c>
      <c r="AI156" t="s">
        <v>430</v>
      </c>
    </row>
    <row r="157" spans="1:35" x14ac:dyDescent="0.2">
      <c r="A157">
        <v>136</v>
      </c>
      <c r="B157" t="s">
        <v>107</v>
      </c>
      <c r="C157" t="s">
        <v>301</v>
      </c>
      <c r="D157" t="s">
        <v>292</v>
      </c>
      <c r="E157">
        <v>1</v>
      </c>
      <c r="F157">
        <v>18.516666666667</v>
      </c>
      <c r="G157">
        <v>0</v>
      </c>
      <c r="H157">
        <v>1</v>
      </c>
      <c r="I157">
        <v>1</v>
      </c>
      <c r="J157">
        <v>0</v>
      </c>
      <c r="K157">
        <v>1</v>
      </c>
      <c r="L157">
        <v>100</v>
      </c>
      <c r="M157">
        <v>1</v>
      </c>
      <c r="N157">
        <v>0</v>
      </c>
      <c r="O157">
        <v>0.1</v>
      </c>
      <c r="P157">
        <v>3</v>
      </c>
      <c r="Q157">
        <v>2</v>
      </c>
      <c r="R157">
        <v>1</v>
      </c>
      <c r="S157">
        <v>1</v>
      </c>
      <c r="T157">
        <v>0</v>
      </c>
      <c r="U157">
        <v>0</v>
      </c>
      <c r="V157">
        <v>2</v>
      </c>
      <c r="W157">
        <v>1</v>
      </c>
      <c r="X157">
        <v>1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1</v>
      </c>
      <c r="AE157">
        <v>1</v>
      </c>
      <c r="AF157">
        <v>0</v>
      </c>
      <c r="AG157">
        <v>0</v>
      </c>
      <c r="AH157">
        <v>1</v>
      </c>
      <c r="AI157">
        <v>0</v>
      </c>
    </row>
    <row r="158" spans="1:35" x14ac:dyDescent="0.2">
      <c r="A158">
        <v>131</v>
      </c>
      <c r="B158" t="s">
        <v>238</v>
      </c>
      <c r="C158" t="s">
        <v>301</v>
      </c>
      <c r="D158" t="s">
        <v>10</v>
      </c>
      <c r="E158">
        <v>1</v>
      </c>
      <c r="F158">
        <v>22.233333333333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0.02</v>
      </c>
      <c r="P158">
        <v>2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1</v>
      </c>
      <c r="AC158">
        <v>0</v>
      </c>
      <c r="AD158">
        <v>1</v>
      </c>
      <c r="AE158">
        <v>0</v>
      </c>
      <c r="AF158">
        <v>1</v>
      </c>
      <c r="AG158">
        <v>0</v>
      </c>
      <c r="AH158">
        <v>0</v>
      </c>
      <c r="AI158" t="s">
        <v>430</v>
      </c>
    </row>
    <row r="159" spans="1:35" x14ac:dyDescent="0.2">
      <c r="A159">
        <v>91</v>
      </c>
      <c r="B159" t="s">
        <v>143</v>
      </c>
      <c r="C159" t="s">
        <v>301</v>
      </c>
      <c r="D159" t="s">
        <v>5</v>
      </c>
      <c r="E159">
        <v>1</v>
      </c>
      <c r="F159">
        <v>21.7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100</v>
      </c>
      <c r="M159">
        <v>3</v>
      </c>
      <c r="N159">
        <v>33.33</v>
      </c>
      <c r="O159">
        <v>0.28000000000000003</v>
      </c>
      <c r="P159">
        <v>5</v>
      </c>
      <c r="Q159">
        <v>4</v>
      </c>
      <c r="R159">
        <v>5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</v>
      </c>
      <c r="AE159">
        <v>1</v>
      </c>
      <c r="AF159">
        <v>1</v>
      </c>
      <c r="AG159">
        <v>8</v>
      </c>
      <c r="AH159">
        <v>11</v>
      </c>
      <c r="AI159">
        <v>42.11</v>
      </c>
    </row>
    <row r="160" spans="1:35" x14ac:dyDescent="0.2">
      <c r="A160">
        <v>89</v>
      </c>
      <c r="B160" t="s">
        <v>189</v>
      </c>
      <c r="C160" t="s">
        <v>301</v>
      </c>
      <c r="D160" t="s">
        <v>5</v>
      </c>
      <c r="E160">
        <v>1</v>
      </c>
      <c r="F160">
        <v>21.316666666667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430</v>
      </c>
      <c r="M160">
        <v>0</v>
      </c>
      <c r="N160" t="s">
        <v>430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0</v>
      </c>
      <c r="AD160">
        <v>2</v>
      </c>
      <c r="AE160">
        <v>0</v>
      </c>
      <c r="AF160">
        <v>2</v>
      </c>
      <c r="AG160">
        <v>1</v>
      </c>
      <c r="AH160">
        <v>0</v>
      </c>
      <c r="AI160">
        <v>100</v>
      </c>
    </row>
    <row r="161" spans="1:35" x14ac:dyDescent="0.2">
      <c r="A161">
        <v>273</v>
      </c>
      <c r="B161" t="s">
        <v>457</v>
      </c>
      <c r="C161" t="s">
        <v>301</v>
      </c>
      <c r="D161" t="s">
        <v>292</v>
      </c>
      <c r="E161">
        <v>1</v>
      </c>
      <c r="F161">
        <v>8.8166666666667002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430</v>
      </c>
      <c r="M161">
        <v>1</v>
      </c>
      <c r="N161">
        <v>0</v>
      </c>
      <c r="O161">
        <v>0.08</v>
      </c>
      <c r="P161">
        <v>2</v>
      </c>
      <c r="Q161">
        <v>2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</v>
      </c>
      <c r="AE161">
        <v>1</v>
      </c>
      <c r="AF161">
        <v>1</v>
      </c>
      <c r="AG161">
        <v>1</v>
      </c>
      <c r="AH161">
        <v>0</v>
      </c>
      <c r="AI161">
        <v>100</v>
      </c>
    </row>
    <row r="162" spans="1:35" x14ac:dyDescent="0.2">
      <c r="A162">
        <v>210</v>
      </c>
      <c r="B162" t="s">
        <v>265</v>
      </c>
      <c r="C162" t="s">
        <v>301</v>
      </c>
      <c r="D162" t="s">
        <v>10</v>
      </c>
      <c r="E162">
        <v>1</v>
      </c>
      <c r="F162">
        <v>10.883333333333001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430</v>
      </c>
      <c r="M162">
        <v>0</v>
      </c>
      <c r="N162" t="s">
        <v>430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7</v>
      </c>
      <c r="AF162">
        <v>2</v>
      </c>
      <c r="AG162">
        <v>0</v>
      </c>
      <c r="AH162">
        <v>0</v>
      </c>
      <c r="AI162" t="s">
        <v>430</v>
      </c>
    </row>
    <row r="163" spans="1:35" x14ac:dyDescent="0.2">
      <c r="A163">
        <v>282</v>
      </c>
      <c r="B163" t="s">
        <v>103</v>
      </c>
      <c r="C163" t="s">
        <v>301</v>
      </c>
      <c r="D163" t="s">
        <v>10</v>
      </c>
      <c r="E163">
        <v>1</v>
      </c>
      <c r="F163">
        <v>23.05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430</v>
      </c>
      <c r="O163">
        <v>7.0000000000000007E-2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</v>
      </c>
      <c r="AF163">
        <v>1</v>
      </c>
      <c r="AG163">
        <v>0</v>
      </c>
      <c r="AH163">
        <v>0</v>
      </c>
      <c r="AI163" t="s">
        <v>430</v>
      </c>
    </row>
    <row r="164" spans="1:35" x14ac:dyDescent="0.2">
      <c r="A164">
        <v>234</v>
      </c>
      <c r="B164" t="s">
        <v>110</v>
      </c>
      <c r="C164" t="s">
        <v>291</v>
      </c>
      <c r="D164" t="s">
        <v>10</v>
      </c>
      <c r="E164">
        <v>1</v>
      </c>
      <c r="F164">
        <v>25.4</v>
      </c>
      <c r="G164">
        <v>0</v>
      </c>
      <c r="H164">
        <v>1</v>
      </c>
      <c r="I164">
        <v>0</v>
      </c>
      <c r="J164">
        <v>1</v>
      </c>
      <c r="K164">
        <v>1</v>
      </c>
      <c r="L164">
        <v>50</v>
      </c>
      <c r="M164">
        <v>4</v>
      </c>
      <c r="N164">
        <v>0</v>
      </c>
      <c r="O164">
        <v>0.14000000000000001</v>
      </c>
      <c r="P164">
        <v>8</v>
      </c>
      <c r="Q164">
        <v>4</v>
      </c>
      <c r="R164">
        <v>3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2</v>
      </c>
      <c r="AG164">
        <v>0</v>
      </c>
      <c r="AH164">
        <v>0</v>
      </c>
      <c r="AI164" t="s">
        <v>430</v>
      </c>
    </row>
    <row r="165" spans="1:35" x14ac:dyDescent="0.2">
      <c r="A165">
        <v>225</v>
      </c>
      <c r="B165" t="s">
        <v>452</v>
      </c>
      <c r="C165" t="s">
        <v>291</v>
      </c>
      <c r="D165" t="s">
        <v>10</v>
      </c>
      <c r="E165">
        <v>1</v>
      </c>
      <c r="F165">
        <v>10.166666666667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430</v>
      </c>
      <c r="M165">
        <v>3</v>
      </c>
      <c r="N165">
        <v>0</v>
      </c>
      <c r="O165">
        <v>7.0000000000000007E-2</v>
      </c>
      <c r="P165">
        <v>4</v>
      </c>
      <c r="Q165">
        <v>3</v>
      </c>
      <c r="R165">
        <v>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2</v>
      </c>
      <c r="AF165">
        <v>3</v>
      </c>
      <c r="AG165">
        <v>0</v>
      </c>
      <c r="AH165">
        <v>0</v>
      </c>
      <c r="AI165" t="s">
        <v>430</v>
      </c>
    </row>
    <row r="166" spans="1:35" x14ac:dyDescent="0.2">
      <c r="A166">
        <v>270</v>
      </c>
      <c r="B166" t="s">
        <v>192</v>
      </c>
      <c r="C166" t="s">
        <v>291</v>
      </c>
      <c r="D166" t="s">
        <v>294</v>
      </c>
      <c r="E166">
        <v>1</v>
      </c>
      <c r="F166">
        <v>14.216666666667001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430</v>
      </c>
      <c r="M166">
        <v>0</v>
      </c>
      <c r="N166" t="s">
        <v>430</v>
      </c>
      <c r="O166">
        <v>0.1</v>
      </c>
      <c r="P166">
        <v>3</v>
      </c>
      <c r="Q166">
        <v>1</v>
      </c>
      <c r="R166">
        <v>2</v>
      </c>
      <c r="S166">
        <v>2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</v>
      </c>
      <c r="AB166">
        <v>1</v>
      </c>
      <c r="AC166">
        <v>0</v>
      </c>
      <c r="AD166">
        <v>1</v>
      </c>
      <c r="AE166">
        <v>1</v>
      </c>
      <c r="AF166">
        <v>0</v>
      </c>
      <c r="AG166">
        <v>3</v>
      </c>
      <c r="AH166">
        <v>6</v>
      </c>
      <c r="AI166">
        <v>33.33</v>
      </c>
    </row>
    <row r="167" spans="1:35" x14ac:dyDescent="0.2">
      <c r="A167">
        <v>262</v>
      </c>
      <c r="B167" t="s">
        <v>266</v>
      </c>
      <c r="C167" t="s">
        <v>291</v>
      </c>
      <c r="D167" t="s">
        <v>10</v>
      </c>
      <c r="E167">
        <v>1</v>
      </c>
      <c r="F167">
        <v>8.0666666666667002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430</v>
      </c>
      <c r="M167">
        <v>1</v>
      </c>
      <c r="N167">
        <v>0</v>
      </c>
      <c r="O167">
        <v>0.08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1</v>
      </c>
      <c r="AG167">
        <v>0</v>
      </c>
      <c r="AH167">
        <v>0</v>
      </c>
      <c r="AI167" t="s">
        <v>430</v>
      </c>
    </row>
    <row r="168" spans="1:35" x14ac:dyDescent="0.2">
      <c r="A168">
        <v>105</v>
      </c>
      <c r="B168" t="s">
        <v>172</v>
      </c>
      <c r="C168" t="s">
        <v>291</v>
      </c>
      <c r="D168" t="s">
        <v>10</v>
      </c>
      <c r="E168">
        <v>1</v>
      </c>
      <c r="F168">
        <v>21.25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430</v>
      </c>
      <c r="M168">
        <v>1</v>
      </c>
      <c r="N168">
        <v>0</v>
      </c>
      <c r="O168">
        <v>0.09</v>
      </c>
      <c r="P168">
        <v>1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3</v>
      </c>
      <c r="AG168">
        <v>0</v>
      </c>
      <c r="AH168">
        <v>0</v>
      </c>
      <c r="AI168" t="s">
        <v>430</v>
      </c>
    </row>
    <row r="169" spans="1:35" x14ac:dyDescent="0.2">
      <c r="A169">
        <v>17</v>
      </c>
      <c r="B169" t="s">
        <v>160</v>
      </c>
      <c r="C169" t="s">
        <v>291</v>
      </c>
      <c r="D169" t="s">
        <v>10</v>
      </c>
      <c r="E169">
        <v>1</v>
      </c>
      <c r="F169">
        <v>20.633333333332999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430</v>
      </c>
      <c r="M169">
        <v>0</v>
      </c>
      <c r="N169" t="s">
        <v>430</v>
      </c>
      <c r="O169">
        <v>0.02</v>
      </c>
      <c r="P169">
        <v>2</v>
      </c>
      <c r="Q169">
        <v>1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2</v>
      </c>
      <c r="AE169">
        <v>2</v>
      </c>
      <c r="AF169">
        <v>1</v>
      </c>
      <c r="AG169">
        <v>0</v>
      </c>
      <c r="AH169">
        <v>0</v>
      </c>
      <c r="AI169" t="s">
        <v>430</v>
      </c>
    </row>
    <row r="170" spans="1:35" x14ac:dyDescent="0.2">
      <c r="A170">
        <v>124</v>
      </c>
      <c r="B170" t="s">
        <v>86</v>
      </c>
      <c r="C170" t="s">
        <v>291</v>
      </c>
      <c r="D170" t="s">
        <v>5</v>
      </c>
      <c r="E170">
        <v>1</v>
      </c>
      <c r="F170">
        <v>19.816666666667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430</v>
      </c>
      <c r="M170">
        <v>5</v>
      </c>
      <c r="N170">
        <v>0</v>
      </c>
      <c r="O170">
        <v>0.81</v>
      </c>
      <c r="P170">
        <v>8</v>
      </c>
      <c r="Q170">
        <v>7</v>
      </c>
      <c r="R170">
        <v>5</v>
      </c>
      <c r="S170">
        <v>3</v>
      </c>
      <c r="T170">
        <v>0</v>
      </c>
      <c r="U170">
        <v>1</v>
      </c>
      <c r="V170">
        <v>2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3</v>
      </c>
      <c r="AE170">
        <v>4</v>
      </c>
      <c r="AF170">
        <v>1</v>
      </c>
      <c r="AG170">
        <v>3</v>
      </c>
      <c r="AH170">
        <v>14</v>
      </c>
      <c r="AI170">
        <v>17.649999999999999</v>
      </c>
    </row>
    <row r="171" spans="1:35" x14ac:dyDescent="0.2">
      <c r="A171">
        <v>132</v>
      </c>
      <c r="B171" t="s">
        <v>34</v>
      </c>
      <c r="C171" t="s">
        <v>291</v>
      </c>
      <c r="D171" t="s">
        <v>292</v>
      </c>
      <c r="E171">
        <v>1</v>
      </c>
      <c r="F171">
        <v>25.633333333332999</v>
      </c>
      <c r="G171">
        <v>2</v>
      </c>
      <c r="H171">
        <v>1</v>
      </c>
      <c r="I171">
        <v>0</v>
      </c>
      <c r="J171">
        <v>1</v>
      </c>
      <c r="K171">
        <v>3</v>
      </c>
      <c r="L171">
        <v>75</v>
      </c>
      <c r="M171">
        <v>8</v>
      </c>
      <c r="N171">
        <v>25</v>
      </c>
      <c r="O171">
        <v>0.47</v>
      </c>
      <c r="P171">
        <v>10</v>
      </c>
      <c r="Q171">
        <v>9</v>
      </c>
      <c r="R171">
        <v>6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430</v>
      </c>
    </row>
    <row r="172" spans="1:35" x14ac:dyDescent="0.2">
      <c r="A172">
        <v>23</v>
      </c>
      <c r="B172" t="s">
        <v>209</v>
      </c>
      <c r="C172" t="s">
        <v>291</v>
      </c>
      <c r="D172" t="s">
        <v>292</v>
      </c>
      <c r="E172">
        <v>1</v>
      </c>
      <c r="F172">
        <v>10.9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430</v>
      </c>
      <c r="M172">
        <v>2</v>
      </c>
      <c r="N172">
        <v>0</v>
      </c>
      <c r="O172">
        <v>0.05</v>
      </c>
      <c r="P172">
        <v>2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2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</v>
      </c>
      <c r="AE172">
        <v>1</v>
      </c>
      <c r="AF172">
        <v>0</v>
      </c>
      <c r="AG172">
        <v>0</v>
      </c>
      <c r="AH172">
        <v>0</v>
      </c>
      <c r="AI172" t="s">
        <v>430</v>
      </c>
    </row>
    <row r="173" spans="1:35" x14ac:dyDescent="0.2">
      <c r="A173">
        <v>18</v>
      </c>
      <c r="B173" t="s">
        <v>194</v>
      </c>
      <c r="C173" t="s">
        <v>291</v>
      </c>
      <c r="D173" t="s">
        <v>292</v>
      </c>
      <c r="E173">
        <v>1</v>
      </c>
      <c r="F173">
        <v>16.566666666667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430</v>
      </c>
      <c r="M173">
        <v>2</v>
      </c>
      <c r="N173">
        <v>0</v>
      </c>
      <c r="O173">
        <v>0.06</v>
      </c>
      <c r="P173">
        <v>6</v>
      </c>
      <c r="Q173">
        <v>2</v>
      </c>
      <c r="R173">
        <v>4</v>
      </c>
      <c r="S173">
        <v>2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0</v>
      </c>
      <c r="AI173">
        <v>100</v>
      </c>
    </row>
    <row r="174" spans="1:35" x14ac:dyDescent="0.2">
      <c r="A174">
        <v>27</v>
      </c>
      <c r="B174" t="s">
        <v>33</v>
      </c>
      <c r="C174" t="s">
        <v>291</v>
      </c>
      <c r="D174" t="s">
        <v>294</v>
      </c>
      <c r="E174">
        <v>1</v>
      </c>
      <c r="F174">
        <v>23.016666666667</v>
      </c>
      <c r="G174">
        <v>2</v>
      </c>
      <c r="H174">
        <v>1</v>
      </c>
      <c r="I174">
        <v>1</v>
      </c>
      <c r="J174">
        <v>0</v>
      </c>
      <c r="K174">
        <v>3</v>
      </c>
      <c r="L174">
        <v>100</v>
      </c>
      <c r="M174">
        <v>2</v>
      </c>
      <c r="N174">
        <v>100</v>
      </c>
      <c r="O174">
        <v>0.47</v>
      </c>
      <c r="P174">
        <v>6</v>
      </c>
      <c r="Q174">
        <v>4</v>
      </c>
      <c r="R174">
        <v>4</v>
      </c>
      <c r="S174">
        <v>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3</v>
      </c>
      <c r="AI174">
        <v>0</v>
      </c>
    </row>
    <row r="175" spans="1:35" x14ac:dyDescent="0.2">
      <c r="A175">
        <v>197</v>
      </c>
      <c r="B175" t="s">
        <v>451</v>
      </c>
      <c r="C175" t="s">
        <v>291</v>
      </c>
      <c r="D175" t="s">
        <v>5</v>
      </c>
      <c r="E175">
        <v>1</v>
      </c>
      <c r="F175">
        <v>7.2666666666667004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430</v>
      </c>
      <c r="M175">
        <v>1</v>
      </c>
      <c r="N175">
        <v>0</v>
      </c>
      <c r="O175">
        <v>0.09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1</v>
      </c>
      <c r="AG175">
        <v>4</v>
      </c>
      <c r="AH175">
        <v>3</v>
      </c>
      <c r="AI175">
        <v>57.14</v>
      </c>
    </row>
    <row r="176" spans="1:35" x14ac:dyDescent="0.2">
      <c r="A176">
        <v>170</v>
      </c>
      <c r="B176" t="s">
        <v>46</v>
      </c>
      <c r="C176" t="s">
        <v>291</v>
      </c>
      <c r="D176" t="s">
        <v>10</v>
      </c>
      <c r="E176">
        <v>1</v>
      </c>
      <c r="F176">
        <v>29.916666666666998</v>
      </c>
      <c r="G176">
        <v>0</v>
      </c>
      <c r="H176">
        <v>3</v>
      </c>
      <c r="I176">
        <v>2</v>
      </c>
      <c r="J176">
        <v>1</v>
      </c>
      <c r="K176">
        <v>3</v>
      </c>
      <c r="L176">
        <v>75</v>
      </c>
      <c r="M176">
        <v>3</v>
      </c>
      <c r="N176">
        <v>0</v>
      </c>
      <c r="O176">
        <v>0.15</v>
      </c>
      <c r="P176">
        <v>8</v>
      </c>
      <c r="Q176">
        <v>4</v>
      </c>
      <c r="R176">
        <v>7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430</v>
      </c>
    </row>
    <row r="177" spans="1:35" x14ac:dyDescent="0.2">
      <c r="A177">
        <v>77</v>
      </c>
      <c r="B177" t="s">
        <v>41</v>
      </c>
      <c r="C177" t="s">
        <v>291</v>
      </c>
      <c r="D177" t="s">
        <v>294</v>
      </c>
      <c r="E177">
        <v>1</v>
      </c>
      <c r="F177">
        <v>22.416666666666998</v>
      </c>
      <c r="G177">
        <v>0</v>
      </c>
      <c r="H177">
        <v>1</v>
      </c>
      <c r="I177">
        <v>1</v>
      </c>
      <c r="J177">
        <v>0</v>
      </c>
      <c r="K177">
        <v>1</v>
      </c>
      <c r="L177">
        <v>25</v>
      </c>
      <c r="M177">
        <v>3</v>
      </c>
      <c r="N177">
        <v>0</v>
      </c>
      <c r="O177">
        <v>0.23</v>
      </c>
      <c r="P177">
        <v>4</v>
      </c>
      <c r="Q177">
        <v>4</v>
      </c>
      <c r="R177">
        <v>3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1</v>
      </c>
      <c r="AD177">
        <v>1</v>
      </c>
      <c r="AE177">
        <v>2</v>
      </c>
      <c r="AF177">
        <v>5</v>
      </c>
      <c r="AG177">
        <v>9</v>
      </c>
      <c r="AH177">
        <v>13</v>
      </c>
      <c r="AI177">
        <v>40.909999999999997</v>
      </c>
    </row>
    <row r="178" spans="1:35" x14ac:dyDescent="0.2">
      <c r="A178">
        <v>30</v>
      </c>
      <c r="B178" t="s">
        <v>440</v>
      </c>
      <c r="C178" t="s">
        <v>291</v>
      </c>
      <c r="D178" t="s">
        <v>5</v>
      </c>
      <c r="E178">
        <v>1</v>
      </c>
      <c r="F178">
        <v>7.6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430</v>
      </c>
      <c r="M178">
        <v>0</v>
      </c>
      <c r="N178" t="s">
        <v>430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2</v>
      </c>
      <c r="AE178">
        <v>0</v>
      </c>
      <c r="AF178">
        <v>2</v>
      </c>
      <c r="AG178">
        <v>0</v>
      </c>
      <c r="AH178">
        <v>0</v>
      </c>
      <c r="AI178" t="s">
        <v>430</v>
      </c>
    </row>
    <row r="179" spans="1:35" x14ac:dyDescent="0.2">
      <c r="A179">
        <v>68</v>
      </c>
      <c r="B179" t="s">
        <v>236</v>
      </c>
      <c r="C179" t="s">
        <v>291</v>
      </c>
      <c r="D179" t="s">
        <v>5</v>
      </c>
      <c r="E179">
        <v>1</v>
      </c>
      <c r="F179">
        <v>9.2666666666666995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430</v>
      </c>
      <c r="M179">
        <v>1</v>
      </c>
      <c r="N179">
        <v>0</v>
      </c>
      <c r="O179">
        <v>0.02</v>
      </c>
      <c r="P179">
        <v>3</v>
      </c>
      <c r="Q179">
        <v>2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430</v>
      </c>
    </row>
    <row r="180" spans="1:35" x14ac:dyDescent="0.2">
      <c r="A180">
        <v>32</v>
      </c>
      <c r="B180" t="s">
        <v>21</v>
      </c>
      <c r="C180" t="s">
        <v>291</v>
      </c>
      <c r="D180" t="s">
        <v>294</v>
      </c>
      <c r="E180">
        <v>1</v>
      </c>
      <c r="F180">
        <v>17.983333333333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</v>
      </c>
      <c r="N180">
        <v>0</v>
      </c>
      <c r="O180">
        <v>0.14000000000000001</v>
      </c>
      <c r="P180">
        <v>4</v>
      </c>
      <c r="Q180">
        <v>3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430</v>
      </c>
    </row>
    <row r="181" spans="1:35" x14ac:dyDescent="0.2">
      <c r="A181">
        <v>126</v>
      </c>
      <c r="B181" t="s">
        <v>227</v>
      </c>
      <c r="C181" t="s">
        <v>291</v>
      </c>
      <c r="D181" t="s">
        <v>5</v>
      </c>
      <c r="E181">
        <v>1</v>
      </c>
      <c r="F181">
        <v>9.5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430</v>
      </c>
      <c r="M181">
        <v>0</v>
      </c>
      <c r="N181" t="s">
        <v>430</v>
      </c>
      <c r="O181">
        <v>0.18</v>
      </c>
      <c r="P181">
        <v>1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</v>
      </c>
      <c r="AE181">
        <v>1</v>
      </c>
      <c r="AF181">
        <v>0</v>
      </c>
      <c r="AG181">
        <v>0</v>
      </c>
      <c r="AH181">
        <v>1</v>
      </c>
      <c r="AI181">
        <v>0</v>
      </c>
    </row>
    <row r="182" spans="1:35" x14ac:dyDescent="0.2">
      <c r="A182">
        <v>129</v>
      </c>
      <c r="B182" t="s">
        <v>83</v>
      </c>
      <c r="C182" t="s">
        <v>304</v>
      </c>
      <c r="D182" t="s">
        <v>10</v>
      </c>
      <c r="E182">
        <v>1</v>
      </c>
      <c r="F182">
        <v>18.883333333332999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430</v>
      </c>
      <c r="M182">
        <v>3</v>
      </c>
      <c r="N182">
        <v>0</v>
      </c>
      <c r="O182">
        <v>0.08</v>
      </c>
      <c r="P182">
        <v>4</v>
      </c>
      <c r="Q182">
        <v>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1</v>
      </c>
      <c r="AG182">
        <v>0</v>
      </c>
      <c r="AH182">
        <v>0</v>
      </c>
      <c r="AI182" t="s">
        <v>430</v>
      </c>
    </row>
    <row r="183" spans="1:35" x14ac:dyDescent="0.2">
      <c r="A183">
        <v>38</v>
      </c>
      <c r="B183" t="s">
        <v>180</v>
      </c>
      <c r="C183" t="s">
        <v>304</v>
      </c>
      <c r="D183" t="s">
        <v>294</v>
      </c>
      <c r="E183">
        <v>1</v>
      </c>
      <c r="F183">
        <v>13.15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430</v>
      </c>
      <c r="M183">
        <v>3</v>
      </c>
      <c r="N183">
        <v>0</v>
      </c>
      <c r="O183">
        <v>0.16</v>
      </c>
      <c r="P183">
        <v>4</v>
      </c>
      <c r="Q183">
        <v>4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3</v>
      </c>
      <c r="AF183">
        <v>0</v>
      </c>
      <c r="AG183">
        <v>0</v>
      </c>
      <c r="AH183">
        <v>0</v>
      </c>
      <c r="AI183" t="s">
        <v>430</v>
      </c>
    </row>
    <row r="184" spans="1:35" x14ac:dyDescent="0.2">
      <c r="A184">
        <v>204</v>
      </c>
      <c r="B184" t="s">
        <v>11</v>
      </c>
      <c r="C184" t="s">
        <v>304</v>
      </c>
      <c r="D184" t="s">
        <v>294</v>
      </c>
      <c r="E184">
        <v>1</v>
      </c>
      <c r="F184">
        <v>17.933333333333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50</v>
      </c>
      <c r="M184">
        <v>2</v>
      </c>
      <c r="N184">
        <v>50</v>
      </c>
      <c r="O184">
        <v>0.12</v>
      </c>
      <c r="P184">
        <v>2</v>
      </c>
      <c r="Q184">
        <v>2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 t="s">
        <v>430</v>
      </c>
    </row>
    <row r="185" spans="1:35" x14ac:dyDescent="0.2">
      <c r="A185">
        <v>287</v>
      </c>
      <c r="B185" t="s">
        <v>35</v>
      </c>
      <c r="C185" t="s">
        <v>304</v>
      </c>
      <c r="D185" t="s">
        <v>294</v>
      </c>
      <c r="E185">
        <v>1</v>
      </c>
      <c r="F185">
        <v>17.733333333333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430</v>
      </c>
      <c r="M185">
        <v>2</v>
      </c>
      <c r="N185">
        <v>0</v>
      </c>
      <c r="O185">
        <v>0.15</v>
      </c>
      <c r="P185">
        <v>4</v>
      </c>
      <c r="Q185">
        <v>3</v>
      </c>
      <c r="R185">
        <v>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3</v>
      </c>
      <c r="AE185">
        <v>1</v>
      </c>
      <c r="AF185">
        <v>1</v>
      </c>
      <c r="AG185">
        <v>0</v>
      </c>
      <c r="AH185">
        <v>0</v>
      </c>
      <c r="AI185" t="s">
        <v>430</v>
      </c>
    </row>
    <row r="186" spans="1:35" x14ac:dyDescent="0.2">
      <c r="A186">
        <v>104</v>
      </c>
      <c r="B186" t="s">
        <v>244</v>
      </c>
      <c r="C186" t="s">
        <v>304</v>
      </c>
      <c r="D186" t="s">
        <v>5</v>
      </c>
      <c r="E186">
        <v>1</v>
      </c>
      <c r="F186">
        <v>11.416666666667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430</v>
      </c>
      <c r="M186">
        <v>2</v>
      </c>
      <c r="N186">
        <v>0</v>
      </c>
      <c r="O186">
        <v>0.4</v>
      </c>
      <c r="P186">
        <v>3</v>
      </c>
      <c r="Q186">
        <v>3</v>
      </c>
      <c r="R186">
        <v>3</v>
      </c>
      <c r="S186">
        <v>2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5</v>
      </c>
      <c r="AH186">
        <v>1</v>
      </c>
      <c r="AI186">
        <v>83.33</v>
      </c>
    </row>
    <row r="187" spans="1:35" x14ac:dyDescent="0.2">
      <c r="A187">
        <v>208</v>
      </c>
      <c r="B187" t="s">
        <v>243</v>
      </c>
      <c r="C187" t="s">
        <v>304</v>
      </c>
      <c r="D187" t="s">
        <v>10</v>
      </c>
      <c r="E187">
        <v>1</v>
      </c>
      <c r="F187">
        <v>9.1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430</v>
      </c>
      <c r="M187">
        <v>0</v>
      </c>
      <c r="N187" t="s">
        <v>430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1</v>
      </c>
      <c r="AF187">
        <v>0</v>
      </c>
      <c r="AG187">
        <v>0</v>
      </c>
      <c r="AH187">
        <v>0</v>
      </c>
      <c r="AI187" t="s">
        <v>430</v>
      </c>
    </row>
    <row r="188" spans="1:35" x14ac:dyDescent="0.2">
      <c r="A188">
        <v>176</v>
      </c>
      <c r="B188" t="s">
        <v>254</v>
      </c>
      <c r="C188" t="s">
        <v>304</v>
      </c>
      <c r="D188" t="s">
        <v>5</v>
      </c>
      <c r="E188">
        <v>1</v>
      </c>
      <c r="F188">
        <v>10.033333333332999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430</v>
      </c>
      <c r="M188">
        <v>1</v>
      </c>
      <c r="N188">
        <v>0</v>
      </c>
      <c r="O188">
        <v>0.03</v>
      </c>
      <c r="P188">
        <v>3</v>
      </c>
      <c r="Q188">
        <v>1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4</v>
      </c>
      <c r="AE188">
        <v>1</v>
      </c>
      <c r="AF188">
        <v>0</v>
      </c>
      <c r="AG188">
        <v>3</v>
      </c>
      <c r="AH188">
        <v>1</v>
      </c>
      <c r="AI188">
        <v>75</v>
      </c>
    </row>
    <row r="189" spans="1:35" x14ac:dyDescent="0.2">
      <c r="A189">
        <v>67</v>
      </c>
      <c r="B189" t="s">
        <v>191</v>
      </c>
      <c r="C189" t="s">
        <v>304</v>
      </c>
      <c r="D189" t="s">
        <v>294</v>
      </c>
      <c r="E189">
        <v>1</v>
      </c>
      <c r="F189">
        <v>13.35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430</v>
      </c>
      <c r="M189">
        <v>2</v>
      </c>
      <c r="N189">
        <v>0</v>
      </c>
      <c r="O189">
        <v>0.4</v>
      </c>
      <c r="P189">
        <v>4</v>
      </c>
      <c r="Q189">
        <v>3</v>
      </c>
      <c r="R189">
        <v>4</v>
      </c>
      <c r="S189">
        <v>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</v>
      </c>
      <c r="AE189">
        <v>0</v>
      </c>
      <c r="AF189">
        <v>0</v>
      </c>
      <c r="AG189">
        <v>0</v>
      </c>
      <c r="AH189">
        <v>0</v>
      </c>
      <c r="AI189" t="s">
        <v>430</v>
      </c>
    </row>
    <row r="190" spans="1:35" x14ac:dyDescent="0.2">
      <c r="A190">
        <v>269</v>
      </c>
      <c r="B190" t="s">
        <v>456</v>
      </c>
      <c r="C190" t="s">
        <v>304</v>
      </c>
      <c r="D190" t="s">
        <v>292</v>
      </c>
      <c r="E190">
        <v>1</v>
      </c>
      <c r="F190">
        <v>18.833333333333002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430</v>
      </c>
      <c r="M190">
        <v>1</v>
      </c>
      <c r="N190">
        <v>0</v>
      </c>
      <c r="O190">
        <v>0.14000000000000001</v>
      </c>
      <c r="P190">
        <v>6</v>
      </c>
      <c r="Q190">
        <v>2</v>
      </c>
      <c r="R190">
        <v>3</v>
      </c>
      <c r="S190">
        <v>1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2</v>
      </c>
      <c r="AC190">
        <v>0</v>
      </c>
      <c r="AD190">
        <v>1</v>
      </c>
      <c r="AE190">
        <v>2</v>
      </c>
      <c r="AF190">
        <v>0</v>
      </c>
      <c r="AG190">
        <v>0</v>
      </c>
      <c r="AH190">
        <v>0</v>
      </c>
      <c r="AI190" t="s">
        <v>430</v>
      </c>
    </row>
    <row r="191" spans="1:35" x14ac:dyDescent="0.2">
      <c r="A191">
        <v>222</v>
      </c>
      <c r="B191" t="s">
        <v>190</v>
      </c>
      <c r="C191" t="s">
        <v>304</v>
      </c>
      <c r="D191" t="s">
        <v>10</v>
      </c>
      <c r="E191">
        <v>1</v>
      </c>
      <c r="F191">
        <v>14.283333333332999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430</v>
      </c>
      <c r="M191">
        <v>0</v>
      </c>
      <c r="N191" t="s">
        <v>430</v>
      </c>
      <c r="O191">
        <v>0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2</v>
      </c>
      <c r="AE191">
        <v>2</v>
      </c>
      <c r="AF191">
        <v>2</v>
      </c>
      <c r="AG191">
        <v>0</v>
      </c>
      <c r="AH191">
        <v>0</v>
      </c>
      <c r="AI191" t="s">
        <v>430</v>
      </c>
    </row>
    <row r="192" spans="1:35" x14ac:dyDescent="0.2">
      <c r="A192">
        <v>200</v>
      </c>
      <c r="B192" t="s">
        <v>32</v>
      </c>
      <c r="C192" t="s">
        <v>304</v>
      </c>
      <c r="D192" t="s">
        <v>5</v>
      </c>
      <c r="E192">
        <v>1</v>
      </c>
      <c r="F192">
        <v>15.416666666667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430</v>
      </c>
      <c r="O192">
        <v>0</v>
      </c>
      <c r="P192">
        <v>2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2</v>
      </c>
      <c r="AE192">
        <v>3</v>
      </c>
      <c r="AF192">
        <v>1</v>
      </c>
      <c r="AG192">
        <v>0</v>
      </c>
      <c r="AH192">
        <v>0</v>
      </c>
      <c r="AI192" t="s">
        <v>430</v>
      </c>
    </row>
    <row r="193" spans="1:35" x14ac:dyDescent="0.2">
      <c r="A193">
        <v>261</v>
      </c>
      <c r="B193" t="s">
        <v>28</v>
      </c>
      <c r="C193" t="s">
        <v>304</v>
      </c>
      <c r="D193" t="s">
        <v>10</v>
      </c>
      <c r="E193">
        <v>1</v>
      </c>
      <c r="F193">
        <v>24.233333333333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430</v>
      </c>
      <c r="M193">
        <v>4</v>
      </c>
      <c r="N193">
        <v>0</v>
      </c>
      <c r="O193">
        <v>0.15</v>
      </c>
      <c r="P193">
        <v>6</v>
      </c>
      <c r="Q193">
        <v>5</v>
      </c>
      <c r="R193">
        <v>0</v>
      </c>
      <c r="S193">
        <v>0</v>
      </c>
      <c r="T193">
        <v>0</v>
      </c>
      <c r="U193">
        <v>0</v>
      </c>
      <c r="V193">
        <v>2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3</v>
      </c>
      <c r="AF193">
        <v>0</v>
      </c>
      <c r="AG193">
        <v>0</v>
      </c>
      <c r="AH193">
        <v>0</v>
      </c>
      <c r="AI193" t="s">
        <v>430</v>
      </c>
    </row>
    <row r="194" spans="1:35" x14ac:dyDescent="0.2">
      <c r="A194">
        <v>57</v>
      </c>
      <c r="B194" t="s">
        <v>65</v>
      </c>
      <c r="C194" t="s">
        <v>304</v>
      </c>
      <c r="D194" t="s">
        <v>10</v>
      </c>
      <c r="E194">
        <v>1</v>
      </c>
      <c r="F194">
        <v>23.883333333332999</v>
      </c>
      <c r="G194">
        <v>0</v>
      </c>
      <c r="H194">
        <v>1</v>
      </c>
      <c r="I194">
        <v>0</v>
      </c>
      <c r="J194">
        <v>1</v>
      </c>
      <c r="K194">
        <v>1</v>
      </c>
      <c r="L194">
        <v>50</v>
      </c>
      <c r="M194">
        <v>5</v>
      </c>
      <c r="N194">
        <v>0</v>
      </c>
      <c r="O194">
        <v>0.23</v>
      </c>
      <c r="P194">
        <v>6</v>
      </c>
      <c r="Q194">
        <v>5</v>
      </c>
      <c r="R194">
        <v>2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0</v>
      </c>
      <c r="AH194">
        <v>0</v>
      </c>
      <c r="AI194" t="s">
        <v>430</v>
      </c>
    </row>
    <row r="195" spans="1:35" x14ac:dyDescent="0.2">
      <c r="A195">
        <v>157</v>
      </c>
      <c r="B195" t="s">
        <v>18</v>
      </c>
      <c r="C195" t="s">
        <v>304</v>
      </c>
      <c r="D195" t="s">
        <v>5</v>
      </c>
      <c r="E195">
        <v>1</v>
      </c>
      <c r="F195">
        <v>20.233333333333</v>
      </c>
      <c r="G195">
        <v>1</v>
      </c>
      <c r="H195">
        <v>1</v>
      </c>
      <c r="I195">
        <v>1</v>
      </c>
      <c r="J195">
        <v>0</v>
      </c>
      <c r="K195">
        <v>2</v>
      </c>
      <c r="L195">
        <v>100</v>
      </c>
      <c r="M195">
        <v>3</v>
      </c>
      <c r="N195">
        <v>33.33</v>
      </c>
      <c r="O195">
        <v>0.48</v>
      </c>
      <c r="P195">
        <v>4</v>
      </c>
      <c r="Q195">
        <v>4</v>
      </c>
      <c r="R195">
        <v>3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2</v>
      </c>
      <c r="AE195">
        <v>0</v>
      </c>
      <c r="AF195">
        <v>1</v>
      </c>
      <c r="AG195">
        <v>11</v>
      </c>
      <c r="AH195">
        <v>10</v>
      </c>
      <c r="AI195">
        <v>52.38</v>
      </c>
    </row>
    <row r="196" spans="1:35" x14ac:dyDescent="0.2">
      <c r="A196">
        <v>183</v>
      </c>
      <c r="B196" t="s">
        <v>112</v>
      </c>
      <c r="C196" t="s">
        <v>304</v>
      </c>
      <c r="D196" t="s">
        <v>10</v>
      </c>
      <c r="E196">
        <v>1</v>
      </c>
      <c r="F196">
        <v>23.433333333333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0.19</v>
      </c>
      <c r="P196">
        <v>6</v>
      </c>
      <c r="Q196">
        <v>3</v>
      </c>
      <c r="R196">
        <v>4</v>
      </c>
      <c r="S196">
        <v>2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</v>
      </c>
      <c r="AE196">
        <v>2</v>
      </c>
      <c r="AF196">
        <v>3</v>
      </c>
      <c r="AG196">
        <v>0</v>
      </c>
      <c r="AH196">
        <v>0</v>
      </c>
      <c r="AI196" t="s">
        <v>430</v>
      </c>
    </row>
    <row r="197" spans="1:35" x14ac:dyDescent="0.2">
      <c r="A197">
        <v>256</v>
      </c>
      <c r="B197" t="s">
        <v>67</v>
      </c>
      <c r="C197" t="s">
        <v>304</v>
      </c>
      <c r="D197" t="s">
        <v>5</v>
      </c>
      <c r="E197">
        <v>1</v>
      </c>
      <c r="F197">
        <v>15.9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430</v>
      </c>
      <c r="M197">
        <v>2</v>
      </c>
      <c r="N197">
        <v>0</v>
      </c>
      <c r="O197">
        <v>0.16</v>
      </c>
      <c r="P197">
        <v>4</v>
      </c>
      <c r="Q197">
        <v>3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3</v>
      </c>
      <c r="AG197">
        <v>7</v>
      </c>
      <c r="AH197">
        <v>4</v>
      </c>
      <c r="AI197">
        <v>63.64</v>
      </c>
    </row>
    <row r="198" spans="1:35" x14ac:dyDescent="0.2">
      <c r="A198">
        <v>49</v>
      </c>
      <c r="B198" t="s">
        <v>225</v>
      </c>
      <c r="C198" t="s">
        <v>304</v>
      </c>
      <c r="D198" t="s">
        <v>5</v>
      </c>
      <c r="E198">
        <v>1</v>
      </c>
      <c r="F198">
        <v>13.333333333333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430</v>
      </c>
      <c r="M198">
        <v>1</v>
      </c>
      <c r="N198">
        <v>0</v>
      </c>
      <c r="O198">
        <v>0.01</v>
      </c>
      <c r="P198">
        <v>2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4</v>
      </c>
      <c r="AC198">
        <v>0</v>
      </c>
      <c r="AD198">
        <v>1</v>
      </c>
      <c r="AE198">
        <v>2</v>
      </c>
      <c r="AF198">
        <v>1</v>
      </c>
      <c r="AG198">
        <v>10</v>
      </c>
      <c r="AH198">
        <v>4</v>
      </c>
      <c r="AI198">
        <v>71.430000000000007</v>
      </c>
    </row>
    <row r="199" spans="1:35" x14ac:dyDescent="0.2">
      <c r="A199">
        <v>253</v>
      </c>
      <c r="B199" t="s">
        <v>435</v>
      </c>
      <c r="C199" t="s">
        <v>304</v>
      </c>
      <c r="D199" t="s">
        <v>294</v>
      </c>
      <c r="E199">
        <v>1</v>
      </c>
      <c r="F199">
        <v>14.3</v>
      </c>
      <c r="G199">
        <v>0</v>
      </c>
      <c r="H199">
        <v>1</v>
      </c>
      <c r="I199">
        <v>1</v>
      </c>
      <c r="J199">
        <v>0</v>
      </c>
      <c r="K199">
        <v>1</v>
      </c>
      <c r="L199">
        <v>100</v>
      </c>
      <c r="M199">
        <v>2</v>
      </c>
      <c r="N199">
        <v>0</v>
      </c>
      <c r="O199">
        <v>0.35</v>
      </c>
      <c r="P199">
        <v>4</v>
      </c>
      <c r="Q199">
        <v>3</v>
      </c>
      <c r="R199">
        <v>2</v>
      </c>
      <c r="S199">
        <v>0</v>
      </c>
      <c r="T199">
        <v>0</v>
      </c>
      <c r="U199">
        <v>1</v>
      </c>
      <c r="V199">
        <v>6</v>
      </c>
      <c r="W199">
        <v>3</v>
      </c>
      <c r="X199">
        <v>3</v>
      </c>
      <c r="Y199">
        <v>0</v>
      </c>
      <c r="Z199">
        <v>0</v>
      </c>
      <c r="AA199">
        <v>2</v>
      </c>
      <c r="AB199">
        <v>2</v>
      </c>
      <c r="AC199">
        <v>0</v>
      </c>
      <c r="AD199">
        <v>4</v>
      </c>
      <c r="AE199">
        <v>1</v>
      </c>
      <c r="AF199">
        <v>2</v>
      </c>
      <c r="AG199">
        <v>0</v>
      </c>
      <c r="AH199">
        <v>0</v>
      </c>
      <c r="AI199" t="s">
        <v>430</v>
      </c>
    </row>
    <row r="200" spans="1:35" x14ac:dyDescent="0.2">
      <c r="A200">
        <v>54</v>
      </c>
      <c r="B200" t="s">
        <v>97</v>
      </c>
      <c r="C200" t="s">
        <v>300</v>
      </c>
      <c r="D200" t="s">
        <v>10</v>
      </c>
      <c r="E200">
        <v>1</v>
      </c>
      <c r="F200">
        <v>23.75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0.01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0</v>
      </c>
      <c r="AE200">
        <v>1</v>
      </c>
      <c r="AF200">
        <v>0</v>
      </c>
      <c r="AG200">
        <v>0</v>
      </c>
      <c r="AH200">
        <v>0</v>
      </c>
      <c r="AI200" t="s">
        <v>430</v>
      </c>
    </row>
    <row r="201" spans="1:35" x14ac:dyDescent="0.2">
      <c r="A201">
        <v>220</v>
      </c>
      <c r="B201" t="s">
        <v>362</v>
      </c>
      <c r="C201" t="s">
        <v>300</v>
      </c>
      <c r="D201" t="s">
        <v>294</v>
      </c>
      <c r="E201">
        <v>1</v>
      </c>
      <c r="F201">
        <v>16.883333333332999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100</v>
      </c>
      <c r="M201">
        <v>3</v>
      </c>
      <c r="N201">
        <v>33.33</v>
      </c>
      <c r="O201">
        <v>0.78</v>
      </c>
      <c r="P201">
        <v>4</v>
      </c>
      <c r="Q201">
        <v>4</v>
      </c>
      <c r="R201">
        <v>3</v>
      </c>
      <c r="S201">
        <v>3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</v>
      </c>
      <c r="AE201">
        <v>1</v>
      </c>
      <c r="AF201">
        <v>0</v>
      </c>
      <c r="AG201">
        <v>0</v>
      </c>
      <c r="AH201">
        <v>0</v>
      </c>
      <c r="AI201" t="s">
        <v>430</v>
      </c>
    </row>
    <row r="202" spans="1:35" x14ac:dyDescent="0.2">
      <c r="A202">
        <v>25</v>
      </c>
      <c r="B202" t="s">
        <v>146</v>
      </c>
      <c r="C202" t="s">
        <v>300</v>
      </c>
      <c r="D202" t="s">
        <v>292</v>
      </c>
      <c r="E202">
        <v>1</v>
      </c>
      <c r="F202">
        <v>16.833333333333002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100</v>
      </c>
      <c r="M202">
        <v>0</v>
      </c>
      <c r="N202" t="s">
        <v>430</v>
      </c>
      <c r="O202">
        <v>0.15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1</v>
      </c>
      <c r="AH202">
        <v>8</v>
      </c>
      <c r="AI202">
        <v>11.11</v>
      </c>
    </row>
    <row r="203" spans="1:35" x14ac:dyDescent="0.2">
      <c r="A203">
        <v>255</v>
      </c>
      <c r="B203" t="s">
        <v>269</v>
      </c>
      <c r="C203" t="s">
        <v>300</v>
      </c>
      <c r="D203" t="s">
        <v>5</v>
      </c>
      <c r="E203">
        <v>1</v>
      </c>
      <c r="F203">
        <v>8.85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430</v>
      </c>
      <c r="M203">
        <v>0</v>
      </c>
      <c r="N203" t="s">
        <v>430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</v>
      </c>
      <c r="AC203">
        <v>0</v>
      </c>
      <c r="AD203">
        <v>0</v>
      </c>
      <c r="AE203">
        <v>1</v>
      </c>
      <c r="AF203">
        <v>1</v>
      </c>
      <c r="AG203">
        <v>0</v>
      </c>
      <c r="AH203">
        <v>7</v>
      </c>
      <c r="AI203">
        <v>0</v>
      </c>
    </row>
    <row r="204" spans="1:35" x14ac:dyDescent="0.2">
      <c r="A204">
        <v>59</v>
      </c>
      <c r="B204" t="s">
        <v>22</v>
      </c>
      <c r="C204" t="s">
        <v>300</v>
      </c>
      <c r="D204" t="s">
        <v>292</v>
      </c>
      <c r="E204">
        <v>1</v>
      </c>
      <c r="F204">
        <v>19.766666666667</v>
      </c>
      <c r="G204">
        <v>0</v>
      </c>
      <c r="H204">
        <v>1</v>
      </c>
      <c r="I204">
        <v>0</v>
      </c>
      <c r="J204">
        <v>1</v>
      </c>
      <c r="K204">
        <v>1</v>
      </c>
      <c r="L204">
        <v>33.33</v>
      </c>
      <c r="M204">
        <v>4</v>
      </c>
      <c r="N204">
        <v>0</v>
      </c>
      <c r="O204">
        <v>0.28999999999999998</v>
      </c>
      <c r="P204">
        <v>5</v>
      </c>
      <c r="Q204">
        <v>5</v>
      </c>
      <c r="R204">
        <v>2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2</v>
      </c>
      <c r="AC204">
        <v>1</v>
      </c>
      <c r="AD204">
        <v>1</v>
      </c>
      <c r="AE204">
        <v>1</v>
      </c>
      <c r="AF204">
        <v>0</v>
      </c>
      <c r="AG204">
        <v>0</v>
      </c>
      <c r="AH204">
        <v>1</v>
      </c>
      <c r="AI204">
        <v>0</v>
      </c>
    </row>
    <row r="205" spans="1:35" x14ac:dyDescent="0.2">
      <c r="A205">
        <v>52</v>
      </c>
      <c r="B205" t="s">
        <v>188</v>
      </c>
      <c r="C205" t="s">
        <v>300</v>
      </c>
      <c r="D205" t="s">
        <v>294</v>
      </c>
      <c r="E205">
        <v>1</v>
      </c>
      <c r="F205">
        <v>15.883333333333001</v>
      </c>
      <c r="G205">
        <v>1</v>
      </c>
      <c r="H205">
        <v>0</v>
      </c>
      <c r="I205">
        <v>0</v>
      </c>
      <c r="J205">
        <v>0</v>
      </c>
      <c r="K205">
        <v>1</v>
      </c>
      <c r="L205">
        <v>100</v>
      </c>
      <c r="M205">
        <v>5</v>
      </c>
      <c r="N205">
        <v>20</v>
      </c>
      <c r="O205">
        <v>0.62</v>
      </c>
      <c r="P205">
        <v>7</v>
      </c>
      <c r="Q205">
        <v>5</v>
      </c>
      <c r="R205">
        <v>5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3</v>
      </c>
      <c r="AC205">
        <v>0</v>
      </c>
      <c r="AD205">
        <v>4</v>
      </c>
      <c r="AE205">
        <v>0</v>
      </c>
      <c r="AF205">
        <v>0</v>
      </c>
      <c r="AG205">
        <v>1</v>
      </c>
      <c r="AH205">
        <v>0</v>
      </c>
      <c r="AI205">
        <v>100</v>
      </c>
    </row>
    <row r="206" spans="1:35" x14ac:dyDescent="0.2">
      <c r="A206">
        <v>231</v>
      </c>
      <c r="B206" t="s">
        <v>453</v>
      </c>
      <c r="C206" t="s">
        <v>300</v>
      </c>
      <c r="D206" t="s">
        <v>10</v>
      </c>
      <c r="E206">
        <v>1</v>
      </c>
      <c r="F206">
        <v>12.3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430</v>
      </c>
      <c r="M206">
        <v>0</v>
      </c>
      <c r="N206" t="s">
        <v>430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 t="s">
        <v>430</v>
      </c>
    </row>
    <row r="207" spans="1:35" x14ac:dyDescent="0.2">
      <c r="A207">
        <v>237</v>
      </c>
      <c r="B207" t="s">
        <v>31</v>
      </c>
      <c r="C207" t="s">
        <v>300</v>
      </c>
      <c r="D207" t="s">
        <v>294</v>
      </c>
      <c r="E207">
        <v>1</v>
      </c>
      <c r="F207">
        <v>13.583333333333</v>
      </c>
      <c r="G207">
        <v>0</v>
      </c>
      <c r="H207">
        <v>2</v>
      </c>
      <c r="I207">
        <v>1</v>
      </c>
      <c r="J207">
        <v>1</v>
      </c>
      <c r="K207">
        <v>2</v>
      </c>
      <c r="L207">
        <v>66.67</v>
      </c>
      <c r="M207">
        <v>0</v>
      </c>
      <c r="N207" t="s">
        <v>430</v>
      </c>
      <c r="O207">
        <v>0.06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0</v>
      </c>
      <c r="AI207" t="s">
        <v>430</v>
      </c>
    </row>
    <row r="208" spans="1:35" x14ac:dyDescent="0.2">
      <c r="A208">
        <v>281</v>
      </c>
      <c r="B208" t="s">
        <v>195</v>
      </c>
      <c r="C208" t="s">
        <v>300</v>
      </c>
      <c r="D208" t="s">
        <v>294</v>
      </c>
      <c r="E208">
        <v>1</v>
      </c>
      <c r="F208">
        <v>8.1833333333332998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430</v>
      </c>
      <c r="M208">
        <v>0</v>
      </c>
      <c r="N208" t="s">
        <v>430</v>
      </c>
      <c r="O208">
        <v>0.01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1</v>
      </c>
      <c r="AE208">
        <v>0</v>
      </c>
      <c r="AF208">
        <v>0</v>
      </c>
      <c r="AG208">
        <v>0</v>
      </c>
      <c r="AH208">
        <v>0</v>
      </c>
      <c r="AI208" t="s">
        <v>430</v>
      </c>
    </row>
    <row r="209" spans="1:35" x14ac:dyDescent="0.2">
      <c r="A209">
        <v>102</v>
      </c>
      <c r="B209" t="s">
        <v>156</v>
      </c>
      <c r="C209" t="s">
        <v>300</v>
      </c>
      <c r="D209" t="s">
        <v>292</v>
      </c>
      <c r="E209">
        <v>1</v>
      </c>
      <c r="F209">
        <v>12.933333333333</v>
      </c>
      <c r="G209">
        <v>0</v>
      </c>
      <c r="H209">
        <v>1</v>
      </c>
      <c r="I209">
        <v>1</v>
      </c>
      <c r="J209">
        <v>0</v>
      </c>
      <c r="K209">
        <v>1</v>
      </c>
      <c r="L209">
        <v>100</v>
      </c>
      <c r="M209">
        <v>1</v>
      </c>
      <c r="N209">
        <v>0</v>
      </c>
      <c r="O209">
        <v>0.21</v>
      </c>
      <c r="P209">
        <v>5</v>
      </c>
      <c r="Q209">
        <v>4</v>
      </c>
      <c r="R209">
        <v>3</v>
      </c>
      <c r="S209">
        <v>2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  <c r="AE209">
        <v>1</v>
      </c>
      <c r="AF209">
        <v>0</v>
      </c>
      <c r="AG209">
        <v>0</v>
      </c>
      <c r="AH209">
        <v>1</v>
      </c>
      <c r="AI209">
        <v>0</v>
      </c>
    </row>
    <row r="210" spans="1:35" x14ac:dyDescent="0.2">
      <c r="A210">
        <v>75</v>
      </c>
      <c r="B210" t="s">
        <v>268</v>
      </c>
      <c r="C210" t="s">
        <v>300</v>
      </c>
      <c r="D210" t="s">
        <v>5</v>
      </c>
      <c r="E210">
        <v>1</v>
      </c>
      <c r="F210">
        <v>15.133333333333001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430</v>
      </c>
      <c r="M210">
        <v>1</v>
      </c>
      <c r="N210">
        <v>0</v>
      </c>
      <c r="O210">
        <v>0.28999999999999998</v>
      </c>
      <c r="P210">
        <v>5</v>
      </c>
      <c r="Q210">
        <v>5</v>
      </c>
      <c r="R210">
        <v>3</v>
      </c>
      <c r="S210">
        <v>0</v>
      </c>
      <c r="T210">
        <v>0</v>
      </c>
      <c r="U210">
        <v>0</v>
      </c>
      <c r="V210">
        <v>2</v>
      </c>
      <c r="W210">
        <v>1</v>
      </c>
      <c r="X210">
        <v>1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1</v>
      </c>
      <c r="AE210">
        <v>1</v>
      </c>
      <c r="AF210">
        <v>2</v>
      </c>
      <c r="AG210">
        <v>7</v>
      </c>
      <c r="AH210">
        <v>6</v>
      </c>
      <c r="AI210">
        <v>53.85</v>
      </c>
    </row>
    <row r="211" spans="1:35" x14ac:dyDescent="0.2">
      <c r="A211">
        <v>271</v>
      </c>
      <c r="B211" t="s">
        <v>165</v>
      </c>
      <c r="C211" t="s">
        <v>300</v>
      </c>
      <c r="D211" t="s">
        <v>10</v>
      </c>
      <c r="E211">
        <v>1</v>
      </c>
      <c r="F211">
        <v>18.7</v>
      </c>
      <c r="G211">
        <v>0</v>
      </c>
      <c r="H211">
        <v>1</v>
      </c>
      <c r="I211">
        <v>0</v>
      </c>
      <c r="J211">
        <v>1</v>
      </c>
      <c r="K211">
        <v>1</v>
      </c>
      <c r="L211">
        <v>50</v>
      </c>
      <c r="M211">
        <v>0</v>
      </c>
      <c r="N211" t="s">
        <v>430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4</v>
      </c>
      <c r="AC211">
        <v>0</v>
      </c>
      <c r="AD211">
        <v>1</v>
      </c>
      <c r="AE211">
        <v>6</v>
      </c>
      <c r="AF211">
        <v>1</v>
      </c>
      <c r="AG211">
        <v>0</v>
      </c>
      <c r="AH211">
        <v>0</v>
      </c>
      <c r="AI211" t="s">
        <v>430</v>
      </c>
    </row>
    <row r="212" spans="1:35" x14ac:dyDescent="0.2">
      <c r="A212">
        <v>166</v>
      </c>
      <c r="B212" t="s">
        <v>230</v>
      </c>
      <c r="C212" t="s">
        <v>300</v>
      </c>
      <c r="D212" t="s">
        <v>10</v>
      </c>
      <c r="E212">
        <v>1</v>
      </c>
      <c r="F212">
        <v>18.766666666667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0.08</v>
      </c>
      <c r="P212">
        <v>5</v>
      </c>
      <c r="Q212">
        <v>3</v>
      </c>
      <c r="R212">
        <v>4</v>
      </c>
      <c r="S212">
        <v>0</v>
      </c>
      <c r="T212">
        <v>0</v>
      </c>
      <c r="U212">
        <v>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430</v>
      </c>
    </row>
    <row r="213" spans="1:35" x14ac:dyDescent="0.2">
      <c r="A213">
        <v>152</v>
      </c>
      <c r="B213" t="s">
        <v>228</v>
      </c>
      <c r="C213" t="s">
        <v>300</v>
      </c>
      <c r="D213" t="s">
        <v>10</v>
      </c>
      <c r="E213">
        <v>1</v>
      </c>
      <c r="F213">
        <v>10.9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430</v>
      </c>
      <c r="M213">
        <v>1</v>
      </c>
      <c r="N213">
        <v>0</v>
      </c>
      <c r="O213">
        <v>0.06</v>
      </c>
      <c r="P213">
        <v>2</v>
      </c>
      <c r="Q213">
        <v>2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>
        <v>1</v>
      </c>
      <c r="AG213">
        <v>0</v>
      </c>
      <c r="AH213">
        <v>0</v>
      </c>
      <c r="AI213" t="s">
        <v>430</v>
      </c>
    </row>
    <row r="214" spans="1:35" x14ac:dyDescent="0.2">
      <c r="A214">
        <v>229</v>
      </c>
      <c r="B214" t="s">
        <v>367</v>
      </c>
      <c r="C214" t="s">
        <v>300</v>
      </c>
      <c r="D214" t="s">
        <v>5</v>
      </c>
      <c r="E214">
        <v>1</v>
      </c>
      <c r="F214">
        <v>8.9499999999999993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430</v>
      </c>
      <c r="M214">
        <v>0</v>
      </c>
      <c r="N214" t="s">
        <v>430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</v>
      </c>
      <c r="AE214">
        <v>1</v>
      </c>
      <c r="AF214">
        <v>2</v>
      </c>
      <c r="AG214">
        <v>0</v>
      </c>
      <c r="AH214">
        <v>0</v>
      </c>
      <c r="AI214" t="s">
        <v>430</v>
      </c>
    </row>
    <row r="215" spans="1:35" x14ac:dyDescent="0.2">
      <c r="A215">
        <v>15</v>
      </c>
      <c r="B215" t="s">
        <v>37</v>
      </c>
      <c r="C215" t="s">
        <v>300</v>
      </c>
      <c r="D215" t="s">
        <v>10</v>
      </c>
      <c r="E215">
        <v>1</v>
      </c>
      <c r="F215">
        <v>29.1</v>
      </c>
      <c r="G215">
        <v>0</v>
      </c>
      <c r="H215">
        <v>1</v>
      </c>
      <c r="I215">
        <v>0</v>
      </c>
      <c r="J215">
        <v>1</v>
      </c>
      <c r="K215">
        <v>1</v>
      </c>
      <c r="L215">
        <v>33.33</v>
      </c>
      <c r="M215">
        <v>4</v>
      </c>
      <c r="N215">
        <v>0</v>
      </c>
      <c r="O215">
        <v>0.13</v>
      </c>
      <c r="P215">
        <v>9</v>
      </c>
      <c r="Q215">
        <v>5</v>
      </c>
      <c r="R215">
        <v>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</v>
      </c>
      <c r="AD215">
        <v>0</v>
      </c>
      <c r="AE215">
        <v>0</v>
      </c>
      <c r="AF215">
        <v>1</v>
      </c>
      <c r="AG215">
        <v>0</v>
      </c>
      <c r="AH215">
        <v>0</v>
      </c>
      <c r="AI215" t="s">
        <v>430</v>
      </c>
    </row>
    <row r="216" spans="1:35" x14ac:dyDescent="0.2">
      <c r="A216">
        <v>19</v>
      </c>
      <c r="B216" t="s">
        <v>14</v>
      </c>
      <c r="C216" t="s">
        <v>300</v>
      </c>
      <c r="D216" t="s">
        <v>5</v>
      </c>
      <c r="E216">
        <v>1</v>
      </c>
      <c r="F216">
        <v>22.7</v>
      </c>
      <c r="G216">
        <v>0</v>
      </c>
      <c r="H216">
        <v>3</v>
      </c>
      <c r="I216">
        <v>2</v>
      </c>
      <c r="J216">
        <v>1</v>
      </c>
      <c r="K216">
        <v>3</v>
      </c>
      <c r="L216">
        <v>75</v>
      </c>
      <c r="M216">
        <v>1</v>
      </c>
      <c r="N216">
        <v>0</v>
      </c>
      <c r="O216">
        <v>0.23</v>
      </c>
      <c r="P216">
        <v>2</v>
      </c>
      <c r="Q216">
        <v>2</v>
      </c>
      <c r="R216">
        <v>2</v>
      </c>
      <c r="S216">
        <v>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</v>
      </c>
      <c r="AC216">
        <v>1</v>
      </c>
      <c r="AD216">
        <v>1</v>
      </c>
      <c r="AE216">
        <v>0</v>
      </c>
      <c r="AF216">
        <v>0</v>
      </c>
      <c r="AG216">
        <v>6</v>
      </c>
      <c r="AH216">
        <v>11</v>
      </c>
      <c r="AI216">
        <v>35.29</v>
      </c>
    </row>
    <row r="217" spans="1:35" x14ac:dyDescent="0.2">
      <c r="A217">
        <v>12</v>
      </c>
      <c r="B217" t="s">
        <v>48</v>
      </c>
      <c r="C217" t="s">
        <v>300</v>
      </c>
      <c r="D217" t="s">
        <v>5</v>
      </c>
      <c r="E217">
        <v>1</v>
      </c>
      <c r="F217">
        <v>18.783333333333001</v>
      </c>
      <c r="G217">
        <v>3</v>
      </c>
      <c r="H217">
        <v>0</v>
      </c>
      <c r="I217">
        <v>0</v>
      </c>
      <c r="J217">
        <v>0</v>
      </c>
      <c r="K217">
        <v>3</v>
      </c>
      <c r="L217">
        <v>100</v>
      </c>
      <c r="M217">
        <v>4</v>
      </c>
      <c r="N217">
        <v>75</v>
      </c>
      <c r="O217">
        <v>0.48</v>
      </c>
      <c r="P217">
        <v>6</v>
      </c>
      <c r="Q217">
        <v>4</v>
      </c>
      <c r="R217">
        <v>3</v>
      </c>
      <c r="S217">
        <v>1</v>
      </c>
      <c r="T217">
        <v>0</v>
      </c>
      <c r="U217">
        <v>0</v>
      </c>
      <c r="V217">
        <v>4</v>
      </c>
      <c r="W217">
        <v>2</v>
      </c>
      <c r="X217">
        <v>2</v>
      </c>
      <c r="Y217">
        <v>0</v>
      </c>
      <c r="Z217">
        <v>0</v>
      </c>
      <c r="AA217">
        <v>2</v>
      </c>
      <c r="AB217">
        <v>0</v>
      </c>
      <c r="AC217">
        <v>0</v>
      </c>
      <c r="AD217">
        <v>3</v>
      </c>
      <c r="AE217">
        <v>0</v>
      </c>
      <c r="AF217">
        <v>0</v>
      </c>
      <c r="AG217">
        <v>0</v>
      </c>
      <c r="AH217">
        <v>4</v>
      </c>
      <c r="AI217">
        <v>0</v>
      </c>
    </row>
    <row r="218" spans="1:35" x14ac:dyDescent="0.2">
      <c r="A218">
        <v>242</v>
      </c>
      <c r="B218" t="s">
        <v>174</v>
      </c>
      <c r="C218" t="s">
        <v>298</v>
      </c>
      <c r="D218" t="s">
        <v>10</v>
      </c>
      <c r="E218">
        <v>1</v>
      </c>
      <c r="F218">
        <v>20.433333333333</v>
      </c>
      <c r="G218">
        <v>0</v>
      </c>
      <c r="H218">
        <v>1</v>
      </c>
      <c r="I218">
        <v>0</v>
      </c>
      <c r="J218">
        <v>1</v>
      </c>
      <c r="K218">
        <v>1</v>
      </c>
      <c r="L218">
        <v>100</v>
      </c>
      <c r="M218">
        <v>1</v>
      </c>
      <c r="N218">
        <v>0</v>
      </c>
      <c r="O218">
        <v>0.03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2</v>
      </c>
      <c r="AC218">
        <v>0</v>
      </c>
      <c r="AD218">
        <v>1</v>
      </c>
      <c r="AE218">
        <v>1</v>
      </c>
      <c r="AF218">
        <v>1</v>
      </c>
      <c r="AG218">
        <v>0</v>
      </c>
      <c r="AH218">
        <v>0</v>
      </c>
      <c r="AI218" t="s">
        <v>430</v>
      </c>
    </row>
    <row r="219" spans="1:35" x14ac:dyDescent="0.2">
      <c r="A219">
        <v>171</v>
      </c>
      <c r="B219" t="s">
        <v>80</v>
      </c>
      <c r="C219" t="s">
        <v>298</v>
      </c>
      <c r="D219" t="s">
        <v>292</v>
      </c>
      <c r="E219">
        <v>1</v>
      </c>
      <c r="F219">
        <v>17.283333333333001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100</v>
      </c>
      <c r="M219">
        <v>1</v>
      </c>
      <c r="N219">
        <v>100</v>
      </c>
      <c r="O219">
        <v>0.44</v>
      </c>
      <c r="P219">
        <v>4</v>
      </c>
      <c r="Q219">
        <v>3</v>
      </c>
      <c r="R219">
        <v>2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430</v>
      </c>
    </row>
    <row r="220" spans="1:35" x14ac:dyDescent="0.2">
      <c r="A220">
        <v>5</v>
      </c>
      <c r="B220" t="s">
        <v>159</v>
      </c>
      <c r="C220" t="s">
        <v>298</v>
      </c>
      <c r="D220" t="s">
        <v>294</v>
      </c>
      <c r="E220">
        <v>1</v>
      </c>
      <c r="F220">
        <v>15.733333333333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430</v>
      </c>
      <c r="M220">
        <v>0</v>
      </c>
      <c r="N220" t="s">
        <v>430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</v>
      </c>
      <c r="AC220">
        <v>0</v>
      </c>
      <c r="AD220">
        <v>0</v>
      </c>
      <c r="AE220">
        <v>0</v>
      </c>
      <c r="AF220">
        <v>0</v>
      </c>
      <c r="AG220">
        <v>2</v>
      </c>
      <c r="AH220">
        <v>1</v>
      </c>
      <c r="AI220">
        <v>66.67</v>
      </c>
    </row>
    <row r="221" spans="1:35" x14ac:dyDescent="0.2">
      <c r="A221">
        <v>165</v>
      </c>
      <c r="B221" t="s">
        <v>120</v>
      </c>
      <c r="C221" t="s">
        <v>298</v>
      </c>
      <c r="D221" t="s">
        <v>294</v>
      </c>
      <c r="E221">
        <v>1</v>
      </c>
      <c r="F221">
        <v>17.116666666667001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430</v>
      </c>
      <c r="M221">
        <v>1</v>
      </c>
      <c r="N221">
        <v>0</v>
      </c>
      <c r="O221">
        <v>0.23</v>
      </c>
      <c r="P221">
        <v>4</v>
      </c>
      <c r="Q221">
        <v>4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3</v>
      </c>
      <c r="AF221">
        <v>0</v>
      </c>
      <c r="AG221">
        <v>1</v>
      </c>
      <c r="AH221">
        <v>0</v>
      </c>
      <c r="AI221">
        <v>100</v>
      </c>
    </row>
    <row r="222" spans="1:35" x14ac:dyDescent="0.2">
      <c r="A222">
        <v>203</v>
      </c>
      <c r="B222" t="s">
        <v>73</v>
      </c>
      <c r="C222" t="s">
        <v>298</v>
      </c>
      <c r="D222" t="s">
        <v>5</v>
      </c>
      <c r="E222">
        <v>1</v>
      </c>
      <c r="F222">
        <v>16.649999999999999</v>
      </c>
      <c r="G222">
        <v>0</v>
      </c>
      <c r="H222">
        <v>1</v>
      </c>
      <c r="I222">
        <v>1</v>
      </c>
      <c r="J222">
        <v>0</v>
      </c>
      <c r="K222">
        <v>1</v>
      </c>
      <c r="L222">
        <v>50</v>
      </c>
      <c r="M222">
        <v>2</v>
      </c>
      <c r="N222">
        <v>0</v>
      </c>
      <c r="O222">
        <v>0.28000000000000003</v>
      </c>
      <c r="P222">
        <v>3</v>
      </c>
      <c r="Q222">
        <v>3</v>
      </c>
      <c r="R222">
        <v>2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4</v>
      </c>
      <c r="AE222">
        <v>0</v>
      </c>
      <c r="AF222">
        <v>1</v>
      </c>
      <c r="AG222">
        <v>8</v>
      </c>
      <c r="AH222">
        <v>6</v>
      </c>
      <c r="AI222">
        <v>57.14</v>
      </c>
    </row>
    <row r="223" spans="1:35" x14ac:dyDescent="0.2">
      <c r="A223">
        <v>163</v>
      </c>
      <c r="B223" t="s">
        <v>148</v>
      </c>
      <c r="C223" t="s">
        <v>298</v>
      </c>
      <c r="D223" t="s">
        <v>292</v>
      </c>
      <c r="E223">
        <v>1</v>
      </c>
      <c r="F223">
        <v>10.633333333333001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430</v>
      </c>
      <c r="M223">
        <v>0</v>
      </c>
      <c r="N223" t="s">
        <v>430</v>
      </c>
      <c r="O223">
        <v>0.05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4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3</v>
      </c>
      <c r="AE223">
        <v>0</v>
      </c>
      <c r="AF223">
        <v>0</v>
      </c>
      <c r="AG223">
        <v>0</v>
      </c>
      <c r="AH223">
        <v>0</v>
      </c>
      <c r="AI223" t="s">
        <v>430</v>
      </c>
    </row>
    <row r="224" spans="1:35" x14ac:dyDescent="0.2">
      <c r="A224">
        <v>230</v>
      </c>
      <c r="B224" t="s">
        <v>116</v>
      </c>
      <c r="C224" t="s">
        <v>298</v>
      </c>
      <c r="D224" t="s">
        <v>10</v>
      </c>
      <c r="E224">
        <v>1</v>
      </c>
      <c r="F224">
        <v>25.65</v>
      </c>
      <c r="G224">
        <v>0</v>
      </c>
      <c r="H224">
        <v>1</v>
      </c>
      <c r="I224">
        <v>0</v>
      </c>
      <c r="J224">
        <v>1</v>
      </c>
      <c r="K224">
        <v>1</v>
      </c>
      <c r="L224">
        <v>100</v>
      </c>
      <c r="M224">
        <v>3</v>
      </c>
      <c r="N224">
        <v>0</v>
      </c>
      <c r="O224">
        <v>0.06</v>
      </c>
      <c r="P224">
        <v>4</v>
      </c>
      <c r="Q224">
        <v>4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 t="s">
        <v>430</v>
      </c>
    </row>
    <row r="225" spans="1:35" x14ac:dyDescent="0.2">
      <c r="A225">
        <v>212</v>
      </c>
      <c r="B225" t="s">
        <v>246</v>
      </c>
      <c r="C225" t="s">
        <v>298</v>
      </c>
      <c r="D225" t="s">
        <v>10</v>
      </c>
      <c r="E225">
        <v>1</v>
      </c>
      <c r="F225">
        <v>13.516666666667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430</v>
      </c>
      <c r="M225">
        <v>0</v>
      </c>
      <c r="N225" t="s">
        <v>430</v>
      </c>
      <c r="O225">
        <v>0</v>
      </c>
      <c r="P225">
        <v>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0</v>
      </c>
      <c r="AH225">
        <v>0</v>
      </c>
      <c r="AI225" t="s">
        <v>430</v>
      </c>
    </row>
    <row r="226" spans="1:35" x14ac:dyDescent="0.2">
      <c r="A226">
        <v>11</v>
      </c>
      <c r="B226" t="s">
        <v>431</v>
      </c>
      <c r="C226" t="s">
        <v>298</v>
      </c>
      <c r="D226" t="s">
        <v>5</v>
      </c>
      <c r="E226">
        <v>1</v>
      </c>
      <c r="F226">
        <v>10</v>
      </c>
      <c r="G226">
        <v>0</v>
      </c>
      <c r="H226">
        <v>1</v>
      </c>
      <c r="I226">
        <v>1</v>
      </c>
      <c r="J226">
        <v>0</v>
      </c>
      <c r="K226">
        <v>1</v>
      </c>
      <c r="L226">
        <v>100</v>
      </c>
      <c r="M226">
        <v>3</v>
      </c>
      <c r="N226">
        <v>0</v>
      </c>
      <c r="O226">
        <v>0.28000000000000003</v>
      </c>
      <c r="P226">
        <v>5</v>
      </c>
      <c r="Q226">
        <v>5</v>
      </c>
      <c r="R226">
        <v>4</v>
      </c>
      <c r="S226">
        <v>2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</v>
      </c>
      <c r="AH226">
        <v>1</v>
      </c>
      <c r="AI226">
        <v>75</v>
      </c>
    </row>
    <row r="227" spans="1:35" x14ac:dyDescent="0.2">
      <c r="A227">
        <v>99</v>
      </c>
      <c r="B227" t="s">
        <v>186</v>
      </c>
      <c r="C227" t="s">
        <v>298</v>
      </c>
      <c r="D227" t="s">
        <v>294</v>
      </c>
      <c r="E227">
        <v>1</v>
      </c>
      <c r="F227">
        <v>16.016666666667</v>
      </c>
      <c r="G227">
        <v>0</v>
      </c>
      <c r="H227">
        <v>1</v>
      </c>
      <c r="I227">
        <v>1</v>
      </c>
      <c r="J227">
        <v>0</v>
      </c>
      <c r="K227">
        <v>1</v>
      </c>
      <c r="L227">
        <v>100</v>
      </c>
      <c r="M227">
        <v>1</v>
      </c>
      <c r="N227">
        <v>0</v>
      </c>
      <c r="O227">
        <v>0.12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1</v>
      </c>
      <c r="AD227">
        <v>1</v>
      </c>
      <c r="AE227">
        <v>1</v>
      </c>
      <c r="AF227">
        <v>0</v>
      </c>
      <c r="AG227">
        <v>0</v>
      </c>
      <c r="AH227">
        <v>0</v>
      </c>
      <c r="AI227" t="s">
        <v>430</v>
      </c>
    </row>
    <row r="228" spans="1:35" x14ac:dyDescent="0.2">
      <c r="A228">
        <v>44</v>
      </c>
      <c r="B228" t="s">
        <v>335</v>
      </c>
      <c r="C228" t="s">
        <v>298</v>
      </c>
      <c r="D228" t="s">
        <v>5</v>
      </c>
      <c r="E228">
        <v>1</v>
      </c>
      <c r="F228">
        <v>11.066666666667</v>
      </c>
      <c r="G228">
        <v>0</v>
      </c>
      <c r="H228">
        <v>1</v>
      </c>
      <c r="I228">
        <v>0</v>
      </c>
      <c r="J228">
        <v>1</v>
      </c>
      <c r="K228">
        <v>1</v>
      </c>
      <c r="L228">
        <v>100</v>
      </c>
      <c r="M228">
        <v>0</v>
      </c>
      <c r="N228" t="s">
        <v>430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1</v>
      </c>
      <c r="AC228">
        <v>0</v>
      </c>
      <c r="AD228">
        <v>2</v>
      </c>
      <c r="AE228">
        <v>2</v>
      </c>
      <c r="AF228">
        <v>0</v>
      </c>
      <c r="AG228">
        <v>0</v>
      </c>
      <c r="AH228">
        <v>0</v>
      </c>
      <c r="AI228" t="s">
        <v>430</v>
      </c>
    </row>
    <row r="229" spans="1:35" x14ac:dyDescent="0.2">
      <c r="A229">
        <v>26</v>
      </c>
      <c r="B229" t="s">
        <v>257</v>
      </c>
      <c r="C229" t="s">
        <v>298</v>
      </c>
      <c r="D229" t="s">
        <v>10</v>
      </c>
      <c r="E229">
        <v>1</v>
      </c>
      <c r="F229">
        <v>16.633333333332999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0.02</v>
      </c>
      <c r="P229">
        <v>2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1</v>
      </c>
      <c r="AF229">
        <v>3</v>
      </c>
      <c r="AG229">
        <v>0</v>
      </c>
      <c r="AH229">
        <v>0</v>
      </c>
      <c r="AI229" t="s">
        <v>430</v>
      </c>
    </row>
    <row r="230" spans="1:35" x14ac:dyDescent="0.2">
      <c r="A230">
        <v>223</v>
      </c>
      <c r="B230" t="s">
        <v>81</v>
      </c>
      <c r="C230" t="s">
        <v>298</v>
      </c>
      <c r="D230" t="s">
        <v>5</v>
      </c>
      <c r="E230">
        <v>1</v>
      </c>
      <c r="F230">
        <v>16.016666666667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50</v>
      </c>
      <c r="M230">
        <v>3</v>
      </c>
      <c r="N230">
        <v>33.33</v>
      </c>
      <c r="O230">
        <v>0.54</v>
      </c>
      <c r="P230">
        <v>5</v>
      </c>
      <c r="Q230">
        <v>4</v>
      </c>
      <c r="R230">
        <v>3</v>
      </c>
      <c r="S230">
        <v>3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3</v>
      </c>
      <c r="AF230">
        <v>0</v>
      </c>
      <c r="AG230">
        <v>5</v>
      </c>
      <c r="AH230">
        <v>0</v>
      </c>
      <c r="AI230">
        <v>100</v>
      </c>
    </row>
    <row r="231" spans="1:35" x14ac:dyDescent="0.2">
      <c r="A231">
        <v>209</v>
      </c>
      <c r="B231" t="s">
        <v>157</v>
      </c>
      <c r="C231" t="s">
        <v>298</v>
      </c>
      <c r="D231" t="s">
        <v>5</v>
      </c>
      <c r="E231">
        <v>1</v>
      </c>
      <c r="F231">
        <v>18.133333333332999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430</v>
      </c>
      <c r="M231">
        <v>1</v>
      </c>
      <c r="N231">
        <v>0</v>
      </c>
      <c r="O231">
        <v>7.0000000000000007E-2</v>
      </c>
      <c r="P231">
        <v>2</v>
      </c>
      <c r="Q231">
        <v>2</v>
      </c>
      <c r="R231">
        <v>1</v>
      </c>
      <c r="S231">
        <v>0</v>
      </c>
      <c r="T231">
        <v>0</v>
      </c>
      <c r="U231">
        <v>0</v>
      </c>
      <c r="V231">
        <v>2</v>
      </c>
      <c r="W231">
        <v>1</v>
      </c>
      <c r="X231">
        <v>1</v>
      </c>
      <c r="Y231">
        <v>0</v>
      </c>
      <c r="Z231">
        <v>0</v>
      </c>
      <c r="AA231">
        <v>1</v>
      </c>
      <c r="AB231">
        <v>1</v>
      </c>
      <c r="AC231">
        <v>1</v>
      </c>
      <c r="AD231">
        <v>2</v>
      </c>
      <c r="AE231">
        <v>4</v>
      </c>
      <c r="AF231">
        <v>0</v>
      </c>
      <c r="AG231">
        <v>14</v>
      </c>
      <c r="AH231">
        <v>2</v>
      </c>
      <c r="AI231">
        <v>87.5</v>
      </c>
    </row>
    <row r="232" spans="1:35" x14ac:dyDescent="0.2">
      <c r="A232">
        <v>272</v>
      </c>
      <c r="B232" t="s">
        <v>437</v>
      </c>
      <c r="C232" t="s">
        <v>298</v>
      </c>
      <c r="D232" t="s">
        <v>5</v>
      </c>
      <c r="E232">
        <v>1</v>
      </c>
      <c r="F232">
        <v>9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100</v>
      </c>
      <c r="M232">
        <v>3</v>
      </c>
      <c r="N232">
        <v>33.33</v>
      </c>
      <c r="O232">
        <v>0.53</v>
      </c>
      <c r="P232">
        <v>4</v>
      </c>
      <c r="Q232">
        <v>4</v>
      </c>
      <c r="R232">
        <v>3</v>
      </c>
      <c r="S232">
        <v>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2</v>
      </c>
      <c r="AF232">
        <v>0</v>
      </c>
      <c r="AG232">
        <v>0</v>
      </c>
      <c r="AH232">
        <v>2</v>
      </c>
      <c r="AI232">
        <v>0</v>
      </c>
    </row>
    <row r="233" spans="1:35" x14ac:dyDescent="0.2">
      <c r="A233">
        <v>122</v>
      </c>
      <c r="B233" t="s">
        <v>104</v>
      </c>
      <c r="C233" t="s">
        <v>298</v>
      </c>
      <c r="D233" t="s">
        <v>10</v>
      </c>
      <c r="E233">
        <v>1</v>
      </c>
      <c r="F233">
        <v>21.6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0.02</v>
      </c>
      <c r="P233">
        <v>2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2</v>
      </c>
      <c r="AF233">
        <v>2</v>
      </c>
      <c r="AG233">
        <v>0</v>
      </c>
      <c r="AH233">
        <v>0</v>
      </c>
      <c r="AI233" t="s">
        <v>430</v>
      </c>
    </row>
    <row r="234" spans="1:35" x14ac:dyDescent="0.2">
      <c r="A234">
        <v>233</v>
      </c>
      <c r="B234" t="s">
        <v>454</v>
      </c>
      <c r="C234" t="s">
        <v>298</v>
      </c>
      <c r="D234" t="s">
        <v>5</v>
      </c>
      <c r="E234">
        <v>1</v>
      </c>
      <c r="F234">
        <v>20.316666666667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430</v>
      </c>
      <c r="M234">
        <v>3</v>
      </c>
      <c r="N234">
        <v>0</v>
      </c>
      <c r="O234">
        <v>0.22</v>
      </c>
      <c r="P234">
        <v>3</v>
      </c>
      <c r="Q234">
        <v>3</v>
      </c>
      <c r="R234">
        <v>2</v>
      </c>
      <c r="S234">
        <v>0</v>
      </c>
      <c r="T234">
        <v>0</v>
      </c>
      <c r="U234">
        <v>0</v>
      </c>
      <c r="V234">
        <v>2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1</v>
      </c>
      <c r="AF234">
        <v>1</v>
      </c>
      <c r="AG234">
        <v>5</v>
      </c>
      <c r="AH234">
        <v>3</v>
      </c>
      <c r="AI234">
        <v>62.5</v>
      </c>
    </row>
    <row r="235" spans="1:35" x14ac:dyDescent="0.2">
      <c r="A235">
        <v>226</v>
      </c>
      <c r="B235" t="s">
        <v>339</v>
      </c>
      <c r="C235" t="s">
        <v>298</v>
      </c>
      <c r="D235" t="s">
        <v>10</v>
      </c>
      <c r="E235">
        <v>1</v>
      </c>
      <c r="F235">
        <v>16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430</v>
      </c>
      <c r="M235">
        <v>2</v>
      </c>
      <c r="N235">
        <v>0</v>
      </c>
      <c r="O235">
        <v>0.09</v>
      </c>
      <c r="P235">
        <v>4</v>
      </c>
      <c r="Q235">
        <v>2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</v>
      </c>
      <c r="AE235">
        <v>2</v>
      </c>
      <c r="AF235">
        <v>1</v>
      </c>
      <c r="AG235">
        <v>0</v>
      </c>
      <c r="AH235">
        <v>0</v>
      </c>
      <c r="AI235" t="s">
        <v>430</v>
      </c>
    </row>
    <row r="236" spans="1:35" x14ac:dyDescent="0.2">
      <c r="A236">
        <v>87</v>
      </c>
      <c r="B236" t="s">
        <v>147</v>
      </c>
      <c r="C236" t="s">
        <v>302</v>
      </c>
      <c r="D236" t="s">
        <v>294</v>
      </c>
      <c r="E236">
        <v>1</v>
      </c>
      <c r="F236">
        <v>13.716666666667001</v>
      </c>
      <c r="G236">
        <v>2</v>
      </c>
      <c r="H236">
        <v>0</v>
      </c>
      <c r="I236">
        <v>0</v>
      </c>
      <c r="J236">
        <v>0</v>
      </c>
      <c r="K236">
        <v>2</v>
      </c>
      <c r="L236">
        <v>100</v>
      </c>
      <c r="M236">
        <v>3</v>
      </c>
      <c r="N236">
        <v>66.67</v>
      </c>
      <c r="O236">
        <v>0.32</v>
      </c>
      <c r="P236">
        <v>3</v>
      </c>
      <c r="Q236">
        <v>3</v>
      </c>
      <c r="R236">
        <v>3</v>
      </c>
      <c r="S236">
        <v>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430</v>
      </c>
    </row>
    <row r="237" spans="1:35" x14ac:dyDescent="0.2">
      <c r="A237">
        <v>288</v>
      </c>
      <c r="B237" t="s">
        <v>161</v>
      </c>
      <c r="C237" t="s">
        <v>302</v>
      </c>
      <c r="D237" t="s">
        <v>5</v>
      </c>
      <c r="E237">
        <v>1</v>
      </c>
      <c r="F237">
        <v>14.516666666667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430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</v>
      </c>
      <c r="W237">
        <v>1</v>
      </c>
      <c r="X237">
        <v>1</v>
      </c>
      <c r="Y237">
        <v>0</v>
      </c>
      <c r="Z237">
        <v>0</v>
      </c>
      <c r="AA237">
        <v>1</v>
      </c>
      <c r="AB237">
        <v>4</v>
      </c>
      <c r="AC237">
        <v>1</v>
      </c>
      <c r="AD237">
        <v>0</v>
      </c>
      <c r="AE237">
        <v>0</v>
      </c>
      <c r="AF237">
        <v>2</v>
      </c>
      <c r="AG237">
        <v>3</v>
      </c>
      <c r="AH237">
        <v>5</v>
      </c>
      <c r="AI237">
        <v>37.5</v>
      </c>
    </row>
    <row r="238" spans="1:35" x14ac:dyDescent="0.2">
      <c r="A238">
        <v>198</v>
      </c>
      <c r="B238" t="s">
        <v>260</v>
      </c>
      <c r="C238" t="s">
        <v>302</v>
      </c>
      <c r="D238" t="s">
        <v>5</v>
      </c>
      <c r="E238">
        <v>1</v>
      </c>
      <c r="F238">
        <v>13.8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430</v>
      </c>
      <c r="M238">
        <v>1</v>
      </c>
      <c r="N238">
        <v>0</v>
      </c>
      <c r="O238">
        <v>0.08</v>
      </c>
      <c r="P238">
        <v>3</v>
      </c>
      <c r="Q238">
        <v>3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</v>
      </c>
      <c r="AE238">
        <v>3</v>
      </c>
      <c r="AF238">
        <v>0</v>
      </c>
      <c r="AG238">
        <v>3</v>
      </c>
      <c r="AH238">
        <v>1</v>
      </c>
      <c r="AI238">
        <v>75</v>
      </c>
    </row>
    <row r="239" spans="1:35" x14ac:dyDescent="0.2">
      <c r="A239">
        <v>66</v>
      </c>
      <c r="B239" t="s">
        <v>155</v>
      </c>
      <c r="C239" t="s">
        <v>302</v>
      </c>
      <c r="D239" t="s">
        <v>10</v>
      </c>
      <c r="E239">
        <v>1</v>
      </c>
      <c r="F239">
        <v>21.25</v>
      </c>
      <c r="G239">
        <v>0</v>
      </c>
      <c r="H239">
        <v>1</v>
      </c>
      <c r="I239">
        <v>0</v>
      </c>
      <c r="J239">
        <v>1</v>
      </c>
      <c r="K239">
        <v>1</v>
      </c>
      <c r="L239">
        <v>33.33</v>
      </c>
      <c r="M239">
        <v>1</v>
      </c>
      <c r="N239">
        <v>0</v>
      </c>
      <c r="O239">
        <v>0.02</v>
      </c>
      <c r="P239">
        <v>3</v>
      </c>
      <c r="Q239">
        <v>1</v>
      </c>
      <c r="R239">
        <v>2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4</v>
      </c>
      <c r="AF239">
        <v>0</v>
      </c>
      <c r="AG239">
        <v>0</v>
      </c>
      <c r="AH239">
        <v>0</v>
      </c>
      <c r="AI239" t="s">
        <v>430</v>
      </c>
    </row>
    <row r="240" spans="1:35" x14ac:dyDescent="0.2">
      <c r="A240">
        <v>37</v>
      </c>
      <c r="B240" t="s">
        <v>95</v>
      </c>
      <c r="C240" t="s">
        <v>302</v>
      </c>
      <c r="D240" t="s">
        <v>294</v>
      </c>
      <c r="E240">
        <v>1</v>
      </c>
      <c r="F240">
        <v>16.016666666667</v>
      </c>
      <c r="G240">
        <v>0</v>
      </c>
      <c r="H240">
        <v>1</v>
      </c>
      <c r="I240">
        <v>0</v>
      </c>
      <c r="J240">
        <v>1</v>
      </c>
      <c r="K240">
        <v>1</v>
      </c>
      <c r="L240">
        <v>50</v>
      </c>
      <c r="M240">
        <v>2</v>
      </c>
      <c r="N240">
        <v>0</v>
      </c>
      <c r="O240">
        <v>0.19</v>
      </c>
      <c r="P240">
        <v>2</v>
      </c>
      <c r="Q240">
        <v>2</v>
      </c>
      <c r="R240">
        <v>2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1</v>
      </c>
      <c r="AG240">
        <v>0</v>
      </c>
      <c r="AH240">
        <v>0</v>
      </c>
      <c r="AI240" t="s">
        <v>430</v>
      </c>
    </row>
    <row r="241" spans="1:35" x14ac:dyDescent="0.2">
      <c r="A241">
        <v>70</v>
      </c>
      <c r="B241" t="s">
        <v>241</v>
      </c>
      <c r="C241" t="s">
        <v>302</v>
      </c>
      <c r="D241" t="s">
        <v>10</v>
      </c>
      <c r="E241">
        <v>1</v>
      </c>
      <c r="F241">
        <v>19.933333333333</v>
      </c>
      <c r="G241">
        <v>0</v>
      </c>
      <c r="H241">
        <v>1</v>
      </c>
      <c r="I241">
        <v>0</v>
      </c>
      <c r="J241">
        <v>1</v>
      </c>
      <c r="K241">
        <v>1</v>
      </c>
      <c r="L241">
        <v>33.33</v>
      </c>
      <c r="M241">
        <v>1</v>
      </c>
      <c r="N241">
        <v>0</v>
      </c>
      <c r="O241">
        <v>0.03</v>
      </c>
      <c r="P241">
        <v>3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</v>
      </c>
      <c r="AE241">
        <v>2</v>
      </c>
      <c r="AF241">
        <v>0</v>
      </c>
      <c r="AG241">
        <v>0</v>
      </c>
      <c r="AH241">
        <v>0</v>
      </c>
      <c r="AI241" t="s">
        <v>430</v>
      </c>
    </row>
    <row r="242" spans="1:35" x14ac:dyDescent="0.2">
      <c r="A242">
        <v>189</v>
      </c>
      <c r="B242" t="s">
        <v>449</v>
      </c>
      <c r="C242" t="s">
        <v>302</v>
      </c>
      <c r="D242" t="s">
        <v>5</v>
      </c>
      <c r="E242">
        <v>1</v>
      </c>
      <c r="F242">
        <v>15.283333333332999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</v>
      </c>
      <c r="N242">
        <v>0</v>
      </c>
      <c r="O242">
        <v>0.26</v>
      </c>
      <c r="P242">
        <v>5</v>
      </c>
      <c r="Q242">
        <v>4</v>
      </c>
      <c r="R242">
        <v>4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</v>
      </c>
      <c r="AE242">
        <v>1</v>
      </c>
      <c r="AF242">
        <v>1</v>
      </c>
      <c r="AG242">
        <v>0</v>
      </c>
      <c r="AH242">
        <v>0</v>
      </c>
      <c r="AI242" t="s">
        <v>430</v>
      </c>
    </row>
    <row r="243" spans="1:35" x14ac:dyDescent="0.2">
      <c r="A243">
        <v>243</v>
      </c>
      <c r="B243" t="s">
        <v>69</v>
      </c>
      <c r="C243" t="s">
        <v>302</v>
      </c>
      <c r="D243" t="s">
        <v>294</v>
      </c>
      <c r="E243">
        <v>1</v>
      </c>
      <c r="F243">
        <v>12.066666666667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100</v>
      </c>
      <c r="M243">
        <v>1</v>
      </c>
      <c r="N243">
        <v>100</v>
      </c>
      <c r="O243">
        <v>0.13</v>
      </c>
      <c r="P243">
        <v>3</v>
      </c>
      <c r="Q243">
        <v>3</v>
      </c>
      <c r="R243">
        <v>3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>
        <v>0</v>
      </c>
      <c r="AG243">
        <v>0</v>
      </c>
      <c r="AH243">
        <v>0</v>
      </c>
      <c r="AI243" t="s">
        <v>430</v>
      </c>
    </row>
    <row r="244" spans="1:35" x14ac:dyDescent="0.2">
      <c r="A244">
        <v>14</v>
      </c>
      <c r="B244" t="s">
        <v>204</v>
      </c>
      <c r="C244" t="s">
        <v>302</v>
      </c>
      <c r="D244" t="s">
        <v>10</v>
      </c>
      <c r="E244">
        <v>1</v>
      </c>
      <c r="F244">
        <v>19.966666666666999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430</v>
      </c>
      <c r="O244">
        <v>0.02</v>
      </c>
      <c r="P244">
        <v>2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430</v>
      </c>
    </row>
    <row r="245" spans="1:35" x14ac:dyDescent="0.2">
      <c r="A245">
        <v>1</v>
      </c>
      <c r="B245" t="s">
        <v>72</v>
      </c>
      <c r="C245" t="s">
        <v>302</v>
      </c>
      <c r="D245" t="s">
        <v>5</v>
      </c>
      <c r="E245">
        <v>1</v>
      </c>
      <c r="F245">
        <v>19.033333333333001</v>
      </c>
      <c r="G245">
        <v>1</v>
      </c>
      <c r="H245">
        <v>1</v>
      </c>
      <c r="I245">
        <v>1</v>
      </c>
      <c r="J245">
        <v>0</v>
      </c>
      <c r="K245">
        <v>2</v>
      </c>
      <c r="L245">
        <v>66.67</v>
      </c>
      <c r="M245">
        <v>1</v>
      </c>
      <c r="N245">
        <v>100</v>
      </c>
      <c r="O245">
        <v>0.39</v>
      </c>
      <c r="P245">
        <v>4</v>
      </c>
      <c r="Q245">
        <v>4</v>
      </c>
      <c r="R245">
        <v>2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430</v>
      </c>
    </row>
    <row r="246" spans="1:35" x14ac:dyDescent="0.2">
      <c r="A246">
        <v>190</v>
      </c>
      <c r="B246" t="s">
        <v>223</v>
      </c>
      <c r="C246" t="s">
        <v>302</v>
      </c>
      <c r="D246" t="s">
        <v>10</v>
      </c>
      <c r="E246">
        <v>1</v>
      </c>
      <c r="F246">
        <v>18.983333333333</v>
      </c>
      <c r="G246">
        <v>0</v>
      </c>
      <c r="H246">
        <v>2</v>
      </c>
      <c r="I246">
        <v>0</v>
      </c>
      <c r="J246">
        <v>2</v>
      </c>
      <c r="K246">
        <v>2</v>
      </c>
      <c r="L246">
        <v>100</v>
      </c>
      <c r="M246">
        <v>0</v>
      </c>
      <c r="N246" t="s">
        <v>430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2</v>
      </c>
      <c r="AE246">
        <v>2</v>
      </c>
      <c r="AF246">
        <v>2</v>
      </c>
      <c r="AG246">
        <v>0</v>
      </c>
      <c r="AH246">
        <v>0</v>
      </c>
      <c r="AI246" t="s">
        <v>430</v>
      </c>
    </row>
    <row r="247" spans="1:35" x14ac:dyDescent="0.2">
      <c r="A247">
        <v>148</v>
      </c>
      <c r="B247" t="s">
        <v>119</v>
      </c>
      <c r="C247" t="s">
        <v>302</v>
      </c>
      <c r="D247" t="s">
        <v>294</v>
      </c>
      <c r="E247">
        <v>1</v>
      </c>
      <c r="F247">
        <v>13.116666666666999</v>
      </c>
      <c r="G247">
        <v>0</v>
      </c>
      <c r="H247">
        <v>2</v>
      </c>
      <c r="I247">
        <v>2</v>
      </c>
      <c r="J247">
        <v>0</v>
      </c>
      <c r="K247">
        <v>2</v>
      </c>
      <c r="L247">
        <v>100</v>
      </c>
      <c r="M247">
        <v>1</v>
      </c>
      <c r="N247">
        <v>0</v>
      </c>
      <c r="O247">
        <v>0.19</v>
      </c>
      <c r="P247">
        <v>4</v>
      </c>
      <c r="Q247">
        <v>3</v>
      </c>
      <c r="R247">
        <v>3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</v>
      </c>
      <c r="AC247">
        <v>0</v>
      </c>
      <c r="AD247">
        <v>0</v>
      </c>
      <c r="AE247">
        <v>3</v>
      </c>
      <c r="AF247">
        <v>0</v>
      </c>
      <c r="AG247">
        <v>0</v>
      </c>
      <c r="AH247">
        <v>0</v>
      </c>
      <c r="AI247" t="s">
        <v>430</v>
      </c>
    </row>
    <row r="248" spans="1:35" x14ac:dyDescent="0.2">
      <c r="A248">
        <v>128</v>
      </c>
      <c r="B248" t="s">
        <v>247</v>
      </c>
      <c r="C248" t="s">
        <v>302</v>
      </c>
      <c r="D248" t="s">
        <v>5</v>
      </c>
      <c r="E248">
        <v>1</v>
      </c>
      <c r="F248">
        <v>14.116666666666999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430</v>
      </c>
      <c r="M248">
        <v>1</v>
      </c>
      <c r="N248">
        <v>0</v>
      </c>
      <c r="O248">
        <v>0.14000000000000001</v>
      </c>
      <c r="P248">
        <v>2</v>
      </c>
      <c r="Q248">
        <v>2</v>
      </c>
      <c r="R248">
        <v>2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3</v>
      </c>
      <c r="AH248">
        <v>7</v>
      </c>
      <c r="AI248">
        <v>30</v>
      </c>
    </row>
    <row r="249" spans="1:35" x14ac:dyDescent="0.2">
      <c r="A249">
        <v>118</v>
      </c>
      <c r="B249" t="s">
        <v>197</v>
      </c>
      <c r="C249" t="s">
        <v>302</v>
      </c>
      <c r="D249" t="s">
        <v>10</v>
      </c>
      <c r="E249">
        <v>1</v>
      </c>
      <c r="F249">
        <v>19.216666666666999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430</v>
      </c>
      <c r="M249">
        <v>0</v>
      </c>
      <c r="N249" t="s">
        <v>430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3</v>
      </c>
      <c r="AC249">
        <v>0</v>
      </c>
      <c r="AD249">
        <v>1</v>
      </c>
      <c r="AE249">
        <v>0</v>
      </c>
      <c r="AF249">
        <v>2</v>
      </c>
      <c r="AG249">
        <v>0</v>
      </c>
      <c r="AH249">
        <v>0</v>
      </c>
      <c r="AI249" t="s">
        <v>430</v>
      </c>
    </row>
    <row r="250" spans="1:35" x14ac:dyDescent="0.2">
      <c r="A250">
        <v>51</v>
      </c>
      <c r="B250" t="s">
        <v>60</v>
      </c>
      <c r="C250" t="s">
        <v>302</v>
      </c>
      <c r="D250" t="s">
        <v>294</v>
      </c>
      <c r="E250">
        <v>1</v>
      </c>
      <c r="F250">
        <v>16.216666666666999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50</v>
      </c>
      <c r="M250">
        <v>3</v>
      </c>
      <c r="N250">
        <v>33.33</v>
      </c>
      <c r="O250">
        <v>0.37</v>
      </c>
      <c r="P250">
        <v>5</v>
      </c>
      <c r="Q250">
        <v>5</v>
      </c>
      <c r="R250">
        <v>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2</v>
      </c>
      <c r="AE250">
        <v>0</v>
      </c>
      <c r="AF250">
        <v>0</v>
      </c>
      <c r="AG250">
        <v>0</v>
      </c>
      <c r="AH250">
        <v>0</v>
      </c>
      <c r="AI250" t="s">
        <v>430</v>
      </c>
    </row>
    <row r="251" spans="1:35" x14ac:dyDescent="0.2">
      <c r="A251">
        <v>130</v>
      </c>
      <c r="B251" t="s">
        <v>44</v>
      </c>
      <c r="C251" t="s">
        <v>302</v>
      </c>
      <c r="D251" t="s">
        <v>10</v>
      </c>
      <c r="E251">
        <v>1</v>
      </c>
      <c r="F251">
        <v>18.316666666667</v>
      </c>
      <c r="G251">
        <v>0</v>
      </c>
      <c r="H251">
        <v>1</v>
      </c>
      <c r="I251">
        <v>1</v>
      </c>
      <c r="J251">
        <v>0</v>
      </c>
      <c r="K251">
        <v>1</v>
      </c>
      <c r="L251">
        <v>33.33</v>
      </c>
      <c r="M251">
        <v>1</v>
      </c>
      <c r="N251">
        <v>0</v>
      </c>
      <c r="O251">
        <v>0.05</v>
      </c>
      <c r="P251">
        <v>2</v>
      </c>
      <c r="Q251">
        <v>2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2</v>
      </c>
      <c r="AF251">
        <v>1</v>
      </c>
      <c r="AG251">
        <v>0</v>
      </c>
      <c r="AH251">
        <v>0</v>
      </c>
      <c r="AI251" t="s">
        <v>430</v>
      </c>
    </row>
    <row r="252" spans="1:35" x14ac:dyDescent="0.2">
      <c r="A252">
        <v>2</v>
      </c>
      <c r="B252" t="s">
        <v>85</v>
      </c>
      <c r="C252" t="s">
        <v>302</v>
      </c>
      <c r="D252" t="s">
        <v>5</v>
      </c>
      <c r="E252">
        <v>1</v>
      </c>
      <c r="F252">
        <v>17.05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50</v>
      </c>
      <c r="M252">
        <v>2</v>
      </c>
      <c r="N252">
        <v>50</v>
      </c>
      <c r="O252">
        <v>0.18</v>
      </c>
      <c r="P252">
        <v>4</v>
      </c>
      <c r="Q252">
        <v>3</v>
      </c>
      <c r="R252">
        <v>3</v>
      </c>
      <c r="S252">
        <v>1</v>
      </c>
      <c r="T252">
        <v>0</v>
      </c>
      <c r="U252">
        <v>0</v>
      </c>
      <c r="V252">
        <v>2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10</v>
      </c>
      <c r="AH252">
        <v>10</v>
      </c>
      <c r="AI252">
        <v>50</v>
      </c>
    </row>
    <row r="253" spans="1:35" x14ac:dyDescent="0.2">
      <c r="A253">
        <v>116</v>
      </c>
      <c r="B253" t="s">
        <v>121</v>
      </c>
      <c r="C253" t="s">
        <v>302</v>
      </c>
      <c r="D253" t="s">
        <v>5</v>
      </c>
      <c r="E253">
        <v>1</v>
      </c>
      <c r="F253">
        <v>13.966666666667001</v>
      </c>
      <c r="G253">
        <v>0</v>
      </c>
      <c r="H253">
        <v>1</v>
      </c>
      <c r="I253">
        <v>1</v>
      </c>
      <c r="J253">
        <v>0</v>
      </c>
      <c r="K253">
        <v>1</v>
      </c>
      <c r="L253">
        <v>50</v>
      </c>
      <c r="M253">
        <v>2</v>
      </c>
      <c r="N253">
        <v>0</v>
      </c>
      <c r="O253">
        <v>0.18</v>
      </c>
      <c r="P253">
        <v>4</v>
      </c>
      <c r="Q253">
        <v>3</v>
      </c>
      <c r="R253">
        <v>2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4</v>
      </c>
      <c r="AH253">
        <v>5</v>
      </c>
      <c r="AI253">
        <v>44.44</v>
      </c>
    </row>
    <row r="254" spans="1:35" x14ac:dyDescent="0.2">
      <c r="A254">
        <v>235</v>
      </c>
      <c r="B254" t="s">
        <v>276</v>
      </c>
      <c r="C254" t="s">
        <v>297</v>
      </c>
      <c r="D254" t="s">
        <v>294</v>
      </c>
      <c r="E254">
        <v>1</v>
      </c>
      <c r="F254">
        <v>10.283333333332999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430</v>
      </c>
      <c r="M254">
        <v>1</v>
      </c>
      <c r="N254">
        <v>0</v>
      </c>
      <c r="O254">
        <v>0.01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2</v>
      </c>
      <c r="AE254">
        <v>3</v>
      </c>
      <c r="AF254">
        <v>2</v>
      </c>
      <c r="AG254">
        <v>0</v>
      </c>
      <c r="AH254">
        <v>0</v>
      </c>
      <c r="AI254" t="s">
        <v>430</v>
      </c>
    </row>
    <row r="255" spans="1:35" x14ac:dyDescent="0.2">
      <c r="A255">
        <v>69</v>
      </c>
      <c r="B255" t="s">
        <v>270</v>
      </c>
      <c r="C255" t="s">
        <v>297</v>
      </c>
      <c r="D255" t="s">
        <v>10</v>
      </c>
      <c r="E255">
        <v>1</v>
      </c>
      <c r="F255">
        <v>10.85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430</v>
      </c>
      <c r="M255">
        <v>0</v>
      </c>
      <c r="N255" t="s">
        <v>430</v>
      </c>
      <c r="O255">
        <v>0</v>
      </c>
      <c r="P255">
        <v>2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3</v>
      </c>
      <c r="AF255">
        <v>0</v>
      </c>
      <c r="AG255">
        <v>0</v>
      </c>
      <c r="AH255">
        <v>0</v>
      </c>
      <c r="AI255" t="s">
        <v>430</v>
      </c>
    </row>
    <row r="256" spans="1:35" x14ac:dyDescent="0.2">
      <c r="A256">
        <v>274</v>
      </c>
      <c r="B256" t="s">
        <v>196</v>
      </c>
      <c r="C256" t="s">
        <v>297</v>
      </c>
      <c r="D256" t="s">
        <v>294</v>
      </c>
      <c r="E256">
        <v>1</v>
      </c>
      <c r="F256">
        <v>13.616666666666999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430</v>
      </c>
      <c r="M256">
        <v>0</v>
      </c>
      <c r="N256" t="s">
        <v>430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1</v>
      </c>
      <c r="AE256">
        <v>0</v>
      </c>
      <c r="AF256">
        <v>1</v>
      </c>
      <c r="AG256">
        <v>0</v>
      </c>
      <c r="AH256">
        <v>0</v>
      </c>
      <c r="AI256" t="s">
        <v>430</v>
      </c>
    </row>
    <row r="257" spans="1:35" x14ac:dyDescent="0.2">
      <c r="A257">
        <v>193</v>
      </c>
      <c r="B257" t="s">
        <v>275</v>
      </c>
      <c r="C257" t="s">
        <v>297</v>
      </c>
      <c r="D257" t="s">
        <v>292</v>
      </c>
      <c r="E257">
        <v>1</v>
      </c>
      <c r="F257">
        <v>9.6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430</v>
      </c>
      <c r="M257">
        <v>2</v>
      </c>
      <c r="N257">
        <v>0</v>
      </c>
      <c r="O257">
        <v>0.15</v>
      </c>
      <c r="P257">
        <v>2</v>
      </c>
      <c r="Q257">
        <v>2</v>
      </c>
      <c r="R257">
        <v>2</v>
      </c>
      <c r="S257">
        <v>1</v>
      </c>
      <c r="T257">
        <v>0</v>
      </c>
      <c r="U257">
        <v>0</v>
      </c>
      <c r="V257">
        <v>2</v>
      </c>
      <c r="W257">
        <v>1</v>
      </c>
      <c r="X257">
        <v>1</v>
      </c>
      <c r="Y257">
        <v>0</v>
      </c>
      <c r="Z257">
        <v>0</v>
      </c>
      <c r="AA257">
        <v>1</v>
      </c>
      <c r="AB257">
        <v>1</v>
      </c>
      <c r="AC257">
        <v>0</v>
      </c>
      <c r="AD257">
        <v>1</v>
      </c>
      <c r="AE257">
        <v>0</v>
      </c>
      <c r="AF257">
        <v>0</v>
      </c>
      <c r="AG257">
        <v>1</v>
      </c>
      <c r="AH257">
        <v>0</v>
      </c>
      <c r="AI257">
        <v>100</v>
      </c>
    </row>
    <row r="258" spans="1:35" x14ac:dyDescent="0.2">
      <c r="A258">
        <v>149</v>
      </c>
      <c r="B258" t="s">
        <v>217</v>
      </c>
      <c r="C258" t="s">
        <v>297</v>
      </c>
      <c r="D258" t="s">
        <v>10</v>
      </c>
      <c r="E258">
        <v>1</v>
      </c>
      <c r="F258">
        <v>13.95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430</v>
      </c>
      <c r="M258">
        <v>1</v>
      </c>
      <c r="N258">
        <v>0</v>
      </c>
      <c r="O258">
        <v>7.0000000000000007E-2</v>
      </c>
      <c r="P258">
        <v>3</v>
      </c>
      <c r="Q258">
        <v>2</v>
      </c>
      <c r="R258">
        <v>1</v>
      </c>
      <c r="S258">
        <v>0</v>
      </c>
      <c r="T258">
        <v>0</v>
      </c>
      <c r="U258">
        <v>0</v>
      </c>
      <c r="V258">
        <v>2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4</v>
      </c>
      <c r="AE258">
        <v>2</v>
      </c>
      <c r="AF258">
        <v>1</v>
      </c>
      <c r="AG258">
        <v>0</v>
      </c>
      <c r="AH258">
        <v>0</v>
      </c>
      <c r="AI258" t="s">
        <v>430</v>
      </c>
    </row>
    <row r="259" spans="1:35" x14ac:dyDescent="0.2">
      <c r="A259">
        <v>96</v>
      </c>
      <c r="B259" t="s">
        <v>100</v>
      </c>
      <c r="C259" t="s">
        <v>297</v>
      </c>
      <c r="D259" t="s">
        <v>292</v>
      </c>
      <c r="E259">
        <v>1</v>
      </c>
      <c r="F259">
        <v>15.416666666667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</v>
      </c>
      <c r="N259">
        <v>0</v>
      </c>
      <c r="O259">
        <v>0.28999999999999998</v>
      </c>
      <c r="P259">
        <v>3</v>
      </c>
      <c r="Q259">
        <v>2</v>
      </c>
      <c r="R259">
        <v>2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</v>
      </c>
      <c r="AE259">
        <v>1</v>
      </c>
      <c r="AF259">
        <v>0</v>
      </c>
      <c r="AG259">
        <v>0</v>
      </c>
      <c r="AH259">
        <v>0</v>
      </c>
      <c r="AI259" t="s">
        <v>430</v>
      </c>
    </row>
    <row r="260" spans="1:35" x14ac:dyDescent="0.2">
      <c r="A260">
        <v>111</v>
      </c>
      <c r="B260" t="s">
        <v>40</v>
      </c>
      <c r="C260" t="s">
        <v>297</v>
      </c>
      <c r="D260" t="s">
        <v>5</v>
      </c>
      <c r="E260">
        <v>1</v>
      </c>
      <c r="F260">
        <v>22.633333333332999</v>
      </c>
      <c r="G260">
        <v>1</v>
      </c>
      <c r="H260">
        <v>1</v>
      </c>
      <c r="I260">
        <v>0</v>
      </c>
      <c r="J260">
        <v>1</v>
      </c>
      <c r="K260">
        <v>2</v>
      </c>
      <c r="L260">
        <v>66.67</v>
      </c>
      <c r="M260">
        <v>4</v>
      </c>
      <c r="N260">
        <v>25</v>
      </c>
      <c r="O260">
        <v>0.71</v>
      </c>
      <c r="P260">
        <v>10</v>
      </c>
      <c r="Q260">
        <v>7</v>
      </c>
      <c r="R260">
        <v>4</v>
      </c>
      <c r="S260">
        <v>2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2</v>
      </c>
      <c r="AF260">
        <v>0</v>
      </c>
      <c r="AG260">
        <v>12</v>
      </c>
      <c r="AH260">
        <v>2</v>
      </c>
      <c r="AI260">
        <v>85.71</v>
      </c>
    </row>
    <row r="261" spans="1:35" x14ac:dyDescent="0.2">
      <c r="A261">
        <v>121</v>
      </c>
      <c r="B261" t="s">
        <v>203</v>
      </c>
      <c r="C261" t="s">
        <v>297</v>
      </c>
      <c r="D261" t="s">
        <v>10</v>
      </c>
      <c r="E261">
        <v>1</v>
      </c>
      <c r="F261">
        <v>16.166666666666998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430</v>
      </c>
      <c r="M261">
        <v>0</v>
      </c>
      <c r="N261" t="s">
        <v>430</v>
      </c>
      <c r="O261">
        <v>0.01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5</v>
      </c>
      <c r="W261">
        <v>1</v>
      </c>
      <c r="X261">
        <v>0</v>
      </c>
      <c r="Y261">
        <v>1</v>
      </c>
      <c r="Z261">
        <v>0</v>
      </c>
      <c r="AA261">
        <v>2</v>
      </c>
      <c r="AB261">
        <v>1</v>
      </c>
      <c r="AC261">
        <v>0</v>
      </c>
      <c r="AD261">
        <v>4</v>
      </c>
      <c r="AE261">
        <v>0</v>
      </c>
      <c r="AF261">
        <v>0</v>
      </c>
      <c r="AG261">
        <v>0</v>
      </c>
      <c r="AH261">
        <v>0</v>
      </c>
      <c r="AI261" t="s">
        <v>430</v>
      </c>
    </row>
    <row r="262" spans="1:35" x14ac:dyDescent="0.2">
      <c r="A262">
        <v>202</v>
      </c>
      <c r="B262" t="s">
        <v>208</v>
      </c>
      <c r="C262" t="s">
        <v>297</v>
      </c>
      <c r="D262" t="s">
        <v>10</v>
      </c>
      <c r="E262">
        <v>1</v>
      </c>
      <c r="F262">
        <v>16.883333333332999</v>
      </c>
      <c r="G262">
        <v>0</v>
      </c>
      <c r="H262">
        <v>1</v>
      </c>
      <c r="I262">
        <v>0</v>
      </c>
      <c r="J262">
        <v>1</v>
      </c>
      <c r="K262">
        <v>1</v>
      </c>
      <c r="L262">
        <v>100</v>
      </c>
      <c r="M262">
        <v>3</v>
      </c>
      <c r="N262">
        <v>0</v>
      </c>
      <c r="O262">
        <v>0.02</v>
      </c>
      <c r="P262">
        <v>6</v>
      </c>
      <c r="Q262">
        <v>3</v>
      </c>
      <c r="R262">
        <v>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3</v>
      </c>
      <c r="AE262">
        <v>3</v>
      </c>
      <c r="AF262">
        <v>0</v>
      </c>
      <c r="AG262">
        <v>0</v>
      </c>
      <c r="AH262">
        <v>0</v>
      </c>
      <c r="AI262" t="s">
        <v>430</v>
      </c>
    </row>
    <row r="263" spans="1:35" x14ac:dyDescent="0.2">
      <c r="A263">
        <v>115</v>
      </c>
      <c r="B263" t="s">
        <v>218</v>
      </c>
      <c r="C263" t="s">
        <v>297</v>
      </c>
      <c r="D263" t="s">
        <v>294</v>
      </c>
      <c r="E263">
        <v>1</v>
      </c>
      <c r="F263">
        <v>10.916666666667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430</v>
      </c>
      <c r="M263">
        <v>0</v>
      </c>
      <c r="N263" t="s">
        <v>430</v>
      </c>
      <c r="O263">
        <v>0.06</v>
      </c>
      <c r="P263">
        <v>2</v>
      </c>
      <c r="Q263">
        <v>1</v>
      </c>
      <c r="R263">
        <v>2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2</v>
      </c>
      <c r="AC263">
        <v>0</v>
      </c>
      <c r="AD263">
        <v>2</v>
      </c>
      <c r="AE263">
        <v>1</v>
      </c>
      <c r="AF263">
        <v>0</v>
      </c>
      <c r="AG263">
        <v>0</v>
      </c>
      <c r="AH263">
        <v>0</v>
      </c>
      <c r="AI263" t="s">
        <v>430</v>
      </c>
    </row>
    <row r="264" spans="1:35" x14ac:dyDescent="0.2">
      <c r="A264">
        <v>39</v>
      </c>
      <c r="B264" t="s">
        <v>50</v>
      </c>
      <c r="C264" t="s">
        <v>297</v>
      </c>
      <c r="D264" t="s">
        <v>294</v>
      </c>
      <c r="E264">
        <v>1</v>
      </c>
      <c r="F264">
        <v>20.833333333333002</v>
      </c>
      <c r="G264">
        <v>0</v>
      </c>
      <c r="H264">
        <v>1</v>
      </c>
      <c r="I264">
        <v>1</v>
      </c>
      <c r="J264">
        <v>0</v>
      </c>
      <c r="K264">
        <v>1</v>
      </c>
      <c r="L264">
        <v>33.33</v>
      </c>
      <c r="M264">
        <v>0</v>
      </c>
      <c r="N264" t="s">
        <v>430</v>
      </c>
      <c r="O264">
        <v>0.17</v>
      </c>
      <c r="P264">
        <v>2</v>
      </c>
      <c r="Q264">
        <v>2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1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 t="s">
        <v>430</v>
      </c>
    </row>
    <row r="265" spans="1:35" x14ac:dyDescent="0.2">
      <c r="A265">
        <v>123</v>
      </c>
      <c r="B265" t="s">
        <v>63</v>
      </c>
      <c r="C265" t="s">
        <v>297</v>
      </c>
      <c r="D265" t="s">
        <v>294</v>
      </c>
      <c r="E265">
        <v>1</v>
      </c>
      <c r="F265">
        <v>21.85</v>
      </c>
      <c r="G265">
        <v>0</v>
      </c>
      <c r="H265">
        <v>1</v>
      </c>
      <c r="I265">
        <v>0</v>
      </c>
      <c r="J265">
        <v>1</v>
      </c>
      <c r="K265">
        <v>1</v>
      </c>
      <c r="L265">
        <v>100</v>
      </c>
      <c r="M265">
        <v>2</v>
      </c>
      <c r="N265">
        <v>0</v>
      </c>
      <c r="O265">
        <v>0.16</v>
      </c>
      <c r="P265">
        <v>7</v>
      </c>
      <c r="Q265">
        <v>4</v>
      </c>
      <c r="R265">
        <v>2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2</v>
      </c>
      <c r="AC265">
        <v>0</v>
      </c>
      <c r="AD265">
        <v>0</v>
      </c>
      <c r="AE265">
        <v>0</v>
      </c>
      <c r="AF265">
        <v>1</v>
      </c>
      <c r="AG265">
        <v>2</v>
      </c>
      <c r="AH265">
        <v>6</v>
      </c>
      <c r="AI265">
        <v>25</v>
      </c>
    </row>
    <row r="266" spans="1:35" x14ac:dyDescent="0.2">
      <c r="A266">
        <v>107</v>
      </c>
      <c r="B266" t="s">
        <v>184</v>
      </c>
      <c r="C266" t="s">
        <v>297</v>
      </c>
      <c r="D266" t="s">
        <v>10</v>
      </c>
      <c r="E266">
        <v>1</v>
      </c>
      <c r="F266">
        <v>23.233333333333</v>
      </c>
      <c r="G266">
        <v>0</v>
      </c>
      <c r="H266">
        <v>1</v>
      </c>
      <c r="I266">
        <v>1</v>
      </c>
      <c r="J266">
        <v>0</v>
      </c>
      <c r="K266">
        <v>1</v>
      </c>
      <c r="L266">
        <v>100</v>
      </c>
      <c r="M266">
        <v>2</v>
      </c>
      <c r="N266">
        <v>0</v>
      </c>
      <c r="O266">
        <v>0.05</v>
      </c>
      <c r="P266">
        <v>4</v>
      </c>
      <c r="Q266">
        <v>2</v>
      </c>
      <c r="R266">
        <v>3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0</v>
      </c>
      <c r="AF266">
        <v>1</v>
      </c>
      <c r="AG266">
        <v>0</v>
      </c>
      <c r="AH266">
        <v>0</v>
      </c>
      <c r="AI266" t="s">
        <v>430</v>
      </c>
    </row>
    <row r="267" spans="1:35" x14ac:dyDescent="0.2">
      <c r="A267">
        <v>211</v>
      </c>
      <c r="B267" t="s">
        <v>57</v>
      </c>
      <c r="C267" t="s">
        <v>297</v>
      </c>
      <c r="D267" t="s">
        <v>294</v>
      </c>
      <c r="E267">
        <v>1</v>
      </c>
      <c r="F267">
        <v>20.066666666667</v>
      </c>
      <c r="G267">
        <v>1</v>
      </c>
      <c r="H267">
        <v>0</v>
      </c>
      <c r="I267">
        <v>0</v>
      </c>
      <c r="J267">
        <v>0</v>
      </c>
      <c r="K267">
        <v>1</v>
      </c>
      <c r="L267">
        <v>50</v>
      </c>
      <c r="M267">
        <v>4</v>
      </c>
      <c r="N267">
        <v>25</v>
      </c>
      <c r="O267">
        <v>1.19</v>
      </c>
      <c r="P267">
        <v>6</v>
      </c>
      <c r="Q267">
        <v>5</v>
      </c>
      <c r="R267">
        <v>5</v>
      </c>
      <c r="S267">
        <v>4</v>
      </c>
      <c r="T267">
        <v>0</v>
      </c>
      <c r="U267">
        <v>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 t="s">
        <v>430</v>
      </c>
    </row>
    <row r="268" spans="1:35" x14ac:dyDescent="0.2">
      <c r="A268">
        <v>21</v>
      </c>
      <c r="B268" t="s">
        <v>176</v>
      </c>
      <c r="C268" t="s">
        <v>297</v>
      </c>
      <c r="D268" t="s">
        <v>294</v>
      </c>
      <c r="E268">
        <v>1</v>
      </c>
      <c r="F268">
        <v>12.616666666666999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430</v>
      </c>
      <c r="M268">
        <v>0</v>
      </c>
      <c r="N268" t="s">
        <v>430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</v>
      </c>
      <c r="AE268">
        <v>0</v>
      </c>
      <c r="AF268">
        <v>0</v>
      </c>
      <c r="AG268">
        <v>0</v>
      </c>
      <c r="AH268">
        <v>0</v>
      </c>
      <c r="AI268" t="s">
        <v>430</v>
      </c>
    </row>
    <row r="269" spans="1:35" x14ac:dyDescent="0.2">
      <c r="A269">
        <v>76</v>
      </c>
      <c r="B269" t="s">
        <v>141</v>
      </c>
      <c r="C269" t="s">
        <v>297</v>
      </c>
      <c r="D269" t="s">
        <v>10</v>
      </c>
      <c r="E269">
        <v>1</v>
      </c>
      <c r="F269">
        <v>25.8</v>
      </c>
      <c r="G269">
        <v>0</v>
      </c>
      <c r="H269">
        <v>1</v>
      </c>
      <c r="I269">
        <v>1</v>
      </c>
      <c r="J269">
        <v>0</v>
      </c>
      <c r="K269">
        <v>1</v>
      </c>
      <c r="L269">
        <v>50</v>
      </c>
      <c r="M269">
        <v>1</v>
      </c>
      <c r="N269">
        <v>0</v>
      </c>
      <c r="O269">
        <v>0.01</v>
      </c>
      <c r="P269">
        <v>4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1</v>
      </c>
      <c r="AD269">
        <v>0</v>
      </c>
      <c r="AE269">
        <v>2</v>
      </c>
      <c r="AF269">
        <v>4</v>
      </c>
      <c r="AG269">
        <v>0</v>
      </c>
      <c r="AH269">
        <v>0</v>
      </c>
      <c r="AI269" t="s">
        <v>430</v>
      </c>
    </row>
    <row r="270" spans="1:35" x14ac:dyDescent="0.2">
      <c r="A270">
        <v>147</v>
      </c>
      <c r="B270" t="s">
        <v>252</v>
      </c>
      <c r="C270" t="s">
        <v>297</v>
      </c>
      <c r="D270" t="s">
        <v>5</v>
      </c>
      <c r="E270">
        <v>1</v>
      </c>
      <c r="F270">
        <v>13.316666666667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430</v>
      </c>
      <c r="M270">
        <v>2</v>
      </c>
      <c r="N270">
        <v>0</v>
      </c>
      <c r="O270">
        <v>0.14000000000000001</v>
      </c>
      <c r="P270">
        <v>2</v>
      </c>
      <c r="Q270">
        <v>2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0</v>
      </c>
      <c r="AD270">
        <v>0</v>
      </c>
      <c r="AE270">
        <v>1</v>
      </c>
      <c r="AF270">
        <v>0</v>
      </c>
      <c r="AG270">
        <v>6</v>
      </c>
      <c r="AH270">
        <v>7</v>
      </c>
      <c r="AI270">
        <v>46.15</v>
      </c>
    </row>
    <row r="271" spans="1:35" x14ac:dyDescent="0.2">
      <c r="A271">
        <v>58</v>
      </c>
      <c r="B271" t="s">
        <v>77</v>
      </c>
      <c r="C271" t="s">
        <v>297</v>
      </c>
      <c r="D271" t="s">
        <v>5</v>
      </c>
      <c r="E271">
        <v>1</v>
      </c>
      <c r="F271">
        <v>19.966666666666999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50</v>
      </c>
      <c r="M271">
        <v>9</v>
      </c>
      <c r="N271">
        <v>11.11</v>
      </c>
      <c r="O271">
        <v>1.84</v>
      </c>
      <c r="P271">
        <v>12</v>
      </c>
      <c r="Q271">
        <v>11</v>
      </c>
      <c r="R271">
        <v>12</v>
      </c>
      <c r="S271">
        <v>10</v>
      </c>
      <c r="T271">
        <v>0</v>
      </c>
      <c r="U271">
        <v>3</v>
      </c>
      <c r="V271">
        <v>4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</v>
      </c>
      <c r="AE271">
        <v>1</v>
      </c>
      <c r="AF271">
        <v>2</v>
      </c>
      <c r="AG271">
        <v>15</v>
      </c>
      <c r="AH271">
        <v>11</v>
      </c>
      <c r="AI271">
        <v>57.69</v>
      </c>
    </row>
    <row r="272" spans="1:35" x14ac:dyDescent="0.2">
      <c r="A272">
        <v>43</v>
      </c>
      <c r="B272" t="s">
        <v>221</v>
      </c>
      <c r="C272" t="s">
        <v>296</v>
      </c>
      <c r="D272" t="s">
        <v>5</v>
      </c>
      <c r="E272">
        <v>1</v>
      </c>
      <c r="F272">
        <v>14.45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430</v>
      </c>
      <c r="M272">
        <v>3</v>
      </c>
      <c r="N272">
        <v>0</v>
      </c>
      <c r="O272">
        <v>0.13</v>
      </c>
      <c r="P272">
        <v>3</v>
      </c>
      <c r="Q272">
        <v>3</v>
      </c>
      <c r="R272">
        <v>2</v>
      </c>
      <c r="S272">
        <v>0</v>
      </c>
      <c r="T272">
        <v>0</v>
      </c>
      <c r="U272">
        <v>0</v>
      </c>
      <c r="V272">
        <v>2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12</v>
      </c>
      <c r="AH272">
        <v>7</v>
      </c>
      <c r="AI272">
        <v>63.16</v>
      </c>
    </row>
    <row r="273" spans="1:35" x14ac:dyDescent="0.2">
      <c r="A273">
        <v>161</v>
      </c>
      <c r="B273" t="s">
        <v>117</v>
      </c>
      <c r="C273" t="s">
        <v>296</v>
      </c>
      <c r="D273" t="s">
        <v>292</v>
      </c>
      <c r="E273">
        <v>1</v>
      </c>
      <c r="F273">
        <v>18.233333333333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430</v>
      </c>
      <c r="M273">
        <v>0</v>
      </c>
      <c r="N273" t="s">
        <v>430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</v>
      </c>
      <c r="AE273">
        <v>2</v>
      </c>
      <c r="AF273">
        <v>0</v>
      </c>
      <c r="AG273">
        <v>1</v>
      </c>
      <c r="AH273">
        <v>1</v>
      </c>
      <c r="AI273">
        <v>50</v>
      </c>
    </row>
    <row r="274" spans="1:35" x14ac:dyDescent="0.2">
      <c r="A274">
        <v>191</v>
      </c>
      <c r="B274" t="s">
        <v>346</v>
      </c>
      <c r="C274" t="s">
        <v>296</v>
      </c>
      <c r="D274" t="s">
        <v>292</v>
      </c>
      <c r="E274">
        <v>1</v>
      </c>
      <c r="F274">
        <v>8.1999999999999993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430</v>
      </c>
      <c r="M274">
        <v>0</v>
      </c>
      <c r="N274" t="s">
        <v>430</v>
      </c>
      <c r="O274">
        <v>0.28999999999999998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</v>
      </c>
      <c r="AE274">
        <v>1</v>
      </c>
      <c r="AF274">
        <v>0</v>
      </c>
      <c r="AG274">
        <v>0</v>
      </c>
      <c r="AH274">
        <v>0</v>
      </c>
      <c r="AI274" t="s">
        <v>430</v>
      </c>
    </row>
    <row r="275" spans="1:35" x14ac:dyDescent="0.2">
      <c r="A275">
        <v>238</v>
      </c>
      <c r="B275" t="s">
        <v>163</v>
      </c>
      <c r="C275" t="s">
        <v>296</v>
      </c>
      <c r="D275" t="s">
        <v>5</v>
      </c>
      <c r="E275">
        <v>1</v>
      </c>
      <c r="F275">
        <v>16.083333333333002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100</v>
      </c>
      <c r="M275">
        <v>2</v>
      </c>
      <c r="N275">
        <v>50</v>
      </c>
      <c r="O275">
        <v>0.35</v>
      </c>
      <c r="P275">
        <v>5</v>
      </c>
      <c r="Q275">
        <v>3</v>
      </c>
      <c r="R275">
        <v>3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 t="s">
        <v>430</v>
      </c>
    </row>
    <row r="276" spans="1:35" x14ac:dyDescent="0.2">
      <c r="A276">
        <v>41</v>
      </c>
      <c r="B276" t="s">
        <v>168</v>
      </c>
      <c r="C276" t="s">
        <v>296</v>
      </c>
      <c r="D276" t="s">
        <v>10</v>
      </c>
      <c r="E276">
        <v>1</v>
      </c>
      <c r="F276">
        <v>24.516666666667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430</v>
      </c>
      <c r="M276">
        <v>2</v>
      </c>
      <c r="N276">
        <v>0</v>
      </c>
      <c r="O276">
        <v>0.13</v>
      </c>
      <c r="P276">
        <v>4</v>
      </c>
      <c r="Q276">
        <v>3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1</v>
      </c>
      <c r="AE276">
        <v>4</v>
      </c>
      <c r="AF276">
        <v>0</v>
      </c>
      <c r="AG276">
        <v>0</v>
      </c>
      <c r="AH276">
        <v>0</v>
      </c>
      <c r="AI276" t="s">
        <v>430</v>
      </c>
    </row>
    <row r="277" spans="1:35" x14ac:dyDescent="0.2">
      <c r="A277">
        <v>160</v>
      </c>
      <c r="B277" t="s">
        <v>169</v>
      </c>
      <c r="C277" t="s">
        <v>296</v>
      </c>
      <c r="D277" t="s">
        <v>10</v>
      </c>
      <c r="E277">
        <v>1</v>
      </c>
      <c r="F277">
        <v>24.133333333332999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0.05</v>
      </c>
      <c r="P277">
        <v>4</v>
      </c>
      <c r="Q277">
        <v>2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 t="s">
        <v>430</v>
      </c>
    </row>
    <row r="278" spans="1:35" x14ac:dyDescent="0.2">
      <c r="A278">
        <v>267</v>
      </c>
      <c r="B278" t="s">
        <v>455</v>
      </c>
      <c r="C278" t="s">
        <v>296</v>
      </c>
      <c r="D278" t="s">
        <v>10</v>
      </c>
      <c r="E278">
        <v>1</v>
      </c>
      <c r="F278">
        <v>15.216666666667001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430</v>
      </c>
      <c r="M278">
        <v>0</v>
      </c>
      <c r="N278" t="s">
        <v>430</v>
      </c>
      <c r="O278">
        <v>0.01</v>
      </c>
      <c r="P278">
        <v>2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</v>
      </c>
      <c r="AE278">
        <v>2</v>
      </c>
      <c r="AF278">
        <v>1</v>
      </c>
      <c r="AG278">
        <v>0</v>
      </c>
      <c r="AH278">
        <v>0</v>
      </c>
      <c r="AI278" t="s">
        <v>430</v>
      </c>
    </row>
    <row r="279" spans="1:35" x14ac:dyDescent="0.2">
      <c r="A279">
        <v>156</v>
      </c>
      <c r="B279" t="s">
        <v>82</v>
      </c>
      <c r="C279" t="s">
        <v>296</v>
      </c>
      <c r="D279" t="s">
        <v>5</v>
      </c>
      <c r="E279">
        <v>1</v>
      </c>
      <c r="F279">
        <v>16.683333333333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430</v>
      </c>
      <c r="M279">
        <v>1</v>
      </c>
      <c r="N279">
        <v>0</v>
      </c>
      <c r="O279">
        <v>0.08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2</v>
      </c>
      <c r="AC279">
        <v>0</v>
      </c>
      <c r="AD279">
        <v>1</v>
      </c>
      <c r="AE279">
        <v>3</v>
      </c>
      <c r="AF279">
        <v>0</v>
      </c>
      <c r="AG279">
        <v>0</v>
      </c>
      <c r="AH279">
        <v>0</v>
      </c>
      <c r="AI279" t="s">
        <v>430</v>
      </c>
    </row>
    <row r="280" spans="1:35" x14ac:dyDescent="0.2">
      <c r="A280">
        <v>7</v>
      </c>
      <c r="B280" t="s">
        <v>105</v>
      </c>
      <c r="C280" t="s">
        <v>296</v>
      </c>
      <c r="D280" t="s">
        <v>5</v>
      </c>
      <c r="E280">
        <v>1</v>
      </c>
      <c r="F280">
        <v>17.983333333333</v>
      </c>
      <c r="G280">
        <v>0</v>
      </c>
      <c r="H280">
        <v>1</v>
      </c>
      <c r="I280">
        <v>1</v>
      </c>
      <c r="J280">
        <v>0</v>
      </c>
      <c r="K280">
        <v>1</v>
      </c>
      <c r="L280">
        <v>100</v>
      </c>
      <c r="M280">
        <v>2</v>
      </c>
      <c r="N280">
        <v>0</v>
      </c>
      <c r="O280">
        <v>0.03</v>
      </c>
      <c r="P280">
        <v>2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1</v>
      </c>
      <c r="AC280">
        <v>2</v>
      </c>
      <c r="AD280">
        <v>0</v>
      </c>
      <c r="AE280">
        <v>0</v>
      </c>
      <c r="AF280">
        <v>0</v>
      </c>
      <c r="AG280">
        <v>6</v>
      </c>
      <c r="AH280">
        <v>6</v>
      </c>
      <c r="AI280">
        <v>50</v>
      </c>
    </row>
    <row r="281" spans="1:35" x14ac:dyDescent="0.2">
      <c r="A281">
        <v>84</v>
      </c>
      <c r="B281" t="s">
        <v>55</v>
      </c>
      <c r="C281" t="s">
        <v>296</v>
      </c>
      <c r="D281" t="s">
        <v>10</v>
      </c>
      <c r="E281">
        <v>1</v>
      </c>
      <c r="F281">
        <v>26.2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430</v>
      </c>
      <c r="M281">
        <v>2</v>
      </c>
      <c r="N281">
        <v>0</v>
      </c>
      <c r="O281">
        <v>0.18</v>
      </c>
      <c r="P281">
        <v>6</v>
      </c>
      <c r="Q281">
        <v>4</v>
      </c>
      <c r="R281">
        <v>2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4</v>
      </c>
      <c r="AC281">
        <v>1</v>
      </c>
      <c r="AD281">
        <v>0</v>
      </c>
      <c r="AE281">
        <v>3</v>
      </c>
      <c r="AF281">
        <v>2</v>
      </c>
      <c r="AG281">
        <v>0</v>
      </c>
      <c r="AH281">
        <v>0</v>
      </c>
      <c r="AI281" t="s">
        <v>430</v>
      </c>
    </row>
    <row r="282" spans="1:35" x14ac:dyDescent="0.2">
      <c r="A282">
        <v>108</v>
      </c>
      <c r="B282" t="s">
        <v>51</v>
      </c>
      <c r="C282" t="s">
        <v>296</v>
      </c>
      <c r="D282" t="s">
        <v>292</v>
      </c>
      <c r="E282">
        <v>1</v>
      </c>
      <c r="F282">
        <v>23.3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430</v>
      </c>
      <c r="M282">
        <v>1</v>
      </c>
      <c r="N282">
        <v>0</v>
      </c>
      <c r="O282">
        <v>0.03</v>
      </c>
      <c r="P282">
        <v>4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  <c r="AE282">
        <v>1</v>
      </c>
      <c r="AF282">
        <v>0</v>
      </c>
      <c r="AG282">
        <v>0</v>
      </c>
      <c r="AH282">
        <v>0</v>
      </c>
      <c r="AI282" t="s">
        <v>430</v>
      </c>
    </row>
    <row r="283" spans="1:35" x14ac:dyDescent="0.2">
      <c r="A283">
        <v>144</v>
      </c>
      <c r="B283" t="s">
        <v>200</v>
      </c>
      <c r="C283" t="s">
        <v>296</v>
      </c>
      <c r="D283" t="s">
        <v>10</v>
      </c>
      <c r="E283">
        <v>1</v>
      </c>
      <c r="F283">
        <v>18.616666666667001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430</v>
      </c>
      <c r="O283">
        <v>0.03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4</v>
      </c>
      <c r="W283">
        <v>2</v>
      </c>
      <c r="X283">
        <v>2</v>
      </c>
      <c r="Y283">
        <v>0</v>
      </c>
      <c r="Z283">
        <v>0</v>
      </c>
      <c r="AA283">
        <v>2</v>
      </c>
      <c r="AB283">
        <v>1</v>
      </c>
      <c r="AC283">
        <v>0</v>
      </c>
      <c r="AD283">
        <v>0</v>
      </c>
      <c r="AE283">
        <v>2</v>
      </c>
      <c r="AF283">
        <v>1</v>
      </c>
      <c r="AG283">
        <v>0</v>
      </c>
      <c r="AH283">
        <v>0</v>
      </c>
      <c r="AI283" t="s">
        <v>430</v>
      </c>
    </row>
    <row r="284" spans="1:35" x14ac:dyDescent="0.2">
      <c r="A284">
        <v>13</v>
      </c>
      <c r="B284" t="s">
        <v>439</v>
      </c>
      <c r="C284" t="s">
        <v>296</v>
      </c>
      <c r="D284" t="s">
        <v>10</v>
      </c>
      <c r="E284">
        <v>1</v>
      </c>
      <c r="F284">
        <v>14.1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430</v>
      </c>
      <c r="M284">
        <v>0</v>
      </c>
      <c r="N284" t="s">
        <v>430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</v>
      </c>
      <c r="AE284">
        <v>3</v>
      </c>
      <c r="AF284">
        <v>3</v>
      </c>
      <c r="AG284">
        <v>0</v>
      </c>
      <c r="AH284">
        <v>0</v>
      </c>
      <c r="AI284" t="s">
        <v>430</v>
      </c>
    </row>
    <row r="285" spans="1:35" x14ac:dyDescent="0.2">
      <c r="A285">
        <v>47</v>
      </c>
      <c r="B285" t="s">
        <v>45</v>
      </c>
      <c r="C285" t="s">
        <v>296</v>
      </c>
      <c r="D285" t="s">
        <v>5</v>
      </c>
      <c r="E285">
        <v>1</v>
      </c>
      <c r="F285">
        <v>24.833333333333002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430</v>
      </c>
      <c r="M285">
        <v>1</v>
      </c>
      <c r="N285">
        <v>0</v>
      </c>
      <c r="O285">
        <v>0.4</v>
      </c>
      <c r="P285">
        <v>6</v>
      </c>
      <c r="Q285">
        <v>5</v>
      </c>
      <c r="R285">
        <v>4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4</v>
      </c>
      <c r="AC285">
        <v>0</v>
      </c>
      <c r="AD285">
        <v>1</v>
      </c>
      <c r="AE285">
        <v>3</v>
      </c>
      <c r="AF285">
        <v>1</v>
      </c>
      <c r="AG285">
        <v>6</v>
      </c>
      <c r="AH285">
        <v>7</v>
      </c>
      <c r="AI285">
        <v>46.15</v>
      </c>
    </row>
    <row r="286" spans="1:35" x14ac:dyDescent="0.2">
      <c r="A286">
        <v>167</v>
      </c>
      <c r="B286" t="s">
        <v>240</v>
      </c>
      <c r="C286" t="s">
        <v>296</v>
      </c>
      <c r="D286" t="s">
        <v>5</v>
      </c>
      <c r="E286">
        <v>1</v>
      </c>
      <c r="F286">
        <v>8.75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430</v>
      </c>
      <c r="M286">
        <v>1</v>
      </c>
      <c r="N286">
        <v>0</v>
      </c>
      <c r="O286">
        <v>0.26</v>
      </c>
      <c r="P286">
        <v>3</v>
      </c>
      <c r="Q286">
        <v>2</v>
      </c>
      <c r="R286">
        <v>2</v>
      </c>
      <c r="S286">
        <v>2</v>
      </c>
      <c r="T286">
        <v>0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2</v>
      </c>
      <c r="AD286">
        <v>2</v>
      </c>
      <c r="AE286">
        <v>1</v>
      </c>
      <c r="AF286">
        <v>0</v>
      </c>
      <c r="AG286">
        <v>2</v>
      </c>
      <c r="AH286">
        <v>2</v>
      </c>
      <c r="AI286">
        <v>50</v>
      </c>
    </row>
    <row r="287" spans="1:35" x14ac:dyDescent="0.2">
      <c r="A287">
        <v>36</v>
      </c>
      <c r="B287" t="s">
        <v>222</v>
      </c>
      <c r="C287" t="s">
        <v>296</v>
      </c>
      <c r="D287" t="s">
        <v>294</v>
      </c>
      <c r="E287">
        <v>1</v>
      </c>
      <c r="F287">
        <v>15.1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430</v>
      </c>
      <c r="M287">
        <v>1</v>
      </c>
      <c r="N287">
        <v>0</v>
      </c>
      <c r="O287">
        <v>0.38</v>
      </c>
      <c r="P287">
        <v>2</v>
      </c>
      <c r="Q287">
        <v>2</v>
      </c>
      <c r="R287">
        <v>2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 t="s">
        <v>430</v>
      </c>
    </row>
    <row r="288" spans="1:35" x14ac:dyDescent="0.2">
      <c r="A288">
        <v>55</v>
      </c>
      <c r="B288" t="s">
        <v>330</v>
      </c>
      <c r="C288" t="s">
        <v>296</v>
      </c>
      <c r="D288" t="s">
        <v>292</v>
      </c>
      <c r="E288">
        <v>1</v>
      </c>
      <c r="F288">
        <v>8.8000000000000007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430</v>
      </c>
      <c r="M288">
        <v>1</v>
      </c>
      <c r="N288">
        <v>0</v>
      </c>
      <c r="O288">
        <v>0.03</v>
      </c>
      <c r="P288">
        <v>1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</v>
      </c>
      <c r="AE288">
        <v>0</v>
      </c>
      <c r="AF288">
        <v>0</v>
      </c>
      <c r="AG288">
        <v>0</v>
      </c>
      <c r="AH288">
        <v>0</v>
      </c>
      <c r="AI288" t="s">
        <v>430</v>
      </c>
    </row>
    <row r="289" spans="1:35" x14ac:dyDescent="0.2">
      <c r="A289">
        <v>50</v>
      </c>
      <c r="B289" t="s">
        <v>211</v>
      </c>
      <c r="C289" t="s">
        <v>296</v>
      </c>
      <c r="D289" t="s">
        <v>5</v>
      </c>
      <c r="E289">
        <v>1</v>
      </c>
      <c r="F289">
        <v>16.016666666667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430</v>
      </c>
      <c r="M289">
        <v>0</v>
      </c>
      <c r="N289" t="s">
        <v>430</v>
      </c>
      <c r="O289">
        <v>0.05</v>
      </c>
      <c r="P289">
        <v>2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2</v>
      </c>
      <c r="AE289">
        <v>0</v>
      </c>
      <c r="AF289">
        <v>1</v>
      </c>
      <c r="AG289">
        <v>1</v>
      </c>
      <c r="AH289">
        <v>0</v>
      </c>
      <c r="AI28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</vt:lpstr>
      <vt:lpstr>Projected</vt:lpstr>
      <vt:lpstr>NHT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Horlbeck</dc:creator>
  <cp:lastModifiedBy>Brendan Horlbeck</cp:lastModifiedBy>
  <dcterms:created xsi:type="dcterms:W3CDTF">2026-01-23T10:02:24Z</dcterms:created>
  <dcterms:modified xsi:type="dcterms:W3CDTF">2026-01-23T19:01:29Z</dcterms:modified>
</cp:coreProperties>
</file>