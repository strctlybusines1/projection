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danhorlbeck/Desktop/Code/projection/backtests/"/>
    </mc:Choice>
  </mc:AlternateContent>
  <xr:revisionPtr revIDLastSave="0" documentId="8_{FA56D556-93B0-F54A-97D6-4FD4220A85B9}" xr6:coauthVersionLast="47" xr6:coauthVersionMax="47" xr10:uidLastSave="{00000000-0000-0000-0000-000000000000}"/>
  <bookViews>
    <workbookView xWindow="7320" yWindow="1180" windowWidth="42700" windowHeight="21580" activeTab="1" xr2:uid="{93DB9244-364B-9744-88C6-A73CDC3799A5}"/>
  </bookViews>
  <sheets>
    <sheet name="Actual" sheetId="1" r:id="rId1"/>
    <sheet name="Projection" sheetId="2" r:id="rId2"/>
    <sheet name="NHT" sheetId="3" r:id="rId3"/>
    <sheet name="FC" sheetId="4" r:id="rId4"/>
  </sheets>
  <definedNames>
    <definedName name="_xlnm._FilterDatabase" localSheetId="0" hidden="1">Actual!$A$1:$D$595</definedName>
    <definedName name="_xlnm._FilterDatabase" localSheetId="3" hidden="1">FC!$A$1:$AD$903</definedName>
    <definedName name="_xlnm._FilterDatabase" localSheetId="1" hidden="1">Projection!$A$1:$Q$645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2" i="2" l="1"/>
  <c r="P337" i="2"/>
  <c r="P84" i="2"/>
  <c r="P82" i="2"/>
  <c r="P146" i="2"/>
  <c r="P85" i="2"/>
  <c r="P224" i="2"/>
  <c r="P55" i="2"/>
  <c r="P179" i="2"/>
  <c r="P195" i="2"/>
  <c r="P32" i="2"/>
  <c r="P152" i="2"/>
  <c r="P120" i="2"/>
  <c r="P164" i="2"/>
  <c r="P105" i="2"/>
  <c r="P473" i="2"/>
  <c r="P22" i="2"/>
  <c r="P63" i="2"/>
  <c r="P537" i="2"/>
  <c r="P124" i="2"/>
  <c r="P18" i="2"/>
  <c r="P245" i="2"/>
  <c r="P26" i="2"/>
  <c r="P88" i="2"/>
  <c r="P158" i="2"/>
  <c r="P439" i="2"/>
  <c r="P232" i="2"/>
  <c r="P162" i="2"/>
  <c r="P360" i="2"/>
  <c r="P71" i="2"/>
  <c r="P121" i="2"/>
  <c r="P92" i="2"/>
  <c r="P183" i="2"/>
  <c r="P54" i="2"/>
  <c r="P19" i="2"/>
  <c r="P34" i="2"/>
  <c r="P59" i="2"/>
  <c r="P262" i="2"/>
  <c r="P21" i="2"/>
  <c r="P81" i="2"/>
  <c r="P45" i="2"/>
  <c r="P31" i="2"/>
  <c r="P251" i="2"/>
  <c r="P14" i="2"/>
  <c r="P69" i="2"/>
  <c r="P29" i="2"/>
  <c r="P343" i="2"/>
  <c r="P134" i="2"/>
  <c r="P543" i="2"/>
  <c r="P109" i="2"/>
  <c r="P114" i="2"/>
  <c r="P228" i="2"/>
  <c r="P61" i="2"/>
  <c r="P154" i="2"/>
  <c r="P24" i="2"/>
  <c r="P223" i="2"/>
  <c r="P255" i="2"/>
  <c r="P93" i="2"/>
  <c r="P168" i="2"/>
  <c r="P12" i="2"/>
  <c r="P113" i="2"/>
  <c r="P299" i="2"/>
  <c r="P140" i="2"/>
  <c r="P3" i="2"/>
  <c r="P42" i="2"/>
  <c r="P166" i="2"/>
  <c r="P227" i="2"/>
  <c r="P25" i="2"/>
  <c r="P311" i="2"/>
  <c r="P269" i="2"/>
  <c r="P20" i="2"/>
  <c r="P119" i="2"/>
  <c r="P73" i="2"/>
  <c r="P131" i="2"/>
  <c r="P238" i="2"/>
  <c r="P181" i="2"/>
  <c r="P252" i="2"/>
  <c r="P37" i="2"/>
  <c r="P43" i="2"/>
  <c r="P331" i="2"/>
  <c r="P220" i="2"/>
  <c r="P7" i="2"/>
  <c r="P53" i="2"/>
  <c r="P50" i="2"/>
  <c r="P274" i="2"/>
  <c r="P374" i="2"/>
  <c r="P248" i="2"/>
  <c r="P142" i="2"/>
  <c r="P275" i="2"/>
  <c r="P349" i="2"/>
  <c r="P101" i="2"/>
  <c r="P230" i="2"/>
  <c r="P102" i="2"/>
  <c r="P214" i="2"/>
  <c r="P231" i="2"/>
  <c r="P339" i="2"/>
  <c r="P28" i="2"/>
  <c r="P94" i="2"/>
  <c r="P302" i="2"/>
  <c r="P307" i="2"/>
  <c r="P189" i="2"/>
  <c r="P399" i="2"/>
  <c r="P387" i="2"/>
  <c r="P58" i="2"/>
  <c r="P33" i="2"/>
  <c r="P87" i="2"/>
  <c r="P365" i="2"/>
  <c r="P225" i="2"/>
  <c r="P48" i="2"/>
  <c r="P95" i="2"/>
  <c r="P128" i="2"/>
  <c r="P147" i="2"/>
  <c r="P281" i="2"/>
  <c r="P49" i="2"/>
  <c r="P296" i="2"/>
  <c r="P180" i="2"/>
  <c r="P64" i="2"/>
  <c r="P144" i="2"/>
  <c r="P40" i="2"/>
  <c r="P433" i="2"/>
  <c r="P185" i="2"/>
  <c r="P421" i="2"/>
  <c r="P138" i="2"/>
  <c r="P38" i="2"/>
  <c r="P123" i="2"/>
  <c r="P186" i="2"/>
  <c r="P104" i="2"/>
  <c r="P358" i="2"/>
  <c r="P242" i="2"/>
  <c r="P419" i="2"/>
  <c r="P8" i="2"/>
  <c r="P30" i="2"/>
  <c r="P9" i="2"/>
  <c r="P115" i="2"/>
  <c r="P422" i="2"/>
  <c r="P408" i="2"/>
  <c r="P285" i="2"/>
  <c r="P210" i="2"/>
  <c r="P259" i="2"/>
  <c r="P322" i="2"/>
  <c r="P68" i="2"/>
  <c r="P366" i="2"/>
  <c r="P351" i="2"/>
  <c r="P56" i="2"/>
  <c r="P2" i="2"/>
  <c r="P122" i="2"/>
  <c r="P80" i="2"/>
  <c r="P212" i="2"/>
  <c r="P74" i="2"/>
  <c r="P173" i="2"/>
  <c r="P15" i="2"/>
  <c r="P278" i="2"/>
  <c r="P62" i="2"/>
  <c r="P27" i="2"/>
  <c r="P239" i="2"/>
  <c r="P167" i="2"/>
  <c r="P161" i="2"/>
  <c r="P261" i="2"/>
  <c r="P289" i="2"/>
  <c r="P57" i="2"/>
  <c r="P118" i="2"/>
  <c r="P409" i="2"/>
  <c r="P354" i="2"/>
  <c r="P316" i="2"/>
  <c r="P145" i="2"/>
  <c r="P117" i="2"/>
  <c r="P11" i="2"/>
  <c r="P277" i="2"/>
  <c r="P327" i="2"/>
  <c r="P383" i="2"/>
  <c r="P44" i="2"/>
  <c r="P264" i="2"/>
  <c r="P151" i="2"/>
  <c r="P544" i="2"/>
  <c r="P207" i="2"/>
  <c r="P254" i="2"/>
  <c r="P438" i="2"/>
  <c r="P197" i="2"/>
  <c r="P318" i="2"/>
  <c r="P201" i="2"/>
  <c r="P336" i="2"/>
  <c r="P86" i="2"/>
  <c r="P205" i="2"/>
  <c r="P112" i="2"/>
  <c r="P72" i="2"/>
  <c r="P304" i="2"/>
  <c r="P321" i="2"/>
  <c r="P361" i="2"/>
  <c r="P324" i="2"/>
  <c r="P133" i="2"/>
  <c r="P213" i="2"/>
  <c r="P353" i="2"/>
  <c r="P217" i="2"/>
  <c r="P89" i="2"/>
  <c r="P190" i="2"/>
  <c r="P17" i="2"/>
  <c r="P442" i="2"/>
  <c r="P334" i="2"/>
  <c r="P445" i="2"/>
  <c r="P241" i="2"/>
  <c r="P200" i="2"/>
  <c r="P286" i="2"/>
  <c r="P204" i="2"/>
  <c r="P341" i="2"/>
  <c r="P446" i="2"/>
  <c r="P480" i="2"/>
  <c r="P397" i="2"/>
  <c r="P282" i="2"/>
  <c r="P10" i="2"/>
  <c r="P16" i="2"/>
  <c r="P345" i="2"/>
  <c r="P279" i="2"/>
  <c r="P385" i="2"/>
  <c r="P253" i="2"/>
  <c r="P187" i="2"/>
  <c r="P292" i="2"/>
  <c r="P36" i="2"/>
  <c r="P176" i="2"/>
  <c r="P502" i="2"/>
  <c r="P380" i="2"/>
  <c r="P4" i="2"/>
  <c r="P538" i="2"/>
  <c r="P222" i="2"/>
  <c r="P149" i="2"/>
  <c r="P51" i="2"/>
  <c r="P47" i="2"/>
  <c r="P130" i="2"/>
  <c r="P338" i="2"/>
  <c r="P35" i="2"/>
  <c r="P75" i="2"/>
  <c r="P303" i="2"/>
  <c r="P423" i="2"/>
  <c r="P96" i="2"/>
  <c r="P420" i="2"/>
  <c r="P436" i="2"/>
  <c r="P136" i="2"/>
  <c r="P376" i="2"/>
  <c r="P265" i="2"/>
  <c r="P170" i="2"/>
  <c r="P143" i="2"/>
  <c r="P342" i="2"/>
  <c r="P320" i="2"/>
  <c r="P90" i="2"/>
  <c r="P5" i="2"/>
  <c r="P288" i="2"/>
  <c r="P97" i="2"/>
  <c r="P517" i="2"/>
  <c r="P23" i="2"/>
  <c r="P270" i="2"/>
  <c r="P448" i="2"/>
  <c r="P211" i="2"/>
  <c r="P470" i="2"/>
  <c r="P165" i="2"/>
  <c r="P427" i="2"/>
  <c r="P545" i="2"/>
  <c r="P100" i="2"/>
  <c r="P111" i="2"/>
  <c r="P474" i="2"/>
  <c r="P250" i="2"/>
  <c r="P413" i="2"/>
  <c r="P188" i="2"/>
  <c r="P218" i="2"/>
  <c r="P46" i="2"/>
  <c r="P301" i="2"/>
  <c r="P373" i="2"/>
  <c r="P546" i="2"/>
  <c r="P256" i="2"/>
  <c r="P547" i="2"/>
  <c r="P77" i="2"/>
  <c r="P287" i="2"/>
  <c r="P83" i="2"/>
  <c r="P306" i="2"/>
  <c r="P137" i="2"/>
  <c r="P246" i="2"/>
  <c r="P392" i="2"/>
  <c r="P199" i="2"/>
  <c r="P196" i="2"/>
  <c r="P310" i="2"/>
  <c r="P209" i="2"/>
  <c r="P297" i="2"/>
  <c r="P377" i="2"/>
  <c r="P125" i="2"/>
  <c r="P369" i="2"/>
  <c r="P495" i="2"/>
  <c r="P41" i="2"/>
  <c r="P91" i="2"/>
  <c r="P139" i="2"/>
  <c r="P393" i="2"/>
  <c r="P492" i="2"/>
  <c r="P171" i="2"/>
  <c r="P314" i="2"/>
  <c r="P328" i="2"/>
  <c r="P333" i="2"/>
  <c r="P157" i="2"/>
  <c r="P163" i="2"/>
  <c r="P233" i="2"/>
  <c r="P235" i="2"/>
  <c r="P110" i="2"/>
  <c r="P159" i="2"/>
  <c r="P290" i="2"/>
  <c r="P272" i="2"/>
  <c r="P276" i="2"/>
  <c r="P431" i="2"/>
  <c r="P66" i="2"/>
  <c r="P359" i="2"/>
  <c r="P362" i="2"/>
  <c r="P271" i="2"/>
  <c r="P326" i="2"/>
  <c r="P346" i="2"/>
  <c r="P391" i="2"/>
  <c r="P103" i="2"/>
  <c r="P471" i="2"/>
  <c r="P284" i="2"/>
  <c r="P461" i="2"/>
  <c r="P67" i="2"/>
  <c r="P141" i="2"/>
  <c r="P548" i="2"/>
  <c r="P347" i="2"/>
  <c r="P398" i="2"/>
  <c r="P203" i="2"/>
  <c r="P236" i="2"/>
  <c r="P528" i="2"/>
  <c r="P489" i="2"/>
  <c r="P415" i="2"/>
  <c r="P319" i="2"/>
  <c r="P425" i="2"/>
  <c r="P70" i="2"/>
  <c r="P549" i="2"/>
  <c r="P126" i="2"/>
  <c r="P476" i="2"/>
  <c r="P194" i="2"/>
  <c r="P135" i="2"/>
  <c r="P550" i="2"/>
  <c r="P532" i="2"/>
  <c r="P192" i="2"/>
  <c r="P172" i="2"/>
  <c r="P258" i="2"/>
  <c r="P444" i="2"/>
  <c r="P551" i="2"/>
  <c r="P363" i="2"/>
  <c r="P484" i="2"/>
  <c r="P434" i="2"/>
  <c r="P129" i="2"/>
  <c r="P496" i="2"/>
  <c r="P202" i="2"/>
  <c r="P552" i="2"/>
  <c r="P372" i="2"/>
  <c r="P553" i="2"/>
  <c r="P244" i="2"/>
  <c r="P426" i="2"/>
  <c r="P437" i="2"/>
  <c r="P411" i="2"/>
  <c r="P406" i="2"/>
  <c r="P357" i="2"/>
  <c r="P107" i="2"/>
  <c r="P527" i="2"/>
  <c r="P388" i="2"/>
  <c r="P554" i="2"/>
  <c r="P454" i="2"/>
  <c r="P273" i="2"/>
  <c r="P98" i="2"/>
  <c r="P99" i="2"/>
  <c r="P240" i="2"/>
  <c r="P325" i="2"/>
  <c r="P208" i="2"/>
  <c r="P215" i="2"/>
  <c r="P443" i="2"/>
  <c r="P79" i="2"/>
  <c r="P512" i="2"/>
  <c r="P155" i="2"/>
  <c r="P132" i="2"/>
  <c r="P317" i="2"/>
  <c r="P381" i="2"/>
  <c r="P364" i="2"/>
  <c r="P106" i="2"/>
  <c r="P219" i="2"/>
  <c r="P127" i="2"/>
  <c r="P335" i="2"/>
  <c r="P182" i="2"/>
  <c r="P78" i="2"/>
  <c r="P313" i="2"/>
  <c r="P375" i="2"/>
  <c r="P390" i="2"/>
  <c r="P76" i="2"/>
  <c r="P39" i="2"/>
  <c r="P257" i="2"/>
  <c r="P509" i="2"/>
  <c r="P530" i="2"/>
  <c r="P283" i="2"/>
  <c r="P555" i="2"/>
  <c r="P216" i="2"/>
  <c r="P556" i="2"/>
  <c r="P400" i="2"/>
  <c r="P557" i="2"/>
  <c r="P430" i="2"/>
  <c r="P160" i="2"/>
  <c r="P384" i="2"/>
  <c r="P368" i="2"/>
  <c r="P382" i="2"/>
  <c r="P175" i="2"/>
  <c r="P367" i="2"/>
  <c r="P191" i="2"/>
  <c r="P150" i="2"/>
  <c r="P298" i="2"/>
  <c r="P221" i="2"/>
  <c r="P344" i="2"/>
  <c r="P410" i="2"/>
  <c r="P294" i="2"/>
  <c r="P268" i="2"/>
  <c r="P558" i="2"/>
  <c r="P378" i="2"/>
  <c r="P65" i="2"/>
  <c r="P323" i="2"/>
  <c r="P559" i="2"/>
  <c r="P560" i="2"/>
  <c r="P457" i="2"/>
  <c r="P295" i="2"/>
  <c r="P561" i="2"/>
  <c r="P309" i="2"/>
  <c r="P370" i="2"/>
  <c r="P153" i="2"/>
  <c r="P263" i="2"/>
  <c r="P293" i="2"/>
  <c r="P352" i="2"/>
  <c r="P562" i="2"/>
  <c r="P267" i="2"/>
  <c r="P156" i="2"/>
  <c r="P417" i="2"/>
  <c r="P563" i="2"/>
  <c r="P206" i="2"/>
  <c r="P355" i="2"/>
  <c r="P6" i="2"/>
  <c r="P315" i="2"/>
  <c r="P414" i="2"/>
  <c r="P564" i="2"/>
  <c r="P493" i="2"/>
  <c r="P463" i="2"/>
  <c r="P60" i="2"/>
  <c r="P467" i="2"/>
  <c r="P226" i="2"/>
  <c r="P234" i="2"/>
  <c r="P386" i="2"/>
  <c r="P330" i="2"/>
  <c r="P418" i="2"/>
  <c r="P565" i="2"/>
  <c r="P566" i="2"/>
  <c r="P249" i="2"/>
  <c r="P515" i="2"/>
  <c r="P460" i="2"/>
  <c r="P567" i="2"/>
  <c r="P568" i="2"/>
  <c r="P506" i="2"/>
  <c r="P174" i="2"/>
  <c r="P542" i="2"/>
  <c r="P396" i="2"/>
  <c r="P177" i="2"/>
  <c r="P229" i="2"/>
  <c r="P440" i="2"/>
  <c r="P412" i="2"/>
  <c r="P178" i="2"/>
  <c r="P482" i="2"/>
  <c r="P312" i="2"/>
  <c r="P300" i="2"/>
  <c r="P108" i="2"/>
  <c r="P13" i="2"/>
  <c r="P266" i="2"/>
  <c r="P356" i="2"/>
  <c r="P148" i="2"/>
  <c r="P536" i="2"/>
  <c r="P569" i="2"/>
  <c r="P504" i="2"/>
  <c r="P404" i="2"/>
  <c r="P570" i="2"/>
  <c r="P571" i="2"/>
  <c r="P432" i="2"/>
  <c r="P572" i="2"/>
  <c r="P403" i="2"/>
  <c r="P193" i="2"/>
  <c r="P329" i="2"/>
  <c r="P455" i="2"/>
  <c r="P429" i="2"/>
  <c r="P573" i="2"/>
  <c r="P466" i="2"/>
  <c r="P243" i="2"/>
  <c r="P458" i="2"/>
  <c r="P486" i="2"/>
  <c r="P503" i="2"/>
  <c r="P348" i="2"/>
  <c r="P449" i="2"/>
  <c r="P574" i="2"/>
  <c r="P575" i="2"/>
  <c r="P379" i="2"/>
  <c r="P510" i="2"/>
  <c r="P260" i="2"/>
  <c r="P472" i="2"/>
  <c r="P576" i="2"/>
  <c r="P522" i="2"/>
  <c r="P577" i="2"/>
  <c r="P578" i="2"/>
  <c r="P579" i="2"/>
  <c r="P580" i="2"/>
  <c r="P581" i="2"/>
  <c r="P308" i="2"/>
  <c r="P582" i="2"/>
  <c r="P371" i="2"/>
  <c r="P247" i="2"/>
  <c r="P184" i="2"/>
  <c r="P453" i="2"/>
  <c r="P280" i="2"/>
  <c r="P583" i="2"/>
  <c r="P584" i="2"/>
  <c r="P469" i="2"/>
  <c r="P540" i="2"/>
  <c r="P483" i="2"/>
  <c r="P428" i="2"/>
  <c r="P450" i="2"/>
  <c r="P291" i="2"/>
  <c r="P508" i="2"/>
  <c r="P350" i="2"/>
  <c r="P340" i="2"/>
  <c r="P585" i="2"/>
  <c r="P586" i="2"/>
  <c r="P534" i="2"/>
  <c r="P394" i="2"/>
  <c r="P587" i="2"/>
  <c r="P588" i="2"/>
  <c r="P494" i="2"/>
  <c r="P589" i="2"/>
  <c r="P395" i="2"/>
  <c r="P523" i="2"/>
  <c r="P590" i="2"/>
  <c r="P591" i="2"/>
  <c r="P405" i="2"/>
  <c r="P539" i="2"/>
  <c r="P462" i="2"/>
  <c r="P592" i="2"/>
  <c r="P593" i="2"/>
  <c r="P594" i="2"/>
  <c r="P198" i="2"/>
  <c r="P332" i="2"/>
  <c r="P595" i="2"/>
  <c r="P500" i="2"/>
  <c r="P596" i="2"/>
  <c r="P597" i="2"/>
  <c r="P237" i="2"/>
  <c r="P513" i="2"/>
  <c r="P598" i="2"/>
  <c r="P407" i="2"/>
  <c r="P169" i="2"/>
  <c r="P389" i="2"/>
  <c r="P505" i="2"/>
  <c r="P490" i="2"/>
  <c r="P541" i="2"/>
  <c r="P599" i="2"/>
  <c r="P402" i="2"/>
  <c r="P600" i="2"/>
  <c r="P451" i="2"/>
  <c r="P601" i="2"/>
  <c r="P602" i="2"/>
  <c r="P424" i="2"/>
  <c r="P499" i="2"/>
  <c r="P447" i="2"/>
  <c r="P603" i="2"/>
  <c r="P456" i="2"/>
  <c r="P481" i="2"/>
  <c r="P464" i="2"/>
  <c r="P604" i="2"/>
  <c r="P478" i="2"/>
  <c r="P401" i="2"/>
  <c r="P605" i="2"/>
  <c r="P606" i="2"/>
  <c r="P607" i="2"/>
  <c r="P305" i="2"/>
  <c r="P608" i="2"/>
  <c r="P609" i="2"/>
  <c r="P468" i="2"/>
  <c r="P610" i="2"/>
  <c r="P611" i="2"/>
  <c r="P441" i="2"/>
  <c r="P475" i="2"/>
  <c r="P501" i="2"/>
  <c r="P516" i="2"/>
  <c r="P459" i="2"/>
  <c r="P514" i="2"/>
  <c r="P526" i="2"/>
  <c r="P612" i="2"/>
  <c r="P487" i="2"/>
  <c r="P520" i="2"/>
  <c r="P613" i="2"/>
  <c r="P614" i="2"/>
  <c r="P615" i="2"/>
  <c r="P616" i="2"/>
  <c r="P498" i="2"/>
  <c r="P617" i="2"/>
  <c r="P618" i="2"/>
  <c r="P465" i="2"/>
  <c r="P518" i="2"/>
  <c r="P488" i="2"/>
  <c r="P507" i="2"/>
  <c r="P619" i="2"/>
  <c r="P477" i="2"/>
  <c r="P620" i="2"/>
  <c r="P511" i="2"/>
  <c r="P621" i="2"/>
  <c r="P622" i="2"/>
  <c r="P535" i="2"/>
  <c r="P623" i="2"/>
  <c r="P491" i="2"/>
  <c r="P624" i="2"/>
  <c r="P625" i="2"/>
  <c r="P626" i="2"/>
  <c r="P627" i="2"/>
  <c r="P524" i="2"/>
  <c r="P525" i="2"/>
  <c r="P479" i="2"/>
  <c r="P497" i="2"/>
  <c r="P628" i="2"/>
  <c r="P629" i="2"/>
  <c r="P630" i="2"/>
  <c r="P631" i="2"/>
  <c r="P485" i="2"/>
  <c r="P531" i="2"/>
  <c r="P632" i="2"/>
  <c r="P633" i="2"/>
  <c r="P634" i="2"/>
  <c r="P529" i="2"/>
  <c r="P521" i="2"/>
  <c r="P635" i="2"/>
  <c r="P416" i="2"/>
  <c r="P519" i="2"/>
  <c r="P636" i="2"/>
  <c r="P637" i="2"/>
  <c r="P638" i="2"/>
  <c r="P639" i="2"/>
  <c r="P533" i="2"/>
  <c r="P435" i="2"/>
  <c r="P640" i="2"/>
  <c r="P641" i="2"/>
  <c r="P452" i="2"/>
  <c r="P642" i="2"/>
  <c r="P643" i="2"/>
  <c r="P644" i="2"/>
  <c r="P645" i="2"/>
  <c r="P116" i="2"/>
  <c r="O52" i="2"/>
  <c r="O337" i="2"/>
  <c r="O84" i="2"/>
  <c r="O82" i="2"/>
  <c r="O146" i="2"/>
  <c r="O85" i="2"/>
  <c r="O224" i="2"/>
  <c r="O55" i="2"/>
  <c r="O179" i="2"/>
  <c r="O195" i="2"/>
  <c r="O32" i="2"/>
  <c r="O152" i="2"/>
  <c r="O120" i="2"/>
  <c r="O164" i="2"/>
  <c r="O105" i="2"/>
  <c r="O473" i="2"/>
  <c r="O22" i="2"/>
  <c r="O63" i="2"/>
  <c r="O537" i="2"/>
  <c r="O124" i="2"/>
  <c r="O18" i="2"/>
  <c r="O245" i="2"/>
  <c r="O26" i="2"/>
  <c r="O88" i="2"/>
  <c r="O158" i="2"/>
  <c r="O439" i="2"/>
  <c r="O232" i="2"/>
  <c r="O162" i="2"/>
  <c r="O360" i="2"/>
  <c r="O71" i="2"/>
  <c r="O121" i="2"/>
  <c r="O92" i="2"/>
  <c r="O183" i="2"/>
  <c r="O54" i="2"/>
  <c r="O19" i="2"/>
  <c r="O34" i="2"/>
  <c r="O59" i="2"/>
  <c r="O262" i="2"/>
  <c r="O21" i="2"/>
  <c r="O81" i="2"/>
  <c r="O45" i="2"/>
  <c r="O31" i="2"/>
  <c r="O251" i="2"/>
  <c r="O14" i="2"/>
  <c r="O69" i="2"/>
  <c r="O29" i="2"/>
  <c r="O343" i="2"/>
  <c r="O134" i="2"/>
  <c r="O543" i="2"/>
  <c r="O109" i="2"/>
  <c r="O114" i="2"/>
  <c r="O228" i="2"/>
  <c r="O61" i="2"/>
  <c r="O154" i="2"/>
  <c r="O24" i="2"/>
  <c r="O223" i="2"/>
  <c r="O255" i="2"/>
  <c r="O93" i="2"/>
  <c r="O168" i="2"/>
  <c r="O12" i="2"/>
  <c r="O113" i="2"/>
  <c r="O299" i="2"/>
  <c r="O140" i="2"/>
  <c r="O3" i="2"/>
  <c r="O42" i="2"/>
  <c r="O166" i="2"/>
  <c r="O227" i="2"/>
  <c r="O25" i="2"/>
  <c r="O311" i="2"/>
  <c r="O269" i="2"/>
  <c r="O20" i="2"/>
  <c r="O119" i="2"/>
  <c r="O73" i="2"/>
  <c r="O131" i="2"/>
  <c r="O238" i="2"/>
  <c r="O181" i="2"/>
  <c r="O252" i="2"/>
  <c r="O37" i="2"/>
  <c r="O43" i="2"/>
  <c r="O331" i="2"/>
  <c r="O220" i="2"/>
  <c r="O7" i="2"/>
  <c r="O53" i="2"/>
  <c r="O50" i="2"/>
  <c r="O274" i="2"/>
  <c r="O374" i="2"/>
  <c r="O248" i="2"/>
  <c r="O142" i="2"/>
  <c r="O275" i="2"/>
  <c r="O349" i="2"/>
  <c r="O101" i="2"/>
  <c r="O230" i="2"/>
  <c r="O102" i="2"/>
  <c r="O214" i="2"/>
  <c r="O231" i="2"/>
  <c r="O339" i="2"/>
  <c r="O28" i="2"/>
  <c r="O94" i="2"/>
  <c r="O302" i="2"/>
  <c r="O307" i="2"/>
  <c r="O189" i="2"/>
  <c r="O399" i="2"/>
  <c r="O387" i="2"/>
  <c r="O58" i="2"/>
  <c r="O33" i="2"/>
  <c r="O87" i="2"/>
  <c r="O365" i="2"/>
  <c r="O225" i="2"/>
  <c r="O48" i="2"/>
  <c r="O95" i="2"/>
  <c r="O128" i="2"/>
  <c r="O147" i="2"/>
  <c r="O281" i="2"/>
  <c r="O49" i="2"/>
  <c r="O296" i="2"/>
  <c r="O180" i="2"/>
  <c r="O64" i="2"/>
  <c r="O144" i="2"/>
  <c r="O40" i="2"/>
  <c r="O433" i="2"/>
  <c r="O185" i="2"/>
  <c r="O421" i="2"/>
  <c r="O138" i="2"/>
  <c r="O38" i="2"/>
  <c r="O123" i="2"/>
  <c r="O186" i="2"/>
  <c r="O104" i="2"/>
  <c r="O358" i="2"/>
  <c r="O242" i="2"/>
  <c r="O419" i="2"/>
  <c r="O8" i="2"/>
  <c r="O30" i="2"/>
  <c r="O9" i="2"/>
  <c r="O115" i="2"/>
  <c r="O422" i="2"/>
  <c r="O408" i="2"/>
  <c r="O285" i="2"/>
  <c r="O210" i="2"/>
  <c r="O259" i="2"/>
  <c r="O322" i="2"/>
  <c r="O68" i="2"/>
  <c r="O366" i="2"/>
  <c r="O351" i="2"/>
  <c r="O56" i="2"/>
  <c r="O2" i="2"/>
  <c r="O122" i="2"/>
  <c r="O80" i="2"/>
  <c r="O212" i="2"/>
  <c r="O74" i="2"/>
  <c r="O173" i="2"/>
  <c r="O15" i="2"/>
  <c r="O278" i="2"/>
  <c r="O62" i="2"/>
  <c r="O27" i="2"/>
  <c r="O239" i="2"/>
  <c r="O167" i="2"/>
  <c r="O161" i="2"/>
  <c r="O261" i="2"/>
  <c r="O289" i="2"/>
  <c r="O57" i="2"/>
  <c r="O118" i="2"/>
  <c r="O409" i="2"/>
  <c r="O354" i="2"/>
  <c r="O316" i="2"/>
  <c r="O145" i="2"/>
  <c r="O117" i="2"/>
  <c r="O11" i="2"/>
  <c r="O277" i="2"/>
  <c r="O327" i="2"/>
  <c r="O383" i="2"/>
  <c r="O44" i="2"/>
  <c r="O264" i="2"/>
  <c r="O151" i="2"/>
  <c r="O544" i="2"/>
  <c r="O207" i="2"/>
  <c r="O254" i="2"/>
  <c r="O438" i="2"/>
  <c r="O197" i="2"/>
  <c r="O318" i="2"/>
  <c r="O201" i="2"/>
  <c r="O336" i="2"/>
  <c r="O86" i="2"/>
  <c r="O205" i="2"/>
  <c r="O112" i="2"/>
  <c r="O72" i="2"/>
  <c r="O304" i="2"/>
  <c r="O321" i="2"/>
  <c r="O361" i="2"/>
  <c r="O324" i="2"/>
  <c r="O133" i="2"/>
  <c r="O213" i="2"/>
  <c r="O353" i="2"/>
  <c r="O217" i="2"/>
  <c r="O89" i="2"/>
  <c r="O190" i="2"/>
  <c r="O17" i="2"/>
  <c r="O442" i="2"/>
  <c r="O334" i="2"/>
  <c r="O445" i="2"/>
  <c r="O241" i="2"/>
  <c r="O200" i="2"/>
  <c r="O286" i="2"/>
  <c r="O204" i="2"/>
  <c r="O341" i="2"/>
  <c r="O446" i="2"/>
  <c r="O480" i="2"/>
  <c r="O397" i="2"/>
  <c r="O282" i="2"/>
  <c r="O10" i="2"/>
  <c r="O16" i="2"/>
  <c r="O345" i="2"/>
  <c r="O279" i="2"/>
  <c r="O385" i="2"/>
  <c r="O253" i="2"/>
  <c r="O187" i="2"/>
  <c r="O292" i="2"/>
  <c r="O36" i="2"/>
  <c r="O176" i="2"/>
  <c r="O502" i="2"/>
  <c r="O380" i="2"/>
  <c r="O4" i="2"/>
  <c r="O538" i="2"/>
  <c r="O222" i="2"/>
  <c r="O149" i="2"/>
  <c r="O51" i="2"/>
  <c r="O47" i="2"/>
  <c r="O130" i="2"/>
  <c r="O338" i="2"/>
  <c r="O35" i="2"/>
  <c r="O75" i="2"/>
  <c r="O303" i="2"/>
  <c r="O423" i="2"/>
  <c r="O96" i="2"/>
  <c r="O420" i="2"/>
  <c r="O436" i="2"/>
  <c r="O136" i="2"/>
  <c r="O376" i="2"/>
  <c r="O265" i="2"/>
  <c r="O170" i="2"/>
  <c r="O143" i="2"/>
  <c r="O342" i="2"/>
  <c r="O320" i="2"/>
  <c r="O90" i="2"/>
  <c r="O5" i="2"/>
  <c r="O288" i="2"/>
  <c r="O97" i="2"/>
  <c r="O517" i="2"/>
  <c r="O23" i="2"/>
  <c r="O270" i="2"/>
  <c r="O448" i="2"/>
  <c r="O211" i="2"/>
  <c r="O470" i="2"/>
  <c r="O165" i="2"/>
  <c r="O427" i="2"/>
  <c r="O545" i="2"/>
  <c r="O100" i="2"/>
  <c r="O111" i="2"/>
  <c r="O474" i="2"/>
  <c r="O250" i="2"/>
  <c r="O413" i="2"/>
  <c r="O188" i="2"/>
  <c r="O218" i="2"/>
  <c r="O46" i="2"/>
  <c r="O301" i="2"/>
  <c r="O373" i="2"/>
  <c r="O546" i="2"/>
  <c r="O256" i="2"/>
  <c r="O547" i="2"/>
  <c r="O77" i="2"/>
  <c r="O287" i="2"/>
  <c r="O83" i="2"/>
  <c r="O306" i="2"/>
  <c r="O137" i="2"/>
  <c r="O246" i="2"/>
  <c r="O392" i="2"/>
  <c r="O199" i="2"/>
  <c r="O196" i="2"/>
  <c r="O310" i="2"/>
  <c r="O209" i="2"/>
  <c r="O297" i="2"/>
  <c r="O377" i="2"/>
  <c r="O125" i="2"/>
  <c r="O369" i="2"/>
  <c r="O495" i="2"/>
  <c r="O41" i="2"/>
  <c r="O91" i="2"/>
  <c r="O139" i="2"/>
  <c r="O393" i="2"/>
  <c r="O492" i="2"/>
  <c r="O171" i="2"/>
  <c r="O314" i="2"/>
  <c r="O328" i="2"/>
  <c r="O333" i="2"/>
  <c r="O157" i="2"/>
  <c r="O163" i="2"/>
  <c r="O233" i="2"/>
  <c r="O235" i="2"/>
  <c r="O110" i="2"/>
  <c r="O159" i="2"/>
  <c r="O290" i="2"/>
  <c r="O272" i="2"/>
  <c r="O276" i="2"/>
  <c r="O431" i="2"/>
  <c r="O66" i="2"/>
  <c r="O359" i="2"/>
  <c r="O362" i="2"/>
  <c r="O271" i="2"/>
  <c r="O326" i="2"/>
  <c r="O346" i="2"/>
  <c r="O391" i="2"/>
  <c r="O103" i="2"/>
  <c r="O471" i="2"/>
  <c r="O284" i="2"/>
  <c r="O461" i="2"/>
  <c r="O67" i="2"/>
  <c r="O141" i="2"/>
  <c r="O548" i="2"/>
  <c r="O347" i="2"/>
  <c r="O398" i="2"/>
  <c r="O203" i="2"/>
  <c r="O236" i="2"/>
  <c r="O528" i="2"/>
  <c r="O489" i="2"/>
  <c r="O415" i="2"/>
  <c r="O319" i="2"/>
  <c r="O425" i="2"/>
  <c r="O70" i="2"/>
  <c r="O549" i="2"/>
  <c r="O126" i="2"/>
  <c r="O476" i="2"/>
  <c r="O194" i="2"/>
  <c r="O135" i="2"/>
  <c r="O550" i="2"/>
  <c r="O532" i="2"/>
  <c r="O192" i="2"/>
  <c r="O172" i="2"/>
  <c r="O258" i="2"/>
  <c r="O444" i="2"/>
  <c r="O551" i="2"/>
  <c r="O363" i="2"/>
  <c r="O484" i="2"/>
  <c r="O434" i="2"/>
  <c r="O129" i="2"/>
  <c r="O496" i="2"/>
  <c r="O202" i="2"/>
  <c r="O552" i="2"/>
  <c r="O372" i="2"/>
  <c r="O553" i="2"/>
  <c r="O244" i="2"/>
  <c r="O426" i="2"/>
  <c r="O437" i="2"/>
  <c r="O411" i="2"/>
  <c r="O406" i="2"/>
  <c r="O357" i="2"/>
  <c r="O107" i="2"/>
  <c r="O527" i="2"/>
  <c r="O388" i="2"/>
  <c r="O554" i="2"/>
  <c r="O454" i="2"/>
  <c r="O273" i="2"/>
  <c r="O98" i="2"/>
  <c r="O99" i="2"/>
  <c r="O240" i="2"/>
  <c r="O325" i="2"/>
  <c r="O208" i="2"/>
  <c r="O215" i="2"/>
  <c r="O443" i="2"/>
  <c r="O79" i="2"/>
  <c r="O512" i="2"/>
  <c r="O155" i="2"/>
  <c r="O132" i="2"/>
  <c r="O317" i="2"/>
  <c r="O381" i="2"/>
  <c r="O364" i="2"/>
  <c r="O106" i="2"/>
  <c r="O219" i="2"/>
  <c r="O127" i="2"/>
  <c r="O335" i="2"/>
  <c r="O182" i="2"/>
  <c r="O78" i="2"/>
  <c r="O313" i="2"/>
  <c r="O375" i="2"/>
  <c r="O390" i="2"/>
  <c r="O76" i="2"/>
  <c r="O39" i="2"/>
  <c r="O257" i="2"/>
  <c r="O509" i="2"/>
  <c r="O530" i="2"/>
  <c r="O283" i="2"/>
  <c r="O555" i="2"/>
  <c r="O216" i="2"/>
  <c r="O556" i="2"/>
  <c r="O400" i="2"/>
  <c r="O557" i="2"/>
  <c r="O430" i="2"/>
  <c r="O160" i="2"/>
  <c r="O384" i="2"/>
  <c r="O368" i="2"/>
  <c r="O382" i="2"/>
  <c r="O175" i="2"/>
  <c r="O367" i="2"/>
  <c r="O191" i="2"/>
  <c r="O150" i="2"/>
  <c r="O298" i="2"/>
  <c r="O221" i="2"/>
  <c r="O344" i="2"/>
  <c r="O410" i="2"/>
  <c r="O294" i="2"/>
  <c r="O268" i="2"/>
  <c r="O558" i="2"/>
  <c r="O378" i="2"/>
  <c r="O65" i="2"/>
  <c r="O323" i="2"/>
  <c r="O559" i="2"/>
  <c r="O560" i="2"/>
  <c r="O457" i="2"/>
  <c r="O295" i="2"/>
  <c r="O561" i="2"/>
  <c r="O309" i="2"/>
  <c r="O370" i="2"/>
  <c r="O153" i="2"/>
  <c r="O263" i="2"/>
  <c r="O293" i="2"/>
  <c r="O352" i="2"/>
  <c r="O562" i="2"/>
  <c r="O267" i="2"/>
  <c r="O156" i="2"/>
  <c r="O417" i="2"/>
  <c r="O563" i="2"/>
  <c r="O206" i="2"/>
  <c r="O355" i="2"/>
  <c r="O6" i="2"/>
  <c r="O315" i="2"/>
  <c r="O414" i="2"/>
  <c r="O564" i="2"/>
  <c r="O493" i="2"/>
  <c r="O463" i="2"/>
  <c r="O60" i="2"/>
  <c r="O467" i="2"/>
  <c r="O226" i="2"/>
  <c r="O234" i="2"/>
  <c r="O386" i="2"/>
  <c r="O330" i="2"/>
  <c r="O418" i="2"/>
  <c r="O565" i="2"/>
  <c r="O566" i="2"/>
  <c r="O249" i="2"/>
  <c r="O515" i="2"/>
  <c r="O460" i="2"/>
  <c r="O567" i="2"/>
  <c r="O568" i="2"/>
  <c r="O506" i="2"/>
  <c r="O174" i="2"/>
  <c r="O542" i="2"/>
  <c r="O396" i="2"/>
  <c r="O177" i="2"/>
  <c r="O229" i="2"/>
  <c r="O440" i="2"/>
  <c r="O412" i="2"/>
  <c r="O178" i="2"/>
  <c r="O482" i="2"/>
  <c r="O312" i="2"/>
  <c r="O300" i="2"/>
  <c r="O108" i="2"/>
  <c r="O13" i="2"/>
  <c r="O266" i="2"/>
  <c r="O356" i="2"/>
  <c r="O148" i="2"/>
  <c r="O536" i="2"/>
  <c r="O569" i="2"/>
  <c r="O504" i="2"/>
  <c r="O404" i="2"/>
  <c r="O570" i="2"/>
  <c r="O571" i="2"/>
  <c r="O432" i="2"/>
  <c r="O572" i="2"/>
  <c r="O403" i="2"/>
  <c r="O193" i="2"/>
  <c r="O329" i="2"/>
  <c r="O455" i="2"/>
  <c r="O429" i="2"/>
  <c r="O573" i="2"/>
  <c r="O466" i="2"/>
  <c r="O243" i="2"/>
  <c r="O458" i="2"/>
  <c r="O486" i="2"/>
  <c r="O503" i="2"/>
  <c r="O348" i="2"/>
  <c r="O449" i="2"/>
  <c r="O574" i="2"/>
  <c r="O575" i="2"/>
  <c r="O379" i="2"/>
  <c r="O510" i="2"/>
  <c r="O260" i="2"/>
  <c r="O472" i="2"/>
  <c r="O576" i="2"/>
  <c r="O522" i="2"/>
  <c r="O577" i="2"/>
  <c r="O578" i="2"/>
  <c r="O579" i="2"/>
  <c r="O580" i="2"/>
  <c r="O581" i="2"/>
  <c r="O308" i="2"/>
  <c r="O582" i="2"/>
  <c r="O371" i="2"/>
  <c r="O247" i="2"/>
  <c r="O184" i="2"/>
  <c r="O453" i="2"/>
  <c r="O280" i="2"/>
  <c r="O583" i="2"/>
  <c r="O584" i="2"/>
  <c r="O469" i="2"/>
  <c r="O540" i="2"/>
  <c r="O483" i="2"/>
  <c r="O428" i="2"/>
  <c r="O450" i="2"/>
  <c r="O291" i="2"/>
  <c r="O508" i="2"/>
  <c r="O350" i="2"/>
  <c r="O340" i="2"/>
  <c r="O585" i="2"/>
  <c r="O586" i="2"/>
  <c r="O534" i="2"/>
  <c r="O394" i="2"/>
  <c r="O587" i="2"/>
  <c r="O588" i="2"/>
  <c r="O494" i="2"/>
  <c r="O589" i="2"/>
  <c r="O395" i="2"/>
  <c r="O523" i="2"/>
  <c r="O590" i="2"/>
  <c r="O591" i="2"/>
  <c r="O405" i="2"/>
  <c r="O539" i="2"/>
  <c r="O462" i="2"/>
  <c r="O592" i="2"/>
  <c r="O593" i="2"/>
  <c r="O594" i="2"/>
  <c r="O198" i="2"/>
  <c r="O332" i="2"/>
  <c r="O595" i="2"/>
  <c r="O500" i="2"/>
  <c r="O596" i="2"/>
  <c r="O597" i="2"/>
  <c r="O237" i="2"/>
  <c r="O513" i="2"/>
  <c r="O598" i="2"/>
  <c r="O407" i="2"/>
  <c r="O169" i="2"/>
  <c r="O389" i="2"/>
  <c r="O505" i="2"/>
  <c r="O490" i="2"/>
  <c r="O541" i="2"/>
  <c r="O599" i="2"/>
  <c r="O402" i="2"/>
  <c r="O600" i="2"/>
  <c r="O451" i="2"/>
  <c r="O601" i="2"/>
  <c r="O602" i="2"/>
  <c r="O424" i="2"/>
  <c r="O499" i="2"/>
  <c r="O447" i="2"/>
  <c r="O603" i="2"/>
  <c r="O456" i="2"/>
  <c r="O481" i="2"/>
  <c r="O464" i="2"/>
  <c r="O604" i="2"/>
  <c r="O478" i="2"/>
  <c r="O401" i="2"/>
  <c r="O605" i="2"/>
  <c r="O606" i="2"/>
  <c r="O607" i="2"/>
  <c r="O305" i="2"/>
  <c r="O608" i="2"/>
  <c r="O609" i="2"/>
  <c r="O468" i="2"/>
  <c r="O610" i="2"/>
  <c r="O611" i="2"/>
  <c r="O441" i="2"/>
  <c r="O475" i="2"/>
  <c r="O501" i="2"/>
  <c r="O516" i="2"/>
  <c r="O459" i="2"/>
  <c r="O514" i="2"/>
  <c r="O526" i="2"/>
  <c r="O612" i="2"/>
  <c r="O487" i="2"/>
  <c r="O520" i="2"/>
  <c r="O613" i="2"/>
  <c r="O614" i="2"/>
  <c r="O615" i="2"/>
  <c r="O616" i="2"/>
  <c r="O498" i="2"/>
  <c r="O617" i="2"/>
  <c r="O618" i="2"/>
  <c r="O465" i="2"/>
  <c r="O518" i="2"/>
  <c r="O488" i="2"/>
  <c r="O507" i="2"/>
  <c r="O619" i="2"/>
  <c r="O477" i="2"/>
  <c r="O620" i="2"/>
  <c r="O511" i="2"/>
  <c r="O621" i="2"/>
  <c r="O622" i="2"/>
  <c r="O535" i="2"/>
  <c r="O623" i="2"/>
  <c r="O491" i="2"/>
  <c r="O624" i="2"/>
  <c r="O625" i="2"/>
  <c r="O626" i="2"/>
  <c r="O627" i="2"/>
  <c r="O524" i="2"/>
  <c r="O525" i="2"/>
  <c r="O479" i="2"/>
  <c r="O497" i="2"/>
  <c r="O628" i="2"/>
  <c r="O629" i="2"/>
  <c r="O630" i="2"/>
  <c r="O631" i="2"/>
  <c r="O485" i="2"/>
  <c r="O531" i="2"/>
  <c r="O632" i="2"/>
  <c r="O633" i="2"/>
  <c r="O634" i="2"/>
  <c r="O529" i="2"/>
  <c r="O521" i="2"/>
  <c r="O635" i="2"/>
  <c r="O416" i="2"/>
  <c r="O519" i="2"/>
  <c r="O636" i="2"/>
  <c r="O637" i="2"/>
  <c r="O638" i="2"/>
  <c r="O639" i="2"/>
  <c r="O533" i="2"/>
  <c r="O435" i="2"/>
  <c r="O640" i="2"/>
  <c r="O641" i="2"/>
  <c r="O452" i="2"/>
  <c r="O642" i="2"/>
  <c r="O643" i="2"/>
  <c r="O644" i="2"/>
  <c r="O645" i="2"/>
  <c r="O116" i="2"/>
</calcChain>
</file>

<file path=xl/sharedStrings.xml><?xml version="1.0" encoding="utf-8"?>
<sst xmlns="http://schemas.openxmlformats.org/spreadsheetml/2006/main" count="8135" uniqueCount="1038">
  <si>
    <t>Player</t>
  </si>
  <si>
    <t>Roster Position</t>
  </si>
  <si>
    <t>%Drafted</t>
  </si>
  <si>
    <t>FPTS</t>
  </si>
  <si>
    <t>Mikael Granlund</t>
  </si>
  <si>
    <t>C</t>
  </si>
  <si>
    <t>Ilya Sorokin</t>
  </si>
  <si>
    <t>G</t>
  </si>
  <si>
    <t>Connor McDavid</t>
  </si>
  <si>
    <t>Beckett Sennecke</t>
  </si>
  <si>
    <t>W</t>
  </si>
  <si>
    <t>Morgan Geekie</t>
  </si>
  <si>
    <t>Matty Beniers</t>
  </si>
  <si>
    <t>Filip Gustavsson</t>
  </si>
  <si>
    <t>Macklin Celebrini</t>
  </si>
  <si>
    <t>UTIL</t>
  </si>
  <si>
    <t>Mattias Samuelsson</t>
  </si>
  <si>
    <t>D</t>
  </si>
  <si>
    <t>David Pastrnak</t>
  </si>
  <si>
    <t>Justin Brazeau</t>
  </si>
  <si>
    <t>Zach Hyman</t>
  </si>
  <si>
    <t>Alex DeBrincat</t>
  </si>
  <si>
    <t>Elias Pettersson</t>
  </si>
  <si>
    <t>Nathan MacKinnon</t>
  </si>
  <si>
    <t>Jordan Eberle</t>
  </si>
  <si>
    <t>Cutter Gauthier</t>
  </si>
  <si>
    <t>Devin Cooley</t>
  </si>
  <si>
    <t>Evgeni Malkin</t>
  </si>
  <si>
    <t>Tyler Bertuzzi</t>
  </si>
  <si>
    <t>Jared McCann</t>
  </si>
  <si>
    <t>Fraser Minten</t>
  </si>
  <si>
    <t>Viktor Arvidsson</t>
  </si>
  <si>
    <t>Will Smith</t>
  </si>
  <si>
    <t>Pavel Zacha</t>
  </si>
  <si>
    <t>John Gibson</t>
  </si>
  <si>
    <t>Jeremy Swayman</t>
  </si>
  <si>
    <t>Alex Killorn</t>
  </si>
  <si>
    <t>Joel Eriksson Ek</t>
  </si>
  <si>
    <t>Dylan Larkin</t>
  </si>
  <si>
    <t>Charlie McAvoy</t>
  </si>
  <si>
    <t>Simon Holmstrom</t>
  </si>
  <si>
    <t>Leon Draisaitl</t>
  </si>
  <si>
    <t>Brandt Clarke</t>
  </si>
  <si>
    <t>Jackson LaCombe</t>
  </si>
  <si>
    <t>Sam Bennett</t>
  </si>
  <si>
    <t>Steven Stamkos</t>
  </si>
  <si>
    <t>Darnell Nurse</t>
  </si>
  <si>
    <t>Lukas Dostal</t>
  </si>
  <si>
    <t>Darren Raddysh</t>
  </si>
  <si>
    <t>Egor Chinakhov</t>
  </si>
  <si>
    <t>Tony DeAngelo</t>
  </si>
  <si>
    <t>Evan Bouchard</t>
  </si>
  <si>
    <t>Chris Kreider</t>
  </si>
  <si>
    <t>Justin Faulk</t>
  </si>
  <si>
    <t>Nikita Kucherov</t>
  </si>
  <si>
    <t>Sidney Crosby</t>
  </si>
  <si>
    <t>Moritz Seider</t>
  </si>
  <si>
    <t>Lucas Raymond</t>
  </si>
  <si>
    <t>Kirill Kaprizov</t>
  </si>
  <si>
    <t>Filip Hronek</t>
  </si>
  <si>
    <t>Jesper Bratt</t>
  </si>
  <si>
    <t>Matt Boldy</t>
  </si>
  <si>
    <t>Quinn Hughes</t>
  </si>
  <si>
    <t>Erik Karlsson</t>
  </si>
  <si>
    <t>Ryan Hartman</t>
  </si>
  <si>
    <t>Ryan O'Reilly</t>
  </si>
  <si>
    <t>Patrick Kane</t>
  </si>
  <si>
    <t>Trevor Zegras</t>
  </si>
  <si>
    <t>Ryan Nugent-Hopkins</t>
  </si>
  <si>
    <t>Roman Josi</t>
  </si>
  <si>
    <t>Seth Jarvis</t>
  </si>
  <si>
    <t>Sebastian Aho</t>
  </si>
  <si>
    <t>Cam York</t>
  </si>
  <si>
    <t>Rickard Rakell</t>
  </si>
  <si>
    <t>Mason Lohrei</t>
  </si>
  <si>
    <t>Dougie Hamilton</t>
  </si>
  <si>
    <t>Alex Lyon</t>
  </si>
  <si>
    <t>Ondrej Palat</t>
  </si>
  <si>
    <t>Brock Nelson</t>
  </si>
  <si>
    <t>Simon Nemec</t>
  </si>
  <si>
    <t>Matthew Tkachuk</t>
  </si>
  <si>
    <t>Daniil Tarasov</t>
  </si>
  <si>
    <t>Tage Thompson</t>
  </si>
  <si>
    <t>Brock Faber</t>
  </si>
  <si>
    <t>Vince Dunn</t>
  </si>
  <si>
    <t>Andrei Vasilevskiy</t>
  </si>
  <si>
    <t>Marco Kasper</t>
  </si>
  <si>
    <t>Karel Vejmelka</t>
  </si>
  <si>
    <t>Mathew Barzal</t>
  </si>
  <si>
    <t>Brandon Hagel</t>
  </si>
  <si>
    <t>Shayne Gostisbehere</t>
  </si>
  <si>
    <t>Jack Hughes</t>
  </si>
  <si>
    <t>Martin Necas</t>
  </si>
  <si>
    <t>Victor Olofsson</t>
  </si>
  <si>
    <t>Hampus Lindholm</t>
  </si>
  <si>
    <t>Anthony Duclair</t>
  </si>
  <si>
    <t>Nico Hischier</t>
  </si>
  <si>
    <t>Cole Caufield</t>
  </si>
  <si>
    <t>Jake Oettinger</t>
  </si>
  <si>
    <t>John Klingberg</t>
  </si>
  <si>
    <t>Jason Zucker</t>
  </si>
  <si>
    <t>Jared Spurgeon</t>
  </si>
  <si>
    <t>Travis Sanheim</t>
  </si>
  <si>
    <t>Rasmus Dahlin</t>
  </si>
  <si>
    <t>Cale Makar</t>
  </si>
  <si>
    <t>Anthony Cirelli</t>
  </si>
  <si>
    <t>Jake DeBrusk</t>
  </si>
  <si>
    <t>Anthony Mantha</t>
  </si>
  <si>
    <t>Emil Heineman</t>
  </si>
  <si>
    <t>Evan Rodrigues</t>
  </si>
  <si>
    <t>Auston Matthews</t>
  </si>
  <si>
    <t>Noah Dobson</t>
  </si>
  <si>
    <t>Connor Hellebuyck</t>
  </si>
  <si>
    <t>Mats Zuccarello</t>
  </si>
  <si>
    <t>Brandon Bussi</t>
  </si>
  <si>
    <t>Andrei Svechnikov</t>
  </si>
  <si>
    <t>Colton Parayko</t>
  </si>
  <si>
    <t>Kris Letang</t>
  </si>
  <si>
    <t>Pavel Mintyukov</t>
  </si>
  <si>
    <t>Arturs Silovs</t>
  </si>
  <si>
    <t>Brent Burns</t>
  </si>
  <si>
    <t>Bo Horvat</t>
  </si>
  <si>
    <t>Brad Marchand</t>
  </si>
  <si>
    <t>Alex Laferriere</t>
  </si>
  <si>
    <t>Josh Doan</t>
  </si>
  <si>
    <t>Ryan McDonagh</t>
  </si>
  <si>
    <t>Esa Lindell</t>
  </si>
  <si>
    <t>Frank Nazar</t>
  </si>
  <si>
    <t>Teddy Blueger</t>
  </si>
  <si>
    <t>Morgan Rielly</t>
  </si>
  <si>
    <t>Nikita Tolopilo</t>
  </si>
  <si>
    <t>Timo Meier</t>
  </si>
  <si>
    <t>John Tavares</t>
  </si>
  <si>
    <t>Connor Bedard</t>
  </si>
  <si>
    <t>Kasperi Kapanen</t>
  </si>
  <si>
    <t>Andrew Copp</t>
  </si>
  <si>
    <t>Wyatt Johnston</t>
  </si>
  <si>
    <t>Aliaksei Protas</t>
  </si>
  <si>
    <t>Roope Hintz</t>
  </si>
  <si>
    <t>Joey Daccord</t>
  </si>
  <si>
    <t>Artturi Lehkonen</t>
  </si>
  <si>
    <t>Jake Walman</t>
  </si>
  <si>
    <t>Christian Dvorak</t>
  </si>
  <si>
    <t>Alex Tuch</t>
  </si>
  <si>
    <t>Joel Hofer</t>
  </si>
  <si>
    <t>Noah Hanifin</t>
  </si>
  <si>
    <t>Rasmus Andersson</t>
  </si>
  <si>
    <t>J.J. Moser</t>
  </si>
  <si>
    <t>Tommy Novak</t>
  </si>
  <si>
    <t>Evander Kane</t>
  </si>
  <si>
    <t>Sean Durzi</t>
  </si>
  <si>
    <t>Jimmy Snuggerud</t>
  </si>
  <si>
    <t>Pavel Buchnevich</t>
  </si>
  <si>
    <t>Valeri Nichushkin</t>
  </si>
  <si>
    <t>Ryan Shea</t>
  </si>
  <si>
    <t>Conor Garland</t>
  </si>
  <si>
    <t>Jean-Gabriel Pageau</t>
  </si>
  <si>
    <t>Tyler Toffoli</t>
  </si>
  <si>
    <t>Ben Kindel</t>
  </si>
  <si>
    <t>Adam Larsson</t>
  </si>
  <si>
    <t>Matthew Schaefer</t>
  </si>
  <si>
    <t>Lenni Hameenaho</t>
  </si>
  <si>
    <t>Alexandre Carrier</t>
  </si>
  <si>
    <t>Jack Quinn</t>
  </si>
  <si>
    <t>Sam Reinhart</t>
  </si>
  <si>
    <t>Jakob Chychrun</t>
  </si>
  <si>
    <t>Ross Colton</t>
  </si>
  <si>
    <t>Linus Karlsson</t>
  </si>
  <si>
    <t>Jake Guentzel</t>
  </si>
  <si>
    <t>Carter Verhaeghe</t>
  </si>
  <si>
    <t>Kevin Fiala</t>
  </si>
  <si>
    <t>Yaroslav Askarov</t>
  </si>
  <si>
    <t>Uvis Balinskis</t>
  </si>
  <si>
    <t>Jason Robertson</t>
  </si>
  <si>
    <t>Mario Ferraro</t>
  </si>
  <si>
    <t>Jaden Schwartz</t>
  </si>
  <si>
    <t>J.T. Miller</t>
  </si>
  <si>
    <t>Corey Perry</t>
  </si>
  <si>
    <t>Connor Murphy</t>
  </si>
  <si>
    <t>Anders Lee</t>
  </si>
  <si>
    <t>Pavol Regenda</t>
  </si>
  <si>
    <t>Matt Coronato</t>
  </si>
  <si>
    <t>Brett Pesce</t>
  </si>
  <si>
    <t>Marcus Johansson</t>
  </si>
  <si>
    <t>Bowen Byram</t>
  </si>
  <si>
    <t>Mitch Marner</t>
  </si>
  <si>
    <t>Oliver Ekman-Larsson</t>
  </si>
  <si>
    <t>Alexander Wennberg</t>
  </si>
  <si>
    <t>Noah Ostlund</t>
  </si>
  <si>
    <t>Arseny Gritsyuk</t>
  </si>
  <si>
    <t>Jackson Blake</t>
  </si>
  <si>
    <t>James van Riemsdyk</t>
  </si>
  <si>
    <t>Jacob Markstrom</t>
  </si>
  <si>
    <t>Vladimir Tarasenko</t>
  </si>
  <si>
    <t>Ryan Poehling</t>
  </si>
  <si>
    <t>Jacob Trouba</t>
  </si>
  <si>
    <t>Zach Benson</t>
  </si>
  <si>
    <t>Konsta Helenius</t>
  </si>
  <si>
    <t>Alexander Nikishin</t>
  </si>
  <si>
    <t>Parker Wotherspoon</t>
  </si>
  <si>
    <t>Matthew Knies</t>
  </si>
  <si>
    <t>Brandon Montour</t>
  </si>
  <si>
    <t>Matt Duchene</t>
  </si>
  <si>
    <t>Ryan McLeod</t>
  </si>
  <si>
    <t>Tomas Hertl</t>
  </si>
  <si>
    <t>Filip Forsberg</t>
  </si>
  <si>
    <t>Luke Evangelista</t>
  </si>
  <si>
    <t>Jake McCabe</t>
  </si>
  <si>
    <t>Jonathan Marchessault</t>
  </si>
  <si>
    <t>Max Domi</t>
  </si>
  <si>
    <t>Collin Graf</t>
  </si>
  <si>
    <t>Thomas Harley</t>
  </si>
  <si>
    <t>Josh Manson</t>
  </si>
  <si>
    <t>Jack Eichel</t>
  </si>
  <si>
    <t>Teuvo Teravainen</t>
  </si>
  <si>
    <t>Owen Tippett</t>
  </si>
  <si>
    <t>Jonathan Lekkerimaki</t>
  </si>
  <si>
    <t>Brayden Schenn</t>
  </si>
  <si>
    <t>Parker Kelly</t>
  </si>
  <si>
    <t>Filip Chytil</t>
  </si>
  <si>
    <t>Tom Willander</t>
  </si>
  <si>
    <t>Zach Whitecloud</t>
  </si>
  <si>
    <t>Jaccob Slavin</t>
  </si>
  <si>
    <t>Mikko Rantanen</t>
  </si>
  <si>
    <t>Alexandre Texier</t>
  </si>
  <si>
    <t>Nick Suzuki</t>
  </si>
  <si>
    <t>Sam Malinski</t>
  </si>
  <si>
    <t>Alex Vlasic</t>
  </si>
  <si>
    <t>Eeli Tolvanen</t>
  </si>
  <si>
    <t>Kaapo Kakko</t>
  </si>
  <si>
    <t>Chandler Stephenson</t>
  </si>
  <si>
    <t>Ben Chiarot</t>
  </si>
  <si>
    <t>Matvei Michkov</t>
  </si>
  <si>
    <t>Mark Scheifele</t>
  </si>
  <si>
    <t>Shea Theodore</t>
  </si>
  <si>
    <t>Ivan Demidov</t>
  </si>
  <si>
    <t>Dawson Mercer</t>
  </si>
  <si>
    <t>Alexis Lafreniere</t>
  </si>
  <si>
    <t>Evgenii Dadonov</t>
  </si>
  <si>
    <t>Jansen Harkins</t>
  </si>
  <si>
    <t>Mike Matheson</t>
  </si>
  <si>
    <t>Alex Ovechkin</t>
  </si>
  <si>
    <t>Artyom Levshunov</t>
  </si>
  <si>
    <t>Pavel Dorofeyev</t>
  </si>
  <si>
    <t>Kyle Connor</t>
  </si>
  <si>
    <t>Barrett Hayton</t>
  </si>
  <si>
    <t>Oliver Kapanen</t>
  </si>
  <si>
    <t>Braeden Bowman</t>
  </si>
  <si>
    <t>Sean Walker</t>
  </si>
  <si>
    <t>Aaron Ekblad</t>
  </si>
  <si>
    <t>Andre Burakovsky</t>
  </si>
  <si>
    <t>Johnathan Kovacevic</t>
  </si>
  <si>
    <t>Dalibor Dvorsky</t>
  </si>
  <si>
    <t>Jonatan Berggren</t>
  </si>
  <si>
    <t>Jamie Drysdale</t>
  </si>
  <si>
    <t>Taylor Hall</t>
  </si>
  <si>
    <t>Tyler Myers</t>
  </si>
  <si>
    <t>Danila Yurov</t>
  </si>
  <si>
    <t>Juuse Saros</t>
  </si>
  <si>
    <t>Bobby McMann</t>
  </si>
  <si>
    <t>Justin Sourdif</t>
  </si>
  <si>
    <t>Lawson Crouse</t>
  </si>
  <si>
    <t>Scott Wedgewood</t>
  </si>
  <si>
    <t>Nazem Kadri</t>
  </si>
  <si>
    <t>Mark Stone</t>
  </si>
  <si>
    <t>Drew Doughty</t>
  </si>
  <si>
    <t>Mika Zibanejad</t>
  </si>
  <si>
    <t>Mackie Samoskevich</t>
  </si>
  <si>
    <t>Jake Middleton</t>
  </si>
  <si>
    <t>K'Andre Miller</t>
  </si>
  <si>
    <t>Gustav Forsling</t>
  </si>
  <si>
    <t>Jakub Dobes</t>
  </si>
  <si>
    <t>Jordan Staal</t>
  </si>
  <si>
    <t>Axel Sandin-Pellikka</t>
  </si>
  <si>
    <t>Charlie Lindgren</t>
  </si>
  <si>
    <t>Connor Ingram</t>
  </si>
  <si>
    <t>Clayton Keller</t>
  </si>
  <si>
    <t>Keaton Middleton</t>
  </si>
  <si>
    <t>Justin Hryckowian</t>
  </si>
  <si>
    <t>Owen Power</t>
  </si>
  <si>
    <t>Ryan Donato</t>
  </si>
  <si>
    <t>Dylan Strome</t>
  </si>
  <si>
    <t>Jonathan Drouin</t>
  </si>
  <si>
    <t>Quinton Byfield</t>
  </si>
  <si>
    <t>Noah Cates</t>
  </si>
  <si>
    <t>Jack Roslovic</t>
  </si>
  <si>
    <t>Gabriel Vilardi</t>
  </si>
  <si>
    <t>MacKenzie Weegar</t>
  </si>
  <si>
    <t>Casey Mittelstadt</t>
  </si>
  <si>
    <t>Miro Heiskanen</t>
  </si>
  <si>
    <t>Louis Crevier</t>
  </si>
  <si>
    <t>Gabe Perreault</t>
  </si>
  <si>
    <t>Jason Dickinson</t>
  </si>
  <si>
    <t>Kaiden Guhle</t>
  </si>
  <si>
    <t>Nick Seeler</t>
  </si>
  <si>
    <t>Adrian Kempe</t>
  </si>
  <si>
    <t>Nikolaj Ehlers</t>
  </si>
  <si>
    <t>Mikhail Sergachev</t>
  </si>
  <si>
    <t>Jordan Kyrou</t>
  </si>
  <si>
    <t>Matt Savoie</t>
  </si>
  <si>
    <t>Dominic James</t>
  </si>
  <si>
    <t>Brady Skjei</t>
  </si>
  <si>
    <t>William Eklund</t>
  </si>
  <si>
    <t>Logan Stankoven</t>
  </si>
  <si>
    <t>Vasily Podkolzin</t>
  </si>
  <si>
    <t>Mikael Backlund</t>
  </si>
  <si>
    <t>Martin Fehervary</t>
  </si>
  <si>
    <t>Connor Brown</t>
  </si>
  <si>
    <t>Jack McBain</t>
  </si>
  <si>
    <t>Reilly Smith</t>
  </si>
  <si>
    <t>Mattias Ekholm</t>
  </si>
  <si>
    <t>Nino Niederreiter</t>
  </si>
  <si>
    <t>Justus Annunen</t>
  </si>
  <si>
    <t>Marat Khusnutdinov</t>
  </si>
  <si>
    <t>Easton Cowan</t>
  </si>
  <si>
    <t>Jordan Martinook</t>
  </si>
  <si>
    <t>Will Cuylle</t>
  </si>
  <si>
    <t>Olen Zellweger</t>
  </si>
  <si>
    <t>Arvid Soderblom</t>
  </si>
  <si>
    <t>Josh Morrissey</t>
  </si>
  <si>
    <t>Lane Hutson</t>
  </si>
  <si>
    <t>Nick Schmaltz</t>
  </si>
  <si>
    <t>Igor Chernyshov</t>
  </si>
  <si>
    <t>Trevor Moore</t>
  </si>
  <si>
    <t>Vladislav Gavrikov</t>
  </si>
  <si>
    <t>Tom Wilson</t>
  </si>
  <si>
    <t>Jack Drury</t>
  </si>
  <si>
    <t>Darcy Kuemper</t>
  </si>
  <si>
    <t>JJ Peterka</t>
  </si>
  <si>
    <t>Marcus Foligno</t>
  </si>
  <si>
    <t>Connor Zary</t>
  </si>
  <si>
    <t>Michael Kesselring</t>
  </si>
  <si>
    <t>Shane Wright</t>
  </si>
  <si>
    <t>Ryan Leonard</t>
  </si>
  <si>
    <t>Spencer Martin</t>
  </si>
  <si>
    <t>Connor McMichael</t>
  </si>
  <si>
    <t>Phillip Danault</t>
  </si>
  <si>
    <t>Philip Broberg</t>
  </si>
  <si>
    <t>Matias Maccelli</t>
  </si>
  <si>
    <t>Jonathan Quick</t>
  </si>
  <si>
    <t>Peyton Krebs</t>
  </si>
  <si>
    <t>Nick Lardis</t>
  </si>
  <si>
    <t>Marcus Pettersson</t>
  </si>
  <si>
    <t>Scott Laughton</t>
  </si>
  <si>
    <t>Andrew Peeke</t>
  </si>
  <si>
    <t>Vladislav Namestnikov</t>
  </si>
  <si>
    <t>Ivan Barbashev</t>
  </si>
  <si>
    <t>Troy Stecher</t>
  </si>
  <si>
    <t>Anthony Stolarz</t>
  </si>
  <si>
    <t>Morgan Frost</t>
  </si>
  <si>
    <t>Freddy Gaudreau</t>
  </si>
  <si>
    <t>Michael Misa</t>
  </si>
  <si>
    <t>Jonathan Huberdeau</t>
  </si>
  <si>
    <t>Noah Laba</t>
  </si>
  <si>
    <t>Ryan Pulock</t>
  </si>
  <si>
    <t>Ian Cole</t>
  </si>
  <si>
    <t>Yanni Gourde</t>
  </si>
  <si>
    <t>Adam Pelech</t>
  </si>
  <si>
    <t>William Carrier</t>
  </si>
  <si>
    <t>Logan Stanley</t>
  </si>
  <si>
    <t>Dennis Hildeby</t>
  </si>
  <si>
    <t>Jonathan Aspirot</t>
  </si>
  <si>
    <t>Eetu Luostarinen</t>
  </si>
  <si>
    <t>Ryan Strome</t>
  </si>
  <si>
    <t>Vincent Trocheck</t>
  </si>
  <si>
    <t>Sam Colangelo</t>
  </si>
  <si>
    <t>Cole Smith</t>
  </si>
  <si>
    <t>Spencer Stastney</t>
  </si>
  <si>
    <t>Jake Evans</t>
  </si>
  <si>
    <t>Yan Kuznetsov</t>
  </si>
  <si>
    <t>Brandon Carlo</t>
  </si>
  <si>
    <t>Yegor Sharangovich</t>
  </si>
  <si>
    <t>Drew O'Connor</t>
  </si>
  <si>
    <t>Dylan DeMelo</t>
  </si>
  <si>
    <t>Maxim Tsyplakov</t>
  </si>
  <si>
    <t>Nils Lundkvist</t>
  </si>
  <si>
    <t>Jeff Skinner</t>
  </si>
  <si>
    <t>Jalen Chatfield</t>
  </si>
  <si>
    <t>Erik Cernak</t>
  </si>
  <si>
    <t>Sean Couturier</t>
  </si>
  <si>
    <t>Jeremy Lauzon</t>
  </si>
  <si>
    <t>Nikita Zadorov</t>
  </si>
  <si>
    <t>Radko Gudas</t>
  </si>
  <si>
    <t>Josh Samanski</t>
  </si>
  <si>
    <t>Ryan Lindgren</t>
  </si>
  <si>
    <t>Oliver Moore</t>
  </si>
  <si>
    <t>Mavrik Bourque</t>
  </si>
  <si>
    <t>Ryan Greene</t>
  </si>
  <si>
    <t>Brenden Dillon</t>
  </si>
  <si>
    <t>Adin Hill</t>
  </si>
  <si>
    <t>Denver Barkey</t>
  </si>
  <si>
    <t>Samuel Ersson</t>
  </si>
  <si>
    <t>Alex Iafallo</t>
  </si>
  <si>
    <t>J.T. Compher</t>
  </si>
  <si>
    <t>Samuel Girard</t>
  </si>
  <si>
    <t>Trevor van Riemsdyk</t>
  </si>
  <si>
    <t>Sergei Bobrovsky</t>
  </si>
  <si>
    <t>Nick Blankenburg</t>
  </si>
  <si>
    <t>Aatu Raty</t>
  </si>
  <si>
    <t>Jake Neighbours</t>
  </si>
  <si>
    <t>Michael Carcone</t>
  </si>
  <si>
    <t>Ilya Mikheyev</t>
  </si>
  <si>
    <t>Gage Goncalves</t>
  </si>
  <si>
    <t>Erik Haula</t>
  </si>
  <si>
    <t>Bobby Brink</t>
  </si>
  <si>
    <t>Kevin Hayes</t>
  </si>
  <si>
    <t>Kirby Dach</t>
  </si>
  <si>
    <t>Troy Terry</t>
  </si>
  <si>
    <t>Joel Edmundson</t>
  </si>
  <si>
    <t>Cole Koepke</t>
  </si>
  <si>
    <t>Kevin Bahl</t>
  </si>
  <si>
    <t>Hendrix Lapierre</t>
  </si>
  <si>
    <t>Anthony Beauvillier</t>
  </si>
  <si>
    <t>Brandon Duhaime</t>
  </si>
  <si>
    <t>Matt Grzelcyk</t>
  </si>
  <si>
    <t>John Marino</t>
  </si>
  <si>
    <t>Rasmus Sandin</t>
  </si>
  <si>
    <t>Nicolas Roy</t>
  </si>
  <si>
    <t>Jacob Bernard-Docker</t>
  </si>
  <si>
    <t>Taylor Ward</t>
  </si>
  <si>
    <t>Colten Ellis</t>
  </si>
  <si>
    <t>Zack Bolduc</t>
  </si>
  <si>
    <t>Ben Hutton</t>
  </si>
  <si>
    <t>Nico Sturm</t>
  </si>
  <si>
    <t>Vincent Desharnais</t>
  </si>
  <si>
    <t>Ty Emberson</t>
  </si>
  <si>
    <t>Blake Lizotte</t>
  </si>
  <si>
    <t>Max Shabanov</t>
  </si>
  <si>
    <t>Nate Schmidt</t>
  </si>
  <si>
    <t>Joel Kiviranta</t>
  </si>
  <si>
    <t>Sam Rinzel</t>
  </si>
  <si>
    <t>Cole Schwindt</t>
  </si>
  <si>
    <t>Henri Jokiharju</t>
  </si>
  <si>
    <t>Niko Mikkola</t>
  </si>
  <si>
    <t>Calle Jarnkrok</t>
  </si>
  <si>
    <t>Curtis Lazar</t>
  </si>
  <si>
    <t>Trent Frederic</t>
  </si>
  <si>
    <t>Rutger McGroarty</t>
  </si>
  <si>
    <t>Gavin Brindley</t>
  </si>
  <si>
    <t>Emmitt Finnie</t>
  </si>
  <si>
    <t>Yakov Trenin</t>
  </si>
  <si>
    <t>Cam Fowler</t>
  </si>
  <si>
    <t>Juho Lammikko</t>
  </si>
  <si>
    <t>Braden Schneider</t>
  </si>
  <si>
    <t>Jonas Siegenthaler</t>
  </si>
  <si>
    <t>Michael McCarron</t>
  </si>
  <si>
    <t>Justin Barron</t>
  </si>
  <si>
    <t>Adam Gaudette</t>
  </si>
  <si>
    <t>Kaedan Korczak</t>
  </si>
  <si>
    <t>Justin Robidas</t>
  </si>
  <si>
    <t>Jonathan Toews</t>
  </si>
  <si>
    <t>John Carlson</t>
  </si>
  <si>
    <t>Jonas Johansson</t>
  </si>
  <si>
    <t>Wyatt Kaiser</t>
  </si>
  <si>
    <t>Travis Konecny</t>
  </si>
  <si>
    <t>Andrei Kuzmenko</t>
  </si>
  <si>
    <t>Trent Miner</t>
  </si>
  <si>
    <t>Michael Bunting</t>
  </si>
  <si>
    <t>Nic Dowd</t>
  </si>
  <si>
    <t>Cole Perfetti</t>
  </si>
  <si>
    <t>Isaac Howard</t>
  </si>
  <si>
    <t>Matvei Gridin</t>
  </si>
  <si>
    <t>Adam Lowry</t>
  </si>
  <si>
    <t>Dmitry Orlov</t>
  </si>
  <si>
    <t>name</t>
  </si>
  <si>
    <t>team</t>
  </si>
  <si>
    <t>position</t>
  </si>
  <si>
    <t>salary</t>
  </si>
  <si>
    <t>projected_fpts</t>
  </si>
  <si>
    <t>dk_avg_fpts</t>
  </si>
  <si>
    <t>edge</t>
  </si>
  <si>
    <t>value</t>
  </si>
  <si>
    <t>floor</t>
  </si>
  <si>
    <t>ceiling</t>
  </si>
  <si>
    <t>predicted_ownership</t>
  </si>
  <si>
    <t>ownership_tier</t>
  </si>
  <si>
    <t>leverage_score</t>
  </si>
  <si>
    <t>dk_id</t>
  </si>
  <si>
    <t>COL</t>
  </si>
  <si>
    <t>Low (5-10%)</t>
  </si>
  <si>
    <t>EDM</t>
  </si>
  <si>
    <t>TBL</t>
  </si>
  <si>
    <t>Contrarian (&lt;5%)</t>
  </si>
  <si>
    <t>VGK</t>
  </si>
  <si>
    <t>SJS</t>
  </si>
  <si>
    <t>BOS</t>
  </si>
  <si>
    <t>BUF</t>
  </si>
  <si>
    <t>MIN</t>
  </si>
  <si>
    <t>DAL</t>
  </si>
  <si>
    <t>ANA</t>
  </si>
  <si>
    <t>TOR</t>
  </si>
  <si>
    <t>CHI</t>
  </si>
  <si>
    <t>DET</t>
  </si>
  <si>
    <t>FLA</t>
  </si>
  <si>
    <t>NYI</t>
  </si>
  <si>
    <t>NJD</t>
  </si>
  <si>
    <t>WPG</t>
  </si>
  <si>
    <t>MTL</t>
  </si>
  <si>
    <t>CAR</t>
  </si>
  <si>
    <t>PIT</t>
  </si>
  <si>
    <t>WSH</t>
  </si>
  <si>
    <t>NYR</t>
  </si>
  <si>
    <t>CGY</t>
  </si>
  <si>
    <t>Bryan Rust</t>
  </si>
  <si>
    <t>STL</t>
  </si>
  <si>
    <t>SEA</t>
  </si>
  <si>
    <t>NSH</t>
  </si>
  <si>
    <t>UTA</t>
  </si>
  <si>
    <t>LAK</t>
  </si>
  <si>
    <t>PHI</t>
  </si>
  <si>
    <t>VAN</t>
  </si>
  <si>
    <t>Juraj Slafkovsk√Ω</t>
  </si>
  <si>
    <t>Alexis Lafreni√®re</t>
  </si>
  <si>
    <t>Tobias Bjornfot</t>
  </si>
  <si>
    <t>Kevin Lankinen</t>
  </si>
  <si>
    <t>Ethen Frank</t>
  </si>
  <si>
    <t>Joel Farabee</t>
  </si>
  <si>
    <t>Oliver Bjorkstrand</t>
  </si>
  <si>
    <t>Isak Rosen</t>
  </si>
  <si>
    <t>Nicholas Robertson</t>
  </si>
  <si>
    <t>Mike Reilly</t>
  </si>
  <si>
    <t>Max Crozier</t>
  </si>
  <si>
    <t>Connor Dewar</t>
  </si>
  <si>
    <t>Michael Eyssimont</t>
  </si>
  <si>
    <t>Joel Armia</t>
  </si>
  <si>
    <t>Morgan Barron</t>
  </si>
  <si>
    <t>Matthew Wood</t>
  </si>
  <si>
    <t>Pontus Holmberg</t>
  </si>
  <si>
    <t>Jamie Benn</t>
  </si>
  <si>
    <t>Marshall Warren</t>
  </si>
  <si>
    <t>A.J. Greer</t>
  </si>
  <si>
    <t>Matthew Robertson</t>
  </si>
  <si>
    <t>Josh Anderson</t>
  </si>
  <si>
    <t>Joel Nystrom</t>
  </si>
  <si>
    <t>Tanner Laczynski</t>
  </si>
  <si>
    <t>Carl Grundstrom</t>
  </si>
  <si>
    <t>Brendan Gallagher</t>
  </si>
  <si>
    <t>Alex Steeves</t>
  </si>
  <si>
    <t>Nick Paul</t>
  </si>
  <si>
    <t>Ryker Evans</t>
  </si>
  <si>
    <t>Ian Moore</t>
  </si>
  <si>
    <t>Dylan Samberg</t>
  </si>
  <si>
    <t>Nick Bjugstad</t>
  </si>
  <si>
    <t>John Leonard</t>
  </si>
  <si>
    <t>Mackenzie MacEachern</t>
  </si>
  <si>
    <t>Tyler Tucker</t>
  </si>
  <si>
    <t>Cale Fleury</t>
  </si>
  <si>
    <t>Drew Helleson</t>
  </si>
  <si>
    <t>Scott Morrow</t>
  </si>
  <si>
    <t>Will Borgen</t>
  </si>
  <si>
    <t>Alexander Petrovic</t>
  </si>
  <si>
    <t>Brian Dumoulin</t>
  </si>
  <si>
    <t>Ilya Solovyov</t>
  </si>
  <si>
    <t>Warren Foegele</t>
  </si>
  <si>
    <t>Harrison Brunicke</t>
  </si>
  <si>
    <t>Jani Nyman</t>
  </si>
  <si>
    <t>Hunter Brzustewicz</t>
  </si>
  <si>
    <t>Max Jones</t>
  </si>
  <si>
    <t>Adam Wilsby</t>
  </si>
  <si>
    <t>Sam Dickinson</t>
  </si>
  <si>
    <t>Jamie Oleksiak</t>
  </si>
  <si>
    <t>Nick Perbix</t>
  </si>
  <si>
    <t>Sam Steel</t>
  </si>
  <si>
    <t>Otto Stenberg</t>
  </si>
  <si>
    <t>Zemgus Girgensons</t>
  </si>
  <si>
    <t>Alexander Holtz</t>
  </si>
  <si>
    <t>David Tomasek</t>
  </si>
  <si>
    <t>Tanner Jeannot</t>
  </si>
  <si>
    <t>Noel Acciari</t>
  </si>
  <si>
    <t>Emil Andrae</t>
  </si>
  <si>
    <t>Timothy Liljegren</t>
  </si>
  <si>
    <t>Mark Kastelic</t>
  </si>
  <si>
    <t>Scott Mayfield</t>
  </si>
  <si>
    <t>Philippe Myers</t>
  </si>
  <si>
    <t>Max Sasson</t>
  </si>
  <si>
    <t>Robby Fabbri</t>
  </si>
  <si>
    <t>Jeff Petry</t>
  </si>
  <si>
    <t>Connor Clifton</t>
  </si>
  <si>
    <t>Bradly Nadeau</t>
  </si>
  <si>
    <t>Mikey Anderson</t>
  </si>
  <si>
    <t>Daniil But</t>
  </si>
  <si>
    <t>Sean Kuraly</t>
  </si>
  <si>
    <t>Berkly Catton</t>
  </si>
  <si>
    <t>Jack Ahcan</t>
  </si>
  <si>
    <t>Declan Chisholm</t>
  </si>
  <si>
    <t>Urho Vaakanainen</t>
  </si>
  <si>
    <t>Nikita Nesterenko</t>
  </si>
  <si>
    <t>Victor Soderstrom</t>
  </si>
  <si>
    <t>Michael Rasmussen</t>
  </si>
  <si>
    <t>Noah Juulsen</t>
  </si>
  <si>
    <t>Cody Ceci</t>
  </si>
  <si>
    <t>Steven Lorentz</t>
  </si>
  <si>
    <t>Colton White</t>
  </si>
  <si>
    <t>Nathan Walker</t>
  </si>
  <si>
    <t>Luke Schenn</t>
  </si>
  <si>
    <t>Taylor Raddysh</t>
  </si>
  <si>
    <t>Jesperi Kotkaniemi</t>
  </si>
  <si>
    <t>Declan Carlile</t>
  </si>
  <si>
    <t>Kyle Capobianco</t>
  </si>
  <si>
    <t>Matt Luff</t>
  </si>
  <si>
    <t>Sonny Milano</t>
  </si>
  <si>
    <t>Adam Klapka</t>
  </si>
  <si>
    <t>Nick DeSimone</t>
  </si>
  <si>
    <t>Gustav Nyquist</t>
  </si>
  <si>
    <t>Pierre-Olivier Joseph</t>
  </si>
  <si>
    <t>Matthew Kessel</t>
  </si>
  <si>
    <t>Jonny Brodzinski</t>
  </si>
  <si>
    <t>Josh Mahura</t>
  </si>
  <si>
    <t>Travis Mitchell</t>
  </si>
  <si>
    <t>Brayden Pachal</t>
  </si>
  <si>
    <t>Keegan Kolesar</t>
  </si>
  <si>
    <t>Albert Johansson</t>
  </si>
  <si>
    <t>Logan Mailloux</t>
  </si>
  <si>
    <t>Scott Sabourin</t>
  </si>
  <si>
    <t>Maveric Lamoureux</t>
  </si>
  <si>
    <t>Kailer Yamamoto</t>
  </si>
  <si>
    <t>Michael Brandsegg-Nyg√•rd</t>
  </si>
  <si>
    <t>Mark Jankowski</t>
  </si>
  <si>
    <t>Oskar Sundqvist</t>
  </si>
  <si>
    <t>Joel Hanley</t>
  </si>
  <si>
    <t>Zach Metsa</t>
  </si>
  <si>
    <t>Daemon Hunt</t>
  </si>
  <si>
    <t>Ville Koivunen</t>
  </si>
  <si>
    <t>Nick Leddy</t>
  </si>
  <si>
    <t>Travis Hamonic</t>
  </si>
  <si>
    <t>Nate Danielson</t>
  </si>
  <si>
    <t>Andrew Mangiapane</t>
  </si>
  <si>
    <t>Juuso Parssinen</t>
  </si>
  <si>
    <t>Mason Appleton</t>
  </si>
  <si>
    <t>Sandis Vilmanis</t>
  </si>
  <si>
    <t>Vincent Iorio</t>
  </si>
  <si>
    <t>Dennis Cholowski</t>
  </si>
  <si>
    <t>Ryan Winterton</t>
  </si>
  <si>
    <t>Nick Foligno</t>
  </si>
  <si>
    <t>Dakota Mermis</t>
  </si>
  <si>
    <t>Mathieu Joseph</t>
  </si>
  <si>
    <t>Alec Regula</t>
  </si>
  <si>
    <t>David Kampf</t>
  </si>
  <si>
    <t>Reid Schaefer</t>
  </si>
  <si>
    <t>Marc Gatcomb</t>
  </si>
  <si>
    <t>Andre Lee</t>
  </si>
  <si>
    <t>Tanner Pearson</t>
  </si>
  <si>
    <t>Jayden Struble</t>
  </si>
  <si>
    <t>Paul Cotter</t>
  </si>
  <si>
    <t>Elias Salomonsson</t>
  </si>
  <si>
    <t>Simon Benoit</t>
  </si>
  <si>
    <t>Sam Carrick</t>
  </si>
  <si>
    <t>Tyson Jost</t>
  </si>
  <si>
    <t>Steven Santini</t>
  </si>
  <si>
    <t>Dominic Toninato</t>
  </si>
  <si>
    <t>Arber Xhekaj</t>
  </si>
  <si>
    <t>Dmitri Simashev</t>
  </si>
  <si>
    <t>Radek Faksa</t>
  </si>
  <si>
    <t>Fedor Svechkov</t>
  </si>
  <si>
    <t>Ethan Cardwell</t>
  </si>
  <si>
    <t>Jacob Melanson</t>
  </si>
  <si>
    <t>Jeff Malott</t>
  </si>
  <si>
    <t>Beck Malenstyn</t>
  </si>
  <si>
    <t>Victor Mancini</t>
  </si>
  <si>
    <t>Alexey Toropchenko</t>
  </si>
  <si>
    <t>Adam Erne</t>
  </si>
  <si>
    <t>Barclay Goodrow</t>
  </si>
  <si>
    <t>Connor Clattenburg</t>
  </si>
  <si>
    <t>Colton Dach</t>
  </si>
  <si>
    <t>Nikita Grebenkin</t>
  </si>
  <si>
    <t>Landon Slaggert</t>
  </si>
  <si>
    <t>Ryan Lomberg</t>
  </si>
  <si>
    <t>Adam Boqvist</t>
  </si>
  <si>
    <t>Kevin Stenlund</t>
  </si>
  <si>
    <t>Adam Engstrom</t>
  </si>
  <si>
    <t>Jesper Boqvist</t>
  </si>
  <si>
    <t>Elmer Soderblom</t>
  </si>
  <si>
    <t>Michael Callahan</t>
  </si>
  <si>
    <t>Philip Tomasino</t>
  </si>
  <si>
    <t>David Jiricek</t>
  </si>
  <si>
    <t>Zack Ostapchuk</t>
  </si>
  <si>
    <t>Tyson Kozak</t>
  </si>
  <si>
    <t>Cole Reinhardt</t>
  </si>
  <si>
    <t>Ross Johnston</t>
  </si>
  <si>
    <t>Conor Geekie</t>
  </si>
  <si>
    <t>Zakhar Bardakov</t>
  </si>
  <si>
    <t>Kyle MacLean</t>
  </si>
  <si>
    <t>Noah Gregor</t>
  </si>
  <si>
    <t>Tye Kartye</t>
  </si>
  <si>
    <t>Nathan Bastian</t>
  </si>
  <si>
    <t>Arshdeep Bains</t>
  </si>
  <si>
    <t>Mattias Janmark</t>
  </si>
  <si>
    <t>Florian Xhekaj</t>
  </si>
  <si>
    <t>Adam Ginning</t>
  </si>
  <si>
    <t>Jack Finley</t>
  </si>
  <si>
    <t>Ozzy Wiesblatt</t>
  </si>
  <si>
    <t>Colin Blackwell</t>
  </si>
  <si>
    <t>Brennan Othmann</t>
  </si>
  <si>
    <t>Mitchell Chaffee</t>
  </si>
  <si>
    <t>Jacob Moverare</t>
  </si>
  <si>
    <t>Ben Jones</t>
  </si>
  <si>
    <t>Angus Crookshank</t>
  </si>
  <si>
    <t>Samuel Helenius</t>
  </si>
  <si>
    <t>Aleksanteri Kaskimaki</t>
  </si>
  <si>
    <t>Dylan McIlrath</t>
  </si>
  <si>
    <t>Jared Davidson</t>
  </si>
  <si>
    <t>Jack Devine</t>
  </si>
  <si>
    <t>Luke Kunin</t>
  </si>
  <si>
    <t>Liam O'Brien</t>
  </si>
  <si>
    <t>Tim Washe</t>
  </si>
  <si>
    <t>Brian Halonen</t>
  </si>
  <si>
    <t>Tyler Pitlick</t>
  </si>
  <si>
    <t>Ivan Ivan</t>
  </si>
  <si>
    <t>Owen Beck</t>
  </si>
  <si>
    <t>Justin Kirkland</t>
  </si>
  <si>
    <t>Ryan Reaves</t>
  </si>
  <si>
    <t>Joona Koppanen</t>
  </si>
  <si>
    <t>Jack Studnicka</t>
  </si>
  <si>
    <t>Matt Rempe</t>
  </si>
  <si>
    <t>Luke Glendening</t>
  </si>
  <si>
    <t>Parker Ford</t>
  </si>
  <si>
    <t>Brett Berard</t>
  </si>
  <si>
    <t>Curtis Douglas</t>
  </si>
  <si>
    <t>Taylor Makar</t>
  </si>
  <si>
    <t>Hunter Haight</t>
  </si>
  <si>
    <t>Sam Lafferty</t>
  </si>
  <si>
    <t>Brandon Tanev</t>
  </si>
  <si>
    <t>Garnet Hathaway</t>
  </si>
  <si>
    <t>Nikita Chibrikov</t>
  </si>
  <si>
    <t>Jaroslav Chmelar</t>
  </si>
  <si>
    <t>Nicolas Deslauriers</t>
  </si>
  <si>
    <t>Xavier Parent</t>
  </si>
  <si>
    <t>Mason Geertsen</t>
  </si>
  <si>
    <t>Brett Leason</t>
  </si>
  <si>
    <t>Lane Pederson</t>
  </si>
  <si>
    <t>actual</t>
  </si>
  <si>
    <t>own</t>
  </si>
  <si>
    <t>TOI</t>
  </si>
  <si>
    <t>Inj</t>
  </si>
  <si>
    <t>Likes</t>
  </si>
  <si>
    <t>Pos</t>
  </si>
  <si>
    <t>Salary</t>
  </si>
  <si>
    <t>Team</t>
  </si>
  <si>
    <t>Opp</t>
  </si>
  <si>
    <t>Time</t>
  </si>
  <si>
    <t>Fav.</t>
  </si>
  <si>
    <t>Win %</t>
  </si>
  <si>
    <t>Spread</t>
  </si>
  <si>
    <t>Total</t>
  </si>
  <si>
    <t>TeamGoal</t>
  </si>
  <si>
    <t>OppGoal</t>
  </si>
  <si>
    <t>Start/Line</t>
  </si>
  <si>
    <t>PP Unit</t>
  </si>
  <si>
    <t>avg TOI</t>
  </si>
  <si>
    <t>Avg</t>
  </si>
  <si>
    <t>STDV</t>
  </si>
  <si>
    <t>Ceiling</t>
  </si>
  <si>
    <t>FC Proj</t>
  </si>
  <si>
    <t>My Proj</t>
  </si>
  <si>
    <t>Exp.</t>
  </si>
  <si>
    <t>Used</t>
  </si>
  <si>
    <t>Con.</t>
  </si>
  <si>
    <t>Value</t>
  </si>
  <si>
    <t>Own%</t>
  </si>
  <si>
    <t>Score</t>
  </si>
  <si>
    <t>Val</t>
  </si>
  <si>
    <t>vs SJ</t>
  </si>
  <si>
    <t>Y</t>
  </si>
  <si>
    <t>@ MTL</t>
  </si>
  <si>
    <t>SJ</t>
  </si>
  <si>
    <t>@ EDM</t>
  </si>
  <si>
    <t>N</t>
  </si>
  <si>
    <t>vs PHI</t>
  </si>
  <si>
    <t>TB</t>
  </si>
  <si>
    <t>vs WPG</t>
  </si>
  <si>
    <t>vs CGY</t>
  </si>
  <si>
    <t>@ SEA</t>
  </si>
  <si>
    <t>vs DAL</t>
  </si>
  <si>
    <t>@ PIT</t>
  </si>
  <si>
    <t>vs WSH</t>
  </si>
  <si>
    <t>vs CHI</t>
  </si>
  <si>
    <t>vs LA</t>
  </si>
  <si>
    <t>NJ</t>
  </si>
  <si>
    <t>vs NSH</t>
  </si>
  <si>
    <t>vs UTA</t>
  </si>
  <si>
    <t>confirm</t>
  </si>
  <si>
    <t>@ VGK</t>
  </si>
  <si>
    <t>@ NYR</t>
  </si>
  <si>
    <t>vs NYI</t>
  </si>
  <si>
    <t>vs COL</t>
  </si>
  <si>
    <t>@ DET</t>
  </si>
  <si>
    <t>@ NJ</t>
  </si>
  <si>
    <t>@ TB</t>
  </si>
  <si>
    <t>@ VAN</t>
  </si>
  <si>
    <t>@ STL</t>
  </si>
  <si>
    <t>Joel Eriksson-ek</t>
  </si>
  <si>
    <t>@ BOS</t>
  </si>
  <si>
    <t>Mitchell Marner</t>
  </si>
  <si>
    <t>vs TOR</t>
  </si>
  <si>
    <t>LA</t>
  </si>
  <si>
    <t>@ BUF</t>
  </si>
  <si>
    <t>@ CAR</t>
  </si>
  <si>
    <t>Anson Thornton</t>
  </si>
  <si>
    <t>@ MIN</t>
  </si>
  <si>
    <t>vs FLA</t>
  </si>
  <si>
    <t>Mackenzie Weegar</t>
  </si>
  <si>
    <t>Alex Wennberg</t>
  </si>
  <si>
    <t>vs ANA</t>
  </si>
  <si>
    <t>Michael Matheson</t>
  </si>
  <si>
    <t>Vitek Vanecek</t>
  </si>
  <si>
    <t>Matt Knies</t>
  </si>
  <si>
    <t>Elias Nils Pettersson</t>
  </si>
  <si>
    <t>Matthew Coronato</t>
  </si>
  <si>
    <t>Brett Kulak</t>
  </si>
  <si>
    <t>Jeffrey Viel</t>
  </si>
  <si>
    <t>Liam Ohgren</t>
  </si>
  <si>
    <t>Jacob Middleton</t>
  </si>
  <si>
    <t>Carson Soucy</t>
  </si>
  <si>
    <t>Martin Pospisil</t>
  </si>
  <si>
    <t>A.j. Greer</t>
  </si>
  <si>
    <t>Vincent Hinostroza</t>
  </si>
  <si>
    <t>Oskar Back</t>
  </si>
  <si>
    <t>Jesper Wallstedt</t>
  </si>
  <si>
    <t>unlikely</t>
  </si>
  <si>
    <t>Tristan Jarry</t>
  </si>
  <si>
    <t>Stuart Skinner</t>
  </si>
  <si>
    <t>Joonas Korpisalo</t>
  </si>
  <si>
    <t>Frederik Andersen</t>
  </si>
  <si>
    <t>Calvin Pickard</t>
  </si>
  <si>
    <t>MacKenzie Blackwood</t>
  </si>
  <si>
    <t>Jake Allen</t>
  </si>
  <si>
    <t>Ukko-Pekka Luukkonen</t>
  </si>
  <si>
    <t>Artemi Panarin</t>
  </si>
  <si>
    <t>Pyotr Kochetkov</t>
  </si>
  <si>
    <t>Akira Schmid</t>
  </si>
  <si>
    <t>Cam Talbot</t>
  </si>
  <si>
    <t>Ville Husso</t>
  </si>
  <si>
    <t>David Rittich</t>
  </si>
  <si>
    <t>Carter Hart</t>
  </si>
  <si>
    <t>Joseph Woll</t>
  </si>
  <si>
    <t>Petr Mrazek</t>
  </si>
  <si>
    <t>Semyon Varlamov</t>
  </si>
  <si>
    <t>Philipp Grubauer</t>
  </si>
  <si>
    <t>Logan Thompson</t>
  </si>
  <si>
    <t>Igor Shesterkin</t>
  </si>
  <si>
    <t>Casey Desmith</t>
  </si>
  <si>
    <t>Matt Murray</t>
  </si>
  <si>
    <t>Anton Forsberg</t>
  </si>
  <si>
    <t>Samuel Montembeault</t>
  </si>
  <si>
    <t>Dylan Guenther</t>
  </si>
  <si>
    <t>Thatcher Demko</t>
  </si>
  <si>
    <t>Jordan Binnington</t>
  </si>
  <si>
    <t>Alexei Kolosov</t>
  </si>
  <si>
    <t>Spencer Knight</t>
  </si>
  <si>
    <t>Alex Nedeljkovic</t>
  </si>
  <si>
    <t>Dan Vladar</t>
  </si>
  <si>
    <t>Eric Comrie</t>
  </si>
  <si>
    <t>Dustin Wolf</t>
  </si>
  <si>
    <t>Carey Price</t>
  </si>
  <si>
    <t>Marcus Hogberg</t>
  </si>
  <si>
    <t>Sergei Murashov</t>
  </si>
  <si>
    <t>Vyacheslav Buteyets</t>
  </si>
  <si>
    <t>Jiri Patera</t>
  </si>
  <si>
    <t>Carl Lindbom</t>
  </si>
  <si>
    <t>Pheonix Copley</t>
  </si>
  <si>
    <t>Jacob Fowler</t>
  </si>
  <si>
    <t>Thomas Milic</t>
  </si>
  <si>
    <t>Nico Daws</t>
  </si>
  <si>
    <t>Adam Fox</t>
  </si>
  <si>
    <t>William Nylander</t>
  </si>
  <si>
    <t>!</t>
  </si>
  <si>
    <t>Brayden Point</t>
  </si>
  <si>
    <t>Leo Carlsson</t>
  </si>
  <si>
    <t>Robert Thomas</t>
  </si>
  <si>
    <t>Gabriel Landeskog</t>
  </si>
  <si>
    <t>Mason McTavish</t>
  </si>
  <si>
    <t>Logan Cooley</t>
  </si>
  <si>
    <t>Josh Norris</t>
  </si>
  <si>
    <t>Elias Lindholm</t>
  </si>
  <si>
    <t>Filip Hallander</t>
  </si>
  <si>
    <t>Victor Hedman</t>
  </si>
  <si>
    <t>Seth Jones</t>
  </si>
  <si>
    <t>Anton Lundell</t>
  </si>
  <si>
    <t>Marco Rossi</t>
  </si>
  <si>
    <t>Brock Boeser</t>
  </si>
  <si>
    <t>Luke Hughes</t>
  </si>
  <si>
    <t>Dylan Holloway</t>
  </si>
  <si>
    <t>Tyler Seguin</t>
  </si>
  <si>
    <t>Blake Coleman</t>
  </si>
  <si>
    <t>Simon Edvinsson</t>
  </si>
  <si>
    <t>Anze Kopitar</t>
  </si>
  <si>
    <t>Matt Roy</t>
  </si>
  <si>
    <t>Kiefer Sherwood</t>
  </si>
  <si>
    <t>Tyson Foerster</t>
  </si>
  <si>
    <t>Devon Toews</t>
  </si>
  <si>
    <t>Jonas Brodin</t>
  </si>
  <si>
    <t>Brayden McNabb</t>
  </si>
  <si>
    <t>Rasmus Ristolainen</t>
  </si>
  <si>
    <t>Zeev Buium</t>
  </si>
  <si>
    <t>Alex Turcotte</t>
  </si>
  <si>
    <t>Neal Pionk</t>
  </si>
  <si>
    <t>Cody Glass</t>
  </si>
  <si>
    <t>William Karlsson</t>
  </si>
  <si>
    <t>Frank Vatrano</t>
  </si>
  <si>
    <t>Pierre-luc Dubois</t>
  </si>
  <si>
    <t>Charle-Edouard D'Astous</t>
  </si>
  <si>
    <t>Calum Ritchie</t>
  </si>
  <si>
    <t>Adam Henrique</t>
  </si>
  <si>
    <t>Alex Pietrangelo</t>
  </si>
  <si>
    <t>Nils Hoglander</t>
  </si>
  <si>
    <t>Ty Murchison</t>
  </si>
  <si>
    <t>Jordan Harris</t>
  </si>
  <si>
    <t>Riley Tufte</t>
  </si>
  <si>
    <t>Matej Blumel</t>
  </si>
  <si>
    <t>Jett Luchanko</t>
  </si>
  <si>
    <t>Jacob Gaucher</t>
  </si>
  <si>
    <t>Rodrigo Abols</t>
  </si>
  <si>
    <t>Ryan Johnson</t>
  </si>
  <si>
    <t>Jacob Bryson</t>
  </si>
  <si>
    <t>Conor Timmins</t>
  </si>
  <si>
    <t>Zac Jones</t>
  </si>
  <si>
    <t>Kyle Burroughs</t>
  </si>
  <si>
    <t>Joshua Dunne</t>
  </si>
  <si>
    <t>Jordan Greenway</t>
  </si>
  <si>
    <t>Justin Danforth</t>
  </si>
  <si>
    <t>Jiri Kulich</t>
  </si>
  <si>
    <t>Kenny Connors</t>
  </si>
  <si>
    <t>Gannon Laroque</t>
  </si>
  <si>
    <t>Jacob MacDonald</t>
  </si>
  <si>
    <t>Joshua Roy</t>
  </si>
  <si>
    <t>Alex Newhook</t>
  </si>
  <si>
    <t>Patrik Laine</t>
  </si>
  <si>
    <t>Sammy Blais</t>
  </si>
  <si>
    <t>Logan O'Connor</t>
  </si>
  <si>
    <t>Joe Veleno</t>
  </si>
  <si>
    <t>Tristen Nielsen</t>
  </si>
  <si>
    <t>Simon Lundmark</t>
  </si>
  <si>
    <t>Emil Lilleberg</t>
  </si>
  <si>
    <t>Maxim Groshev</t>
  </si>
  <si>
    <t>Haydn Fleury</t>
  </si>
  <si>
    <t>Colin Miller</t>
  </si>
  <si>
    <t>Isaak Phillips</t>
  </si>
  <si>
    <t>Boris Katchouk</t>
  </si>
  <si>
    <t>Danny Zhilkin</t>
  </si>
  <si>
    <t>Brad Lambert</t>
  </si>
  <si>
    <t>Andreas Englund</t>
  </si>
  <si>
    <t>Nicolas Hague</t>
  </si>
  <si>
    <t>Seamus Casey</t>
  </si>
  <si>
    <t>Joakim Kemell</t>
  </si>
  <si>
    <t>Nathan Legare</t>
  </si>
  <si>
    <t>Zack MacEwen</t>
  </si>
  <si>
    <t>Stefan Noesen</t>
  </si>
  <si>
    <t>Brady Martin</t>
  </si>
  <si>
    <t>Marc McLaughlin</t>
  </si>
  <si>
    <t>Connor Mackey</t>
  </si>
  <si>
    <t>Isaiah George</t>
  </si>
  <si>
    <t>Cole McWard</t>
  </si>
  <si>
    <t>Alexander Romanov</t>
  </si>
  <si>
    <t>Anton Blidh</t>
  </si>
  <si>
    <t>Conor Sheary</t>
  </si>
  <si>
    <t>Pierre Engvall</t>
  </si>
  <si>
    <t>Kyle Palmieri</t>
  </si>
  <si>
    <t>Justin Dowling</t>
  </si>
  <si>
    <t>Adam Edstrom</t>
  </si>
  <si>
    <t>Casey Cizikas</t>
  </si>
  <si>
    <t>Mathew Dumba</t>
  </si>
  <si>
    <t>Owen Pickering</t>
  </si>
  <si>
    <t>Jack St. Ivany</t>
  </si>
  <si>
    <t>Caleb Jones</t>
  </si>
  <si>
    <t>Ryan Graves</t>
  </si>
  <si>
    <t>Ethan del Mastro</t>
  </si>
  <si>
    <t>Ryan Ellis</t>
  </si>
  <si>
    <t>Sam Poulin</t>
  </si>
  <si>
    <t>Boko Imama</t>
  </si>
  <si>
    <t>Tanner Howe</t>
  </si>
  <si>
    <t>Joey Anderson</t>
  </si>
  <si>
    <t>Tristan Broz</t>
  </si>
  <si>
    <t>Terrell Goldsmith</t>
  </si>
  <si>
    <t>Olli Maatta</t>
  </si>
  <si>
    <t>Domenick Fensore</t>
  </si>
  <si>
    <t>Charles-Alexis Legault</t>
  </si>
  <si>
    <t>Alexander Kerfoot</t>
  </si>
  <si>
    <t>Eric Robinson</t>
  </si>
  <si>
    <t>Andrew Agozzino</t>
  </si>
  <si>
    <t>Noah Philp</t>
  </si>
  <si>
    <t>Erik Gustafsson</t>
  </si>
  <si>
    <t>Ivan Miroshnichenko</t>
  </si>
  <si>
    <t>Bogdan Trineyev</t>
  </si>
  <si>
    <t>Dmitry Kulikov</t>
  </si>
  <si>
    <t>Donovan Sebrango</t>
  </si>
  <si>
    <t>Torey Krug</t>
  </si>
  <si>
    <t>Jonah Gadjovich</t>
  </si>
  <si>
    <t>Hugh McGing</t>
  </si>
  <si>
    <t>Tomas Nosek</t>
  </si>
  <si>
    <t>Aleksander Barkov</t>
  </si>
  <si>
    <t>Pius Suter</t>
  </si>
  <si>
    <t>David Spacek</t>
  </si>
  <si>
    <t>Matt Kiersted</t>
  </si>
  <si>
    <t>Zach Bogosian</t>
  </si>
  <si>
    <t>Daniil Miromanov</t>
  </si>
  <si>
    <t>Jake Bean</t>
  </si>
  <si>
    <t>Zayne Parekh</t>
  </si>
  <si>
    <t>Nicolas Aube-Kubel</t>
  </si>
  <si>
    <t>Dryden Hunt</t>
  </si>
  <si>
    <t>Sam Morton</t>
  </si>
  <si>
    <t>William Stromgren</t>
  </si>
  <si>
    <t>Samuel Honzek</t>
  </si>
  <si>
    <t>Rory Kerins</t>
  </si>
  <si>
    <t>John Beecher</t>
  </si>
  <si>
    <t>Shakir Mukhamadullin</t>
  </si>
  <si>
    <t>Riley Stillman</t>
  </si>
  <si>
    <t>Damien Carfagna</t>
  </si>
  <si>
    <t>Quinn Hutson</t>
  </si>
  <si>
    <t>Patrick Giles</t>
  </si>
  <si>
    <t>Logan Couture</t>
  </si>
  <si>
    <t>Ty Dellandrea</t>
  </si>
  <si>
    <t>Philipp Kurashev</t>
  </si>
  <si>
    <t>Joshua Samanski</t>
  </si>
  <si>
    <t>Guillaume Brisebois</t>
  </si>
  <si>
    <t>Derek Forbort</t>
  </si>
  <si>
    <t>Mackenzie Maceachern</t>
  </si>
  <si>
    <t>Lukas Reichel</t>
  </si>
  <si>
    <t>Nils Aman</t>
  </si>
  <si>
    <t>Braeden Cootes</t>
  </si>
  <si>
    <t>Vladislav Kolyachonok</t>
  </si>
  <si>
    <t>Ilya Lyubushkin</t>
  </si>
  <si>
    <t>Lian Bichsel</t>
  </si>
  <si>
    <t>Jaycob Megna</t>
  </si>
  <si>
    <t>Dylan Coghlan</t>
  </si>
  <si>
    <t>Kyle McDonald</t>
  </si>
  <si>
    <t>Brandon Saad</t>
  </si>
  <si>
    <t>Brett Howden</t>
  </si>
  <si>
    <t>Jonas Rondbjerg</t>
  </si>
  <si>
    <t>Colton Sissons</t>
  </si>
  <si>
    <t>Chris Tanev</t>
  </si>
  <si>
    <t>Henry Thrun</t>
  </si>
  <si>
    <t>Dakota Joshua</t>
  </si>
  <si>
    <t>Max McCormick</t>
  </si>
  <si>
    <t>Lleyton Roed</t>
  </si>
  <si>
    <t>Jacob Quillan</t>
  </si>
  <si>
    <t>John Hayden</t>
  </si>
  <si>
    <t>Oscar Fisker Molgaard</t>
  </si>
  <si>
    <t>Ben Meyers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</si>
</sst>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0" applyNumberFormat="1"/>
    <xf numFmtId="18" fontId="0" fillId="0" borderId="0" xfId="0" applyNumberFormat="1"/>
    <xf numFmtId="20" fontId="0" fillId="0" borderId="0" xfId="0" applyNumberFormat="1"/>
    <xf numFmtId="46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7777-F932-B347-8678-E5586ED47418}">
  <dimension ref="A1:D457"/>
  <sheetViews>
    <sheetView topLeftCell="A263" workbookViewId="0">
      <selection activeCell="A22" sqref="A22"/>
    </sheetView>
  </sheetViews>
  <sheetFormatPr baseColWidth="10" defaultRowHeight="16" x14ac:dyDescent="0.2"/>
  <cols>
    <col min="1" max="1" width="20" bestFit="1" customWidth="1"/>
    <col min="2" max="2" width="13.33203125" bestFit="1" customWidth="1"/>
    <col min="3" max="3" width="8.83203125" bestFit="1" customWidth="1"/>
    <col min="4" max="4" width="5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249</v>
      </c>
      <c r="B2" t="s">
        <v>17</v>
      </c>
      <c r="C2" s="1">
        <v>1.01E-2</v>
      </c>
      <c r="D2">
        <v>1.3</v>
      </c>
    </row>
    <row r="3" spans="1:4" x14ac:dyDescent="0.2">
      <c r="A3" t="s">
        <v>398</v>
      </c>
      <c r="B3" t="s">
        <v>5</v>
      </c>
      <c r="C3" s="1">
        <v>1.6999999999999999E-3</v>
      </c>
      <c r="D3">
        <v>0</v>
      </c>
    </row>
    <row r="4" spans="1:4" x14ac:dyDescent="0.2">
      <c r="A4" t="s">
        <v>447</v>
      </c>
      <c r="B4" t="s">
        <v>10</v>
      </c>
      <c r="C4" s="1">
        <v>1.6999999999999999E-3</v>
      </c>
      <c r="D4">
        <v>10</v>
      </c>
    </row>
    <row r="5" spans="1:4" x14ac:dyDescent="0.2">
      <c r="A5" t="s">
        <v>159</v>
      </c>
      <c r="B5" t="s">
        <v>17</v>
      </c>
      <c r="C5" s="1">
        <v>1.6799999999999999E-2</v>
      </c>
      <c r="D5">
        <v>6.5</v>
      </c>
    </row>
    <row r="6" spans="1:4" x14ac:dyDescent="0.2">
      <c r="A6" t="s">
        <v>462</v>
      </c>
      <c r="B6" t="s">
        <v>5</v>
      </c>
      <c r="C6" s="1">
        <v>1.6999999999999999E-3</v>
      </c>
      <c r="D6">
        <v>5.8</v>
      </c>
    </row>
    <row r="7" spans="1:4" x14ac:dyDescent="0.2">
      <c r="A7" t="s">
        <v>357</v>
      </c>
      <c r="B7" t="s">
        <v>17</v>
      </c>
      <c r="C7" s="1">
        <v>3.3999999999999998E-3</v>
      </c>
      <c r="D7">
        <v>9.5</v>
      </c>
    </row>
    <row r="8" spans="1:4" x14ac:dyDescent="0.2">
      <c r="A8" t="s">
        <v>389</v>
      </c>
      <c r="B8" t="s">
        <v>7</v>
      </c>
      <c r="C8" s="1">
        <v>1.6999999999999999E-3</v>
      </c>
      <c r="D8">
        <v>4.0999999999999996</v>
      </c>
    </row>
    <row r="9" spans="1:4" x14ac:dyDescent="0.2">
      <c r="A9" t="s">
        <v>295</v>
      </c>
      <c r="B9" t="s">
        <v>15</v>
      </c>
      <c r="C9" s="1">
        <v>6.7000000000000002E-3</v>
      </c>
      <c r="D9">
        <v>14.5</v>
      </c>
    </row>
    <row r="10" spans="1:4" x14ac:dyDescent="0.2">
      <c r="A10" t="s">
        <v>21</v>
      </c>
      <c r="B10" t="s">
        <v>10</v>
      </c>
      <c r="C10" s="1">
        <v>8.5900000000000004E-2</v>
      </c>
      <c r="D10">
        <v>36.799999999999997</v>
      </c>
    </row>
    <row r="11" spans="1:4" x14ac:dyDescent="0.2">
      <c r="A11" t="s">
        <v>392</v>
      </c>
      <c r="B11" t="s">
        <v>15</v>
      </c>
      <c r="C11" s="1">
        <v>1.6999999999999999E-3</v>
      </c>
      <c r="D11">
        <v>0</v>
      </c>
    </row>
    <row r="12" spans="1:4" x14ac:dyDescent="0.2">
      <c r="A12" t="s">
        <v>36</v>
      </c>
      <c r="B12" t="s">
        <v>10</v>
      </c>
      <c r="C12" s="1">
        <v>6.2300000000000001E-2</v>
      </c>
      <c r="D12">
        <v>3</v>
      </c>
    </row>
    <row r="13" spans="1:4" x14ac:dyDescent="0.2">
      <c r="A13" t="s">
        <v>123</v>
      </c>
      <c r="B13" t="s">
        <v>5</v>
      </c>
      <c r="C13" s="1">
        <v>2.3599999999999999E-2</v>
      </c>
      <c r="D13">
        <v>7.3</v>
      </c>
    </row>
    <row r="14" spans="1:4" x14ac:dyDescent="0.2">
      <c r="A14" t="s">
        <v>76</v>
      </c>
      <c r="B14" t="s">
        <v>7</v>
      </c>
      <c r="C14" s="1">
        <v>3.6999999999999998E-2</v>
      </c>
      <c r="D14">
        <v>31.4</v>
      </c>
    </row>
    <row r="15" spans="1:4" x14ac:dyDescent="0.2">
      <c r="A15" t="s">
        <v>241</v>
      </c>
      <c r="B15" t="s">
        <v>10</v>
      </c>
      <c r="C15" s="1">
        <v>1.01E-2</v>
      </c>
      <c r="D15">
        <v>11</v>
      </c>
    </row>
    <row r="16" spans="1:4" x14ac:dyDescent="0.2">
      <c r="A16" t="s">
        <v>143</v>
      </c>
      <c r="B16" t="s">
        <v>10</v>
      </c>
      <c r="C16" s="1">
        <v>2.0199999999999999E-2</v>
      </c>
      <c r="D16">
        <v>45</v>
      </c>
    </row>
    <row r="17" spans="1:4" x14ac:dyDescent="0.2">
      <c r="A17" t="s">
        <v>227</v>
      </c>
      <c r="B17" t="s">
        <v>17</v>
      </c>
      <c r="C17" s="1">
        <v>1.01E-2</v>
      </c>
      <c r="D17">
        <v>2.6</v>
      </c>
    </row>
    <row r="18" spans="1:4" x14ac:dyDescent="0.2">
      <c r="A18" t="s">
        <v>198</v>
      </c>
      <c r="B18" t="s">
        <v>17</v>
      </c>
      <c r="C18" s="1">
        <v>1.35E-2</v>
      </c>
      <c r="D18">
        <v>3</v>
      </c>
    </row>
    <row r="19" spans="1:4" x14ac:dyDescent="0.2">
      <c r="A19" t="s">
        <v>187</v>
      </c>
      <c r="B19" t="s">
        <v>15</v>
      </c>
      <c r="C19" s="1">
        <v>1.52E-2</v>
      </c>
      <c r="D19">
        <v>9.5</v>
      </c>
    </row>
    <row r="20" spans="1:4" x14ac:dyDescent="0.2">
      <c r="A20" t="s">
        <v>162</v>
      </c>
      <c r="B20" t="s">
        <v>17</v>
      </c>
      <c r="C20" s="1">
        <v>1.6799999999999999E-2</v>
      </c>
      <c r="D20">
        <v>14.1</v>
      </c>
    </row>
    <row r="21" spans="1:4" x14ac:dyDescent="0.2">
      <c r="A21" t="s">
        <v>224</v>
      </c>
      <c r="B21" t="s">
        <v>15</v>
      </c>
      <c r="C21" s="1">
        <v>1.18E-2</v>
      </c>
      <c r="D21">
        <v>2.8</v>
      </c>
    </row>
    <row r="22" spans="1:4" x14ac:dyDescent="0.2">
      <c r="A22" t="s">
        <v>512</v>
      </c>
      <c r="B22" t="s">
        <v>10</v>
      </c>
      <c r="C22" s="1">
        <v>1.01E-2</v>
      </c>
      <c r="D22">
        <v>2.8</v>
      </c>
    </row>
    <row r="23" spans="1:4" x14ac:dyDescent="0.2">
      <c r="A23" t="s">
        <v>137</v>
      </c>
      <c r="B23" t="s">
        <v>10</v>
      </c>
      <c r="C23" s="1">
        <v>2.0199999999999999E-2</v>
      </c>
      <c r="D23">
        <v>4.3</v>
      </c>
    </row>
    <row r="24" spans="1:4" x14ac:dyDescent="0.2">
      <c r="A24" t="s">
        <v>179</v>
      </c>
      <c r="B24" t="s">
        <v>10</v>
      </c>
      <c r="C24" s="1">
        <v>1.52E-2</v>
      </c>
      <c r="D24">
        <v>0</v>
      </c>
    </row>
    <row r="25" spans="1:4" x14ac:dyDescent="0.2">
      <c r="A25" t="s">
        <v>250</v>
      </c>
      <c r="B25" t="s">
        <v>10</v>
      </c>
      <c r="C25" s="1">
        <v>1.01E-2</v>
      </c>
      <c r="D25">
        <v>0</v>
      </c>
    </row>
    <row r="26" spans="1:4" x14ac:dyDescent="0.2">
      <c r="A26" t="s">
        <v>455</v>
      </c>
      <c r="B26" t="s">
        <v>10</v>
      </c>
      <c r="C26" s="1">
        <v>1.6999999999999999E-3</v>
      </c>
      <c r="D26">
        <v>2.8</v>
      </c>
    </row>
    <row r="27" spans="1:4" x14ac:dyDescent="0.2">
      <c r="A27" t="s">
        <v>115</v>
      </c>
      <c r="B27" t="s">
        <v>10</v>
      </c>
      <c r="C27" s="1">
        <v>2.53E-2</v>
      </c>
      <c r="D27">
        <v>31</v>
      </c>
    </row>
    <row r="28" spans="1:4" x14ac:dyDescent="0.2">
      <c r="A28" t="s">
        <v>85</v>
      </c>
      <c r="B28" t="s">
        <v>7</v>
      </c>
      <c r="C28" s="1">
        <v>3.3700000000000001E-2</v>
      </c>
      <c r="D28">
        <v>17.899999999999999</v>
      </c>
    </row>
    <row r="29" spans="1:4" x14ac:dyDescent="0.2">
      <c r="A29" t="s">
        <v>135</v>
      </c>
      <c r="B29" t="s">
        <v>15</v>
      </c>
      <c r="C29" s="1">
        <v>2.0199999999999999E-2</v>
      </c>
      <c r="D29">
        <v>5</v>
      </c>
    </row>
    <row r="30" spans="1:4" x14ac:dyDescent="0.2">
      <c r="A30" t="s">
        <v>344</v>
      </c>
      <c r="B30" t="s">
        <v>17</v>
      </c>
      <c r="C30" s="1">
        <v>3.3999999999999998E-3</v>
      </c>
      <c r="D30">
        <v>11.5</v>
      </c>
    </row>
    <row r="31" spans="1:4" x14ac:dyDescent="0.2">
      <c r="A31" t="s">
        <v>412</v>
      </c>
      <c r="B31" t="s">
        <v>10</v>
      </c>
      <c r="C31" s="1">
        <v>1.6999999999999999E-3</v>
      </c>
      <c r="D31">
        <v>0</v>
      </c>
    </row>
    <row r="32" spans="1:4" x14ac:dyDescent="0.2">
      <c r="A32" t="s">
        <v>105</v>
      </c>
      <c r="B32" t="s">
        <v>5</v>
      </c>
      <c r="C32" s="1">
        <v>2.69E-2</v>
      </c>
      <c r="D32">
        <v>4.5</v>
      </c>
    </row>
    <row r="33" spans="1:4" x14ac:dyDescent="0.2">
      <c r="A33" t="s">
        <v>95</v>
      </c>
      <c r="B33" t="s">
        <v>10</v>
      </c>
      <c r="C33" s="1">
        <v>2.86E-2</v>
      </c>
      <c r="D33">
        <v>0</v>
      </c>
    </row>
    <row r="34" spans="1:4" x14ac:dyDescent="0.2">
      <c r="A34" t="s">
        <v>107</v>
      </c>
      <c r="B34" t="s">
        <v>10</v>
      </c>
      <c r="C34" s="1">
        <v>2.69E-2</v>
      </c>
      <c r="D34">
        <v>26</v>
      </c>
    </row>
    <row r="35" spans="1:4" x14ac:dyDescent="0.2">
      <c r="A35" t="s">
        <v>348</v>
      </c>
      <c r="B35" t="s">
        <v>7</v>
      </c>
      <c r="C35" s="1">
        <v>3.3999999999999998E-3</v>
      </c>
      <c r="D35">
        <v>-2.1</v>
      </c>
    </row>
    <row r="36" spans="1:4" x14ac:dyDescent="0.2">
      <c r="A36" t="s">
        <v>189</v>
      </c>
      <c r="B36" t="s">
        <v>10</v>
      </c>
      <c r="C36" s="1">
        <v>1.52E-2</v>
      </c>
      <c r="D36">
        <v>17.899999999999999</v>
      </c>
    </row>
    <row r="37" spans="1:4" x14ac:dyDescent="0.2">
      <c r="A37" t="s">
        <v>140</v>
      </c>
      <c r="B37" t="s">
        <v>10</v>
      </c>
      <c r="C37" s="1">
        <v>2.0199999999999999E-2</v>
      </c>
      <c r="D37">
        <v>7.3</v>
      </c>
    </row>
    <row r="38" spans="1:4" x14ac:dyDescent="0.2">
      <c r="A38" t="s">
        <v>119</v>
      </c>
      <c r="B38" t="s">
        <v>7</v>
      </c>
      <c r="C38" s="1">
        <v>2.3599999999999999E-2</v>
      </c>
      <c r="D38">
        <v>11.6</v>
      </c>
    </row>
    <row r="39" spans="1:4" x14ac:dyDescent="0.2">
      <c r="A39" t="s">
        <v>242</v>
      </c>
      <c r="B39" t="s">
        <v>17</v>
      </c>
      <c r="C39" s="1">
        <v>1.01E-2</v>
      </c>
      <c r="D39">
        <v>1.3</v>
      </c>
    </row>
    <row r="40" spans="1:4" x14ac:dyDescent="0.2">
      <c r="A40" t="s">
        <v>318</v>
      </c>
      <c r="B40" t="s">
        <v>7</v>
      </c>
      <c r="C40" s="1">
        <v>5.1000000000000004E-3</v>
      </c>
      <c r="D40">
        <v>8.6</v>
      </c>
    </row>
    <row r="41" spans="1:4" x14ac:dyDescent="0.2">
      <c r="A41" t="s">
        <v>110</v>
      </c>
      <c r="B41" t="s">
        <v>5</v>
      </c>
      <c r="C41" s="1">
        <v>2.69E-2</v>
      </c>
      <c r="D41">
        <v>6</v>
      </c>
    </row>
    <row r="42" spans="1:4" x14ac:dyDescent="0.2">
      <c r="A42" t="s">
        <v>273</v>
      </c>
      <c r="B42" t="s">
        <v>17</v>
      </c>
      <c r="C42" s="1">
        <v>8.3999999999999995E-3</v>
      </c>
      <c r="D42">
        <v>1.3</v>
      </c>
    </row>
    <row r="43" spans="1:4" x14ac:dyDescent="0.2">
      <c r="A43" t="s">
        <v>245</v>
      </c>
      <c r="B43" t="s">
        <v>5</v>
      </c>
      <c r="C43" s="1">
        <v>1.01E-2</v>
      </c>
      <c r="D43">
        <v>9.5</v>
      </c>
    </row>
    <row r="44" spans="1:4" x14ac:dyDescent="0.2">
      <c r="A44" t="s">
        <v>9</v>
      </c>
      <c r="B44" t="s">
        <v>10</v>
      </c>
      <c r="C44" s="1">
        <v>0.19869999999999999</v>
      </c>
      <c r="D44">
        <v>4.5</v>
      </c>
    </row>
    <row r="45" spans="1:4" x14ac:dyDescent="0.2">
      <c r="A45" t="s">
        <v>231</v>
      </c>
      <c r="B45" t="s">
        <v>17</v>
      </c>
      <c r="C45" s="1">
        <v>1.01E-2</v>
      </c>
      <c r="D45">
        <v>12.8</v>
      </c>
    </row>
    <row r="46" spans="1:4" x14ac:dyDescent="0.2">
      <c r="A46" t="s">
        <v>422</v>
      </c>
      <c r="B46" t="s">
        <v>17</v>
      </c>
      <c r="C46" s="1">
        <v>1.6999999999999999E-3</v>
      </c>
      <c r="D46">
        <v>1.5</v>
      </c>
    </row>
    <row r="47" spans="1:4" x14ac:dyDescent="0.2">
      <c r="A47" t="s">
        <v>158</v>
      </c>
      <c r="B47" t="s">
        <v>10</v>
      </c>
      <c r="C47" s="1">
        <v>1.6799999999999999E-2</v>
      </c>
      <c r="D47">
        <v>16.3</v>
      </c>
    </row>
    <row r="48" spans="1:4" x14ac:dyDescent="0.2">
      <c r="A48" t="s">
        <v>426</v>
      </c>
      <c r="B48" t="s">
        <v>5</v>
      </c>
      <c r="C48" s="1">
        <v>1.6999999999999999E-3</v>
      </c>
      <c r="D48">
        <v>12.6</v>
      </c>
    </row>
    <row r="49" spans="1:4" x14ac:dyDescent="0.2">
      <c r="A49" t="s">
        <v>121</v>
      </c>
      <c r="B49" t="s">
        <v>5</v>
      </c>
      <c r="C49" s="1">
        <v>2.3599999999999999E-2</v>
      </c>
      <c r="D49">
        <v>10.6</v>
      </c>
    </row>
    <row r="50" spans="1:4" x14ac:dyDescent="0.2">
      <c r="A50" t="s">
        <v>404</v>
      </c>
      <c r="B50" t="s">
        <v>10</v>
      </c>
      <c r="C50" s="1">
        <v>1.6999999999999999E-3</v>
      </c>
      <c r="D50">
        <v>1.3</v>
      </c>
    </row>
    <row r="51" spans="1:4" x14ac:dyDescent="0.2">
      <c r="A51" t="s">
        <v>259</v>
      </c>
      <c r="B51" t="s">
        <v>10</v>
      </c>
      <c r="C51" s="1">
        <v>8.3999999999999995E-3</v>
      </c>
      <c r="D51">
        <v>4.5</v>
      </c>
    </row>
    <row r="52" spans="1:4" x14ac:dyDescent="0.2">
      <c r="A52" t="s">
        <v>184</v>
      </c>
      <c r="B52" t="s">
        <v>17</v>
      </c>
      <c r="C52" s="1">
        <v>1.52E-2</v>
      </c>
      <c r="D52">
        <v>9.1</v>
      </c>
    </row>
    <row r="53" spans="1:4" x14ac:dyDescent="0.2">
      <c r="A53" t="s">
        <v>122</v>
      </c>
      <c r="B53" t="s">
        <v>10</v>
      </c>
      <c r="C53" s="1">
        <v>2.3599999999999999E-2</v>
      </c>
      <c r="D53">
        <v>3</v>
      </c>
    </row>
    <row r="54" spans="1:4" x14ac:dyDescent="0.2">
      <c r="A54" t="s">
        <v>443</v>
      </c>
      <c r="B54" t="s">
        <v>17</v>
      </c>
      <c r="C54" s="1">
        <v>1.6999999999999999E-3</v>
      </c>
      <c r="D54">
        <v>6</v>
      </c>
    </row>
    <row r="55" spans="1:4" x14ac:dyDescent="0.2">
      <c r="A55" t="s">
        <v>301</v>
      </c>
      <c r="B55" t="s">
        <v>17</v>
      </c>
      <c r="C55" s="1">
        <v>6.7000000000000002E-3</v>
      </c>
      <c r="D55">
        <v>0</v>
      </c>
    </row>
    <row r="56" spans="1:4" x14ac:dyDescent="0.2">
      <c r="A56" t="s">
        <v>247</v>
      </c>
      <c r="B56" t="s">
        <v>10</v>
      </c>
      <c r="C56" s="1">
        <v>1.01E-2</v>
      </c>
      <c r="D56">
        <v>5.8</v>
      </c>
    </row>
    <row r="57" spans="1:4" x14ac:dyDescent="0.2">
      <c r="A57" t="s">
        <v>114</v>
      </c>
      <c r="B57" t="s">
        <v>7</v>
      </c>
      <c r="C57" s="1">
        <v>2.53E-2</v>
      </c>
      <c r="D57">
        <v>6.7</v>
      </c>
    </row>
    <row r="58" spans="1:4" x14ac:dyDescent="0.2">
      <c r="A58" t="s">
        <v>370</v>
      </c>
      <c r="B58" t="s">
        <v>17</v>
      </c>
      <c r="C58" s="1">
        <v>3.3999999999999998E-3</v>
      </c>
      <c r="D58">
        <v>2.8</v>
      </c>
    </row>
    <row r="59" spans="1:4" x14ac:dyDescent="0.2">
      <c r="A59" t="s">
        <v>413</v>
      </c>
      <c r="B59" t="s">
        <v>10</v>
      </c>
      <c r="C59" s="1">
        <v>1.6999999999999999E-3</v>
      </c>
      <c r="D59">
        <v>0</v>
      </c>
    </row>
    <row r="60" spans="1:4" x14ac:dyDescent="0.2">
      <c r="A60" t="s">
        <v>89</v>
      </c>
      <c r="B60" t="s">
        <v>10</v>
      </c>
      <c r="C60" s="1">
        <v>3.2000000000000001E-2</v>
      </c>
      <c r="D60">
        <v>2.8</v>
      </c>
    </row>
    <row r="61" spans="1:4" x14ac:dyDescent="0.2">
      <c r="A61" t="s">
        <v>201</v>
      </c>
      <c r="B61" t="s">
        <v>17</v>
      </c>
      <c r="C61" s="1">
        <v>1.35E-2</v>
      </c>
      <c r="D61">
        <v>19.100000000000001</v>
      </c>
    </row>
    <row r="62" spans="1:4" x14ac:dyDescent="0.2">
      <c r="A62" t="s">
        <v>42</v>
      </c>
      <c r="B62" t="s">
        <v>17</v>
      </c>
      <c r="C62" s="1">
        <v>5.5599999999999997E-2</v>
      </c>
      <c r="D62">
        <v>14.9</v>
      </c>
    </row>
    <row r="63" spans="1:4" x14ac:dyDescent="0.2">
      <c r="A63" t="s">
        <v>217</v>
      </c>
      <c r="B63" t="s">
        <v>5</v>
      </c>
      <c r="C63" s="1">
        <v>1.18E-2</v>
      </c>
      <c r="D63">
        <v>3</v>
      </c>
    </row>
    <row r="64" spans="1:4" x14ac:dyDescent="0.2">
      <c r="A64" t="s">
        <v>388</v>
      </c>
      <c r="B64" t="s">
        <v>17</v>
      </c>
      <c r="C64" s="1">
        <v>1.6999999999999999E-3</v>
      </c>
      <c r="D64">
        <v>0</v>
      </c>
    </row>
    <row r="65" spans="1:4" x14ac:dyDescent="0.2">
      <c r="A65" t="s">
        <v>120</v>
      </c>
      <c r="B65" t="s">
        <v>17</v>
      </c>
      <c r="C65" s="1">
        <v>2.3599999999999999E-2</v>
      </c>
      <c r="D65">
        <v>4.0999999999999996</v>
      </c>
    </row>
    <row r="66" spans="1:4" x14ac:dyDescent="0.2">
      <c r="A66" t="s">
        <v>182</v>
      </c>
      <c r="B66" t="s">
        <v>17</v>
      </c>
      <c r="C66" s="1">
        <v>1.52E-2</v>
      </c>
      <c r="D66">
        <v>5.6</v>
      </c>
    </row>
    <row r="67" spans="1:4" x14ac:dyDescent="0.2">
      <c r="A67" t="s">
        <v>83</v>
      </c>
      <c r="B67" t="s">
        <v>17</v>
      </c>
      <c r="C67" s="1">
        <v>3.3700000000000001E-2</v>
      </c>
      <c r="D67">
        <v>8</v>
      </c>
    </row>
    <row r="68" spans="1:4" x14ac:dyDescent="0.2">
      <c r="A68" t="s">
        <v>78</v>
      </c>
      <c r="B68" t="s">
        <v>5</v>
      </c>
      <c r="C68" s="1">
        <v>3.6999999999999998E-2</v>
      </c>
      <c r="D68">
        <v>10</v>
      </c>
    </row>
    <row r="69" spans="1:4" x14ac:dyDescent="0.2">
      <c r="A69" t="s">
        <v>104</v>
      </c>
      <c r="B69" t="s">
        <v>17</v>
      </c>
      <c r="C69" s="1">
        <v>2.69E-2</v>
      </c>
      <c r="D69">
        <v>4.5</v>
      </c>
    </row>
    <row r="70" spans="1:4" x14ac:dyDescent="0.2">
      <c r="A70" t="s">
        <v>434</v>
      </c>
      <c r="B70" t="s">
        <v>10</v>
      </c>
      <c r="C70" s="1">
        <v>1.6999999999999999E-3</v>
      </c>
      <c r="D70">
        <v>1.5</v>
      </c>
    </row>
    <row r="71" spans="1:4" x14ac:dyDescent="0.2">
      <c r="A71" t="s">
        <v>441</v>
      </c>
      <c r="B71" t="s">
        <v>17</v>
      </c>
      <c r="C71" s="1">
        <v>1.6999999999999999E-3</v>
      </c>
      <c r="D71">
        <v>5.6</v>
      </c>
    </row>
    <row r="72" spans="1:4" x14ac:dyDescent="0.2">
      <c r="A72" t="s">
        <v>72</v>
      </c>
      <c r="B72" t="s">
        <v>17</v>
      </c>
      <c r="C72" s="1">
        <v>3.8699999999999998E-2</v>
      </c>
      <c r="D72">
        <v>2.6</v>
      </c>
    </row>
    <row r="73" spans="1:4" x14ac:dyDescent="0.2">
      <c r="A73" t="s">
        <v>169</v>
      </c>
      <c r="B73" t="s">
        <v>10</v>
      </c>
      <c r="C73" s="1">
        <v>1.6799999999999999E-2</v>
      </c>
      <c r="D73">
        <v>1.5</v>
      </c>
    </row>
    <row r="74" spans="1:4" x14ac:dyDescent="0.2">
      <c r="A74" t="s">
        <v>288</v>
      </c>
      <c r="B74" t="s">
        <v>10</v>
      </c>
      <c r="C74" s="1">
        <v>6.7000000000000002E-3</v>
      </c>
      <c r="D74">
        <v>23</v>
      </c>
    </row>
    <row r="75" spans="1:4" x14ac:dyDescent="0.2">
      <c r="A75" t="s">
        <v>230</v>
      </c>
      <c r="B75" t="s">
        <v>15</v>
      </c>
      <c r="C75" s="1">
        <v>1.01E-2</v>
      </c>
      <c r="D75">
        <v>6.5</v>
      </c>
    </row>
    <row r="76" spans="1:4" x14ac:dyDescent="0.2">
      <c r="A76" t="s">
        <v>274</v>
      </c>
      <c r="B76" t="s">
        <v>7</v>
      </c>
      <c r="C76" s="1">
        <v>8.3999999999999995E-3</v>
      </c>
      <c r="D76">
        <v>8.1</v>
      </c>
    </row>
    <row r="77" spans="1:4" x14ac:dyDescent="0.2">
      <c r="A77" t="s">
        <v>39</v>
      </c>
      <c r="B77" t="s">
        <v>17</v>
      </c>
      <c r="C77" s="1">
        <v>6.0600000000000001E-2</v>
      </c>
      <c r="D77">
        <v>9.3000000000000007</v>
      </c>
    </row>
    <row r="78" spans="1:4" x14ac:dyDescent="0.2">
      <c r="A78" t="s">
        <v>52</v>
      </c>
      <c r="B78" t="s">
        <v>10</v>
      </c>
      <c r="C78" s="1">
        <v>4.8800000000000003E-2</v>
      </c>
      <c r="D78">
        <v>6</v>
      </c>
    </row>
    <row r="79" spans="1:4" x14ac:dyDescent="0.2">
      <c r="A79" t="s">
        <v>142</v>
      </c>
      <c r="B79" t="s">
        <v>5</v>
      </c>
      <c r="C79" s="1">
        <v>2.0199999999999999E-2</v>
      </c>
      <c r="D79">
        <v>7.8</v>
      </c>
    </row>
    <row r="80" spans="1:4" x14ac:dyDescent="0.2">
      <c r="A80" t="s">
        <v>276</v>
      </c>
      <c r="B80" t="s">
        <v>10</v>
      </c>
      <c r="C80" s="1">
        <v>8.3999999999999995E-3</v>
      </c>
      <c r="D80">
        <v>1.5</v>
      </c>
    </row>
    <row r="81" spans="1:4" x14ac:dyDescent="0.2">
      <c r="A81" t="s">
        <v>97</v>
      </c>
      <c r="B81" t="s">
        <v>10</v>
      </c>
      <c r="C81" s="1">
        <v>2.86E-2</v>
      </c>
      <c r="D81">
        <v>0</v>
      </c>
    </row>
    <row r="82" spans="1:4" x14ac:dyDescent="0.2">
      <c r="A82" t="s">
        <v>409</v>
      </c>
      <c r="B82" t="s">
        <v>15</v>
      </c>
      <c r="C82" s="1">
        <v>1.6999999999999999E-3</v>
      </c>
      <c r="D82">
        <v>1.3</v>
      </c>
    </row>
    <row r="83" spans="1:4" x14ac:dyDescent="0.2">
      <c r="A83" t="s">
        <v>459</v>
      </c>
      <c r="B83" t="s">
        <v>10</v>
      </c>
      <c r="C83" s="1">
        <v>1.6999999999999999E-3</v>
      </c>
      <c r="D83">
        <v>7.1</v>
      </c>
    </row>
    <row r="84" spans="1:4" x14ac:dyDescent="0.2">
      <c r="A84" t="s">
        <v>431</v>
      </c>
      <c r="B84" t="s">
        <v>5</v>
      </c>
      <c r="C84" s="1">
        <v>1.6999999999999999E-3</v>
      </c>
      <c r="D84">
        <v>0</v>
      </c>
    </row>
    <row r="85" spans="1:4" x14ac:dyDescent="0.2">
      <c r="A85" t="s">
        <v>366</v>
      </c>
      <c r="B85" t="s">
        <v>10</v>
      </c>
      <c r="C85" s="1">
        <v>3.3999999999999998E-3</v>
      </c>
      <c r="D85">
        <v>6.3</v>
      </c>
    </row>
    <row r="86" spans="1:4" x14ac:dyDescent="0.2">
      <c r="A86" t="s">
        <v>210</v>
      </c>
      <c r="B86" t="s">
        <v>10</v>
      </c>
      <c r="C86" s="1">
        <v>1.18E-2</v>
      </c>
      <c r="D86">
        <v>15.6</v>
      </c>
    </row>
    <row r="87" spans="1:4" x14ac:dyDescent="0.2">
      <c r="A87" t="s">
        <v>420</v>
      </c>
      <c r="B87" t="s">
        <v>7</v>
      </c>
      <c r="C87" s="1">
        <v>1.6999999999999999E-3</v>
      </c>
      <c r="D87">
        <v>0</v>
      </c>
    </row>
    <row r="88" spans="1:4" x14ac:dyDescent="0.2">
      <c r="A88" t="s">
        <v>116</v>
      </c>
      <c r="B88" t="s">
        <v>17</v>
      </c>
      <c r="C88" s="1">
        <v>2.53E-2</v>
      </c>
      <c r="D88">
        <v>9.9</v>
      </c>
    </row>
    <row r="89" spans="1:4" x14ac:dyDescent="0.2">
      <c r="A89" t="s">
        <v>133</v>
      </c>
      <c r="B89" t="s">
        <v>5</v>
      </c>
      <c r="C89" s="1">
        <v>2.1899999999999999E-2</v>
      </c>
      <c r="D89">
        <v>14.5</v>
      </c>
    </row>
    <row r="90" spans="1:4" x14ac:dyDescent="0.2">
      <c r="A90" t="s">
        <v>307</v>
      </c>
      <c r="B90" t="s">
        <v>10</v>
      </c>
      <c r="C90" s="1">
        <v>5.1000000000000004E-3</v>
      </c>
      <c r="D90">
        <v>3</v>
      </c>
    </row>
    <row r="91" spans="1:4" x14ac:dyDescent="0.2">
      <c r="A91" t="s">
        <v>112</v>
      </c>
      <c r="B91" t="s">
        <v>7</v>
      </c>
      <c r="C91" s="1">
        <v>2.69E-2</v>
      </c>
      <c r="D91">
        <v>12.6</v>
      </c>
    </row>
    <row r="92" spans="1:4" x14ac:dyDescent="0.2">
      <c r="A92" t="s">
        <v>275</v>
      </c>
      <c r="B92" t="s">
        <v>7</v>
      </c>
      <c r="C92" s="1">
        <v>8.3999999999999995E-3</v>
      </c>
      <c r="D92">
        <v>7.4</v>
      </c>
    </row>
    <row r="93" spans="1:4" x14ac:dyDescent="0.2">
      <c r="A93" t="s">
        <v>8</v>
      </c>
      <c r="B93" t="s">
        <v>5</v>
      </c>
      <c r="C93" s="1">
        <v>0.20030000000000001</v>
      </c>
      <c r="D93">
        <v>16.5</v>
      </c>
    </row>
    <row r="94" spans="1:4" x14ac:dyDescent="0.2">
      <c r="A94" t="s">
        <v>335</v>
      </c>
      <c r="B94" t="s">
        <v>10</v>
      </c>
      <c r="C94" s="1">
        <v>3.3999999999999998E-3</v>
      </c>
      <c r="D94">
        <v>5</v>
      </c>
    </row>
    <row r="95" spans="1:4" x14ac:dyDescent="0.2">
      <c r="A95" t="s">
        <v>178</v>
      </c>
      <c r="B95" t="s">
        <v>17</v>
      </c>
      <c r="C95" s="1">
        <v>1.52E-2</v>
      </c>
      <c r="D95">
        <v>12.6</v>
      </c>
    </row>
    <row r="96" spans="1:4" x14ac:dyDescent="0.2">
      <c r="A96" t="s">
        <v>330</v>
      </c>
      <c r="B96" t="s">
        <v>10</v>
      </c>
      <c r="C96" s="1">
        <v>5.1000000000000004E-3</v>
      </c>
      <c r="D96">
        <v>3</v>
      </c>
    </row>
    <row r="97" spans="1:4" x14ac:dyDescent="0.2">
      <c r="A97" t="s">
        <v>155</v>
      </c>
      <c r="B97" t="s">
        <v>15</v>
      </c>
      <c r="C97" s="1">
        <v>1.6799999999999999E-2</v>
      </c>
      <c r="D97">
        <v>8.4</v>
      </c>
    </row>
    <row r="98" spans="1:4" x14ac:dyDescent="0.2">
      <c r="A98" t="s">
        <v>177</v>
      </c>
      <c r="B98" t="s">
        <v>10</v>
      </c>
      <c r="C98" s="1">
        <v>1.52E-2</v>
      </c>
      <c r="D98">
        <v>5.8</v>
      </c>
    </row>
    <row r="99" spans="1:4" x14ac:dyDescent="0.2">
      <c r="A99" t="s">
        <v>435</v>
      </c>
      <c r="B99" t="s">
        <v>5</v>
      </c>
      <c r="C99" s="1">
        <v>1.6999999999999999E-3</v>
      </c>
      <c r="D99">
        <v>4.0999999999999996</v>
      </c>
    </row>
    <row r="100" spans="1:4" x14ac:dyDescent="0.2">
      <c r="A100" t="s">
        <v>25</v>
      </c>
      <c r="B100" t="s">
        <v>15</v>
      </c>
      <c r="C100" s="1">
        <v>8.2500000000000004E-2</v>
      </c>
      <c r="D100">
        <v>6</v>
      </c>
    </row>
    <row r="101" spans="1:4" x14ac:dyDescent="0.2">
      <c r="A101" t="s">
        <v>252</v>
      </c>
      <c r="B101" t="s">
        <v>15</v>
      </c>
      <c r="C101" s="1">
        <v>8.3999999999999995E-3</v>
      </c>
      <c r="D101">
        <v>2.8</v>
      </c>
    </row>
    <row r="102" spans="1:4" x14ac:dyDescent="0.2">
      <c r="A102" t="s">
        <v>81</v>
      </c>
      <c r="B102" t="s">
        <v>7</v>
      </c>
      <c r="C102" s="1">
        <v>3.5400000000000001E-2</v>
      </c>
      <c r="D102">
        <v>0.7</v>
      </c>
    </row>
    <row r="103" spans="1:4" x14ac:dyDescent="0.2">
      <c r="A103" t="s">
        <v>257</v>
      </c>
      <c r="B103" t="s">
        <v>5</v>
      </c>
      <c r="C103" s="1">
        <v>8.3999999999999995E-3</v>
      </c>
      <c r="D103">
        <v>10</v>
      </c>
    </row>
    <row r="104" spans="1:4" x14ac:dyDescent="0.2">
      <c r="A104" t="s">
        <v>327</v>
      </c>
      <c r="B104" t="s">
        <v>7</v>
      </c>
      <c r="C104" s="1">
        <v>5.1000000000000004E-3</v>
      </c>
      <c r="D104">
        <v>9.1</v>
      </c>
    </row>
    <row r="105" spans="1:4" x14ac:dyDescent="0.2">
      <c r="A105" t="s">
        <v>46</v>
      </c>
      <c r="B105" t="s">
        <v>17</v>
      </c>
      <c r="C105" s="1">
        <v>5.2200000000000003E-2</v>
      </c>
      <c r="D105">
        <v>5.8</v>
      </c>
    </row>
    <row r="106" spans="1:4" x14ac:dyDescent="0.2">
      <c r="A106" t="s">
        <v>48</v>
      </c>
      <c r="B106" t="s">
        <v>17</v>
      </c>
      <c r="C106" s="1">
        <v>5.0500000000000003E-2</v>
      </c>
      <c r="D106">
        <v>32</v>
      </c>
    </row>
    <row r="107" spans="1:4" x14ac:dyDescent="0.2">
      <c r="A107" t="s">
        <v>18</v>
      </c>
      <c r="B107" t="s">
        <v>10</v>
      </c>
      <c r="C107" s="1">
        <v>0.1128</v>
      </c>
      <c r="D107">
        <v>1.5</v>
      </c>
    </row>
    <row r="108" spans="1:4" x14ac:dyDescent="0.2">
      <c r="A108" t="s">
        <v>236</v>
      </c>
      <c r="B108" t="s">
        <v>15</v>
      </c>
      <c r="C108" s="1">
        <v>1.01E-2</v>
      </c>
      <c r="D108">
        <v>8</v>
      </c>
    </row>
    <row r="109" spans="1:4" x14ac:dyDescent="0.2">
      <c r="A109" t="s">
        <v>360</v>
      </c>
      <c r="B109" t="s">
        <v>7</v>
      </c>
      <c r="C109" s="1">
        <v>3.3999999999999998E-3</v>
      </c>
      <c r="D109">
        <v>0</v>
      </c>
    </row>
    <row r="110" spans="1:4" x14ac:dyDescent="0.2">
      <c r="A110" t="s">
        <v>390</v>
      </c>
      <c r="B110" t="s">
        <v>10</v>
      </c>
      <c r="C110" s="1">
        <v>1.6999999999999999E-3</v>
      </c>
      <c r="D110">
        <v>6.5</v>
      </c>
    </row>
    <row r="111" spans="1:4" x14ac:dyDescent="0.2">
      <c r="A111" t="s">
        <v>26</v>
      </c>
      <c r="B111" t="s">
        <v>7</v>
      </c>
      <c r="C111" s="1">
        <v>7.9100000000000004E-2</v>
      </c>
      <c r="D111">
        <v>3.5</v>
      </c>
    </row>
    <row r="112" spans="1:4" x14ac:dyDescent="0.2">
      <c r="A112" t="s">
        <v>463</v>
      </c>
      <c r="B112" t="s">
        <v>17</v>
      </c>
      <c r="C112" s="1">
        <v>1.6999999999999999E-3</v>
      </c>
      <c r="D112">
        <v>2.6</v>
      </c>
    </row>
    <row r="113" spans="1:4" x14ac:dyDescent="0.2">
      <c r="A113" t="s">
        <v>300</v>
      </c>
      <c r="B113" t="s">
        <v>5</v>
      </c>
      <c r="C113" s="1">
        <v>6.7000000000000002E-3</v>
      </c>
      <c r="D113">
        <v>13</v>
      </c>
    </row>
    <row r="114" spans="1:4" x14ac:dyDescent="0.2">
      <c r="A114" t="s">
        <v>75</v>
      </c>
      <c r="B114" t="s">
        <v>17</v>
      </c>
      <c r="C114" s="1">
        <v>3.6999999999999998E-2</v>
      </c>
      <c r="D114">
        <v>19</v>
      </c>
    </row>
    <row r="115" spans="1:4" x14ac:dyDescent="0.2">
      <c r="A115" t="s">
        <v>265</v>
      </c>
      <c r="B115" t="s">
        <v>17</v>
      </c>
      <c r="C115" s="1">
        <v>8.3999999999999995E-3</v>
      </c>
      <c r="D115">
        <v>2.8</v>
      </c>
    </row>
    <row r="116" spans="1:4" x14ac:dyDescent="0.2">
      <c r="A116" t="s">
        <v>372</v>
      </c>
      <c r="B116" t="s">
        <v>10</v>
      </c>
      <c r="C116" s="1">
        <v>3.3999999999999998E-3</v>
      </c>
      <c r="D116">
        <v>10</v>
      </c>
    </row>
    <row r="117" spans="1:4" x14ac:dyDescent="0.2">
      <c r="A117" t="s">
        <v>373</v>
      </c>
      <c r="B117" t="s">
        <v>17</v>
      </c>
      <c r="C117" s="1">
        <v>3.3999999999999998E-3</v>
      </c>
      <c r="D117">
        <v>1.3</v>
      </c>
    </row>
    <row r="118" spans="1:4" x14ac:dyDescent="0.2">
      <c r="A118" t="s">
        <v>38</v>
      </c>
      <c r="B118" t="s">
        <v>5</v>
      </c>
      <c r="C118" s="1">
        <v>6.0600000000000001E-2</v>
      </c>
      <c r="D118">
        <v>6.5</v>
      </c>
    </row>
    <row r="119" spans="1:4" x14ac:dyDescent="0.2">
      <c r="A119" t="s">
        <v>281</v>
      </c>
      <c r="B119" t="s">
        <v>5</v>
      </c>
      <c r="C119" s="1">
        <v>6.7000000000000002E-3</v>
      </c>
      <c r="D119">
        <v>19.3</v>
      </c>
    </row>
    <row r="120" spans="1:4" x14ac:dyDescent="0.2">
      <c r="A120" t="s">
        <v>314</v>
      </c>
      <c r="B120" t="s">
        <v>10</v>
      </c>
      <c r="C120" s="1">
        <v>5.1000000000000004E-3</v>
      </c>
      <c r="D120">
        <v>0</v>
      </c>
    </row>
    <row r="121" spans="1:4" x14ac:dyDescent="0.2">
      <c r="A121" t="s">
        <v>228</v>
      </c>
      <c r="B121" t="s">
        <v>10</v>
      </c>
      <c r="C121" s="1">
        <v>1.01E-2</v>
      </c>
      <c r="D121">
        <v>7.3</v>
      </c>
    </row>
    <row r="122" spans="1:4" x14ac:dyDescent="0.2">
      <c r="A122" t="s">
        <v>362</v>
      </c>
      <c r="B122" t="s">
        <v>15</v>
      </c>
      <c r="C122" s="1">
        <v>3.3999999999999998E-3</v>
      </c>
      <c r="D122">
        <v>6.5</v>
      </c>
    </row>
    <row r="123" spans="1:4" x14ac:dyDescent="0.2">
      <c r="A123" t="s">
        <v>49</v>
      </c>
      <c r="B123" t="s">
        <v>15</v>
      </c>
      <c r="C123" s="1">
        <v>4.8800000000000003E-2</v>
      </c>
      <c r="D123">
        <v>19</v>
      </c>
    </row>
    <row r="124" spans="1:4" x14ac:dyDescent="0.2">
      <c r="A124" t="s">
        <v>22</v>
      </c>
      <c r="B124" t="s">
        <v>5</v>
      </c>
      <c r="C124" s="1">
        <v>8.5900000000000004E-2</v>
      </c>
      <c r="D124">
        <v>8.4</v>
      </c>
    </row>
    <row r="125" spans="1:4" x14ac:dyDescent="0.2">
      <c r="A125" t="s">
        <v>108</v>
      </c>
      <c r="B125" t="s">
        <v>10</v>
      </c>
      <c r="C125" s="1">
        <v>2.69E-2</v>
      </c>
      <c r="D125">
        <v>2.8</v>
      </c>
    </row>
    <row r="126" spans="1:4" x14ac:dyDescent="0.2">
      <c r="A126" t="s">
        <v>439</v>
      </c>
      <c r="B126" t="s">
        <v>10</v>
      </c>
      <c r="C126" s="1">
        <v>1.6999999999999999E-3</v>
      </c>
      <c r="D126">
        <v>0</v>
      </c>
    </row>
    <row r="127" spans="1:4" x14ac:dyDescent="0.2">
      <c r="A127" t="s">
        <v>378</v>
      </c>
      <c r="B127" t="s">
        <v>17</v>
      </c>
      <c r="C127" s="1">
        <v>3.3999999999999998E-3</v>
      </c>
      <c r="D127">
        <v>5.6</v>
      </c>
    </row>
    <row r="128" spans="1:4" x14ac:dyDescent="0.2">
      <c r="A128" t="s">
        <v>403</v>
      </c>
      <c r="B128" t="s">
        <v>5</v>
      </c>
      <c r="C128" s="1">
        <v>1.6999999999999999E-3</v>
      </c>
      <c r="D128">
        <v>1.5</v>
      </c>
    </row>
    <row r="129" spans="1:4" x14ac:dyDescent="0.2">
      <c r="A129" t="s">
        <v>63</v>
      </c>
      <c r="B129" t="s">
        <v>17</v>
      </c>
      <c r="C129" s="1">
        <v>4.3799999999999999E-2</v>
      </c>
      <c r="D129">
        <v>4.3</v>
      </c>
    </row>
    <row r="130" spans="1:4" x14ac:dyDescent="0.2">
      <c r="A130" t="s">
        <v>126</v>
      </c>
      <c r="B130" t="s">
        <v>17</v>
      </c>
      <c r="C130" s="1">
        <v>2.3599999999999999E-2</v>
      </c>
      <c r="D130">
        <v>11.4</v>
      </c>
    </row>
    <row r="131" spans="1:4" x14ac:dyDescent="0.2">
      <c r="A131" t="s">
        <v>51</v>
      </c>
      <c r="B131" t="s">
        <v>17</v>
      </c>
      <c r="C131" s="1">
        <v>4.8800000000000003E-2</v>
      </c>
      <c r="D131">
        <v>32</v>
      </c>
    </row>
    <row r="132" spans="1:4" x14ac:dyDescent="0.2">
      <c r="A132" t="s">
        <v>109</v>
      </c>
      <c r="B132" t="s">
        <v>15</v>
      </c>
      <c r="C132" s="1">
        <v>2.69E-2</v>
      </c>
      <c r="D132">
        <v>1.5</v>
      </c>
    </row>
    <row r="133" spans="1:4" x14ac:dyDescent="0.2">
      <c r="A133" t="s">
        <v>149</v>
      </c>
      <c r="B133" t="s">
        <v>10</v>
      </c>
      <c r="C133" s="1">
        <v>1.8499999999999999E-2</v>
      </c>
      <c r="D133">
        <v>5.8</v>
      </c>
    </row>
    <row r="134" spans="1:4" x14ac:dyDescent="0.2">
      <c r="A134" t="s">
        <v>27</v>
      </c>
      <c r="B134" t="s">
        <v>10</v>
      </c>
      <c r="C134" s="1">
        <v>7.0699999999999999E-2</v>
      </c>
      <c r="D134">
        <v>8</v>
      </c>
    </row>
    <row r="135" spans="1:4" x14ac:dyDescent="0.2">
      <c r="A135" t="s">
        <v>238</v>
      </c>
      <c r="B135" t="s">
        <v>10</v>
      </c>
      <c r="C135" s="1">
        <v>1.01E-2</v>
      </c>
      <c r="D135">
        <v>1.5</v>
      </c>
    </row>
    <row r="136" spans="1:4" x14ac:dyDescent="0.2">
      <c r="A136" t="s">
        <v>219</v>
      </c>
      <c r="B136" t="s">
        <v>5</v>
      </c>
      <c r="C136" s="1">
        <v>1.18E-2</v>
      </c>
      <c r="D136">
        <v>1.5</v>
      </c>
    </row>
    <row r="137" spans="1:4" x14ac:dyDescent="0.2">
      <c r="A137" t="s">
        <v>205</v>
      </c>
      <c r="B137" t="s">
        <v>10</v>
      </c>
      <c r="C137" s="1">
        <v>1.18E-2</v>
      </c>
      <c r="D137">
        <v>15.8</v>
      </c>
    </row>
    <row r="138" spans="1:4" x14ac:dyDescent="0.2">
      <c r="A138" t="s">
        <v>13</v>
      </c>
      <c r="B138" t="s">
        <v>7</v>
      </c>
      <c r="C138" s="1">
        <v>0.1195</v>
      </c>
      <c r="D138">
        <v>22.8</v>
      </c>
    </row>
    <row r="139" spans="1:4" x14ac:dyDescent="0.2">
      <c r="A139" t="s">
        <v>59</v>
      </c>
      <c r="B139" t="s">
        <v>17</v>
      </c>
      <c r="C139" s="1">
        <v>4.5499999999999999E-2</v>
      </c>
      <c r="D139">
        <v>11.3</v>
      </c>
    </row>
    <row r="140" spans="1:4" x14ac:dyDescent="0.2">
      <c r="A140" t="s">
        <v>127</v>
      </c>
      <c r="B140" t="s">
        <v>10</v>
      </c>
      <c r="C140" s="1">
        <v>2.1899999999999999E-2</v>
      </c>
      <c r="D140">
        <v>11.5</v>
      </c>
    </row>
    <row r="141" spans="1:4" x14ac:dyDescent="0.2">
      <c r="A141" t="s">
        <v>30</v>
      </c>
      <c r="B141" t="s">
        <v>5</v>
      </c>
      <c r="C141" s="1">
        <v>6.9000000000000006E-2</v>
      </c>
      <c r="D141">
        <v>26</v>
      </c>
    </row>
    <row r="142" spans="1:4" x14ac:dyDescent="0.2">
      <c r="A142" t="s">
        <v>350</v>
      </c>
      <c r="B142" t="s">
        <v>15</v>
      </c>
      <c r="C142" s="1">
        <v>3.3999999999999998E-3</v>
      </c>
      <c r="D142">
        <v>9.1</v>
      </c>
    </row>
    <row r="143" spans="1:4" x14ac:dyDescent="0.2">
      <c r="A143" t="s">
        <v>291</v>
      </c>
      <c r="B143" t="s">
        <v>10</v>
      </c>
      <c r="C143" s="1">
        <v>6.7000000000000002E-3</v>
      </c>
      <c r="D143">
        <v>10.5</v>
      </c>
    </row>
    <row r="144" spans="1:4" x14ac:dyDescent="0.2">
      <c r="A144" t="s">
        <v>286</v>
      </c>
      <c r="B144" t="s">
        <v>15</v>
      </c>
      <c r="C144" s="1">
        <v>6.7000000000000002E-3</v>
      </c>
      <c r="D144">
        <v>0</v>
      </c>
    </row>
    <row r="145" spans="1:4" x14ac:dyDescent="0.2">
      <c r="A145" t="s">
        <v>402</v>
      </c>
      <c r="B145" t="s">
        <v>15</v>
      </c>
      <c r="C145" s="1">
        <v>1.6999999999999999E-3</v>
      </c>
      <c r="D145">
        <v>1.5</v>
      </c>
    </row>
    <row r="146" spans="1:4" x14ac:dyDescent="0.2">
      <c r="A146" t="s">
        <v>438</v>
      </c>
      <c r="B146" t="s">
        <v>10</v>
      </c>
      <c r="C146" s="1">
        <v>1.6999999999999999E-3</v>
      </c>
      <c r="D146">
        <v>1.5</v>
      </c>
    </row>
    <row r="147" spans="1:4" x14ac:dyDescent="0.2">
      <c r="A147" t="s">
        <v>270</v>
      </c>
      <c r="B147" t="s">
        <v>17</v>
      </c>
      <c r="C147" s="1">
        <v>8.3999999999999995E-3</v>
      </c>
      <c r="D147">
        <v>9.1</v>
      </c>
    </row>
    <row r="148" spans="1:4" x14ac:dyDescent="0.2">
      <c r="A148" t="s">
        <v>94</v>
      </c>
      <c r="B148" t="s">
        <v>17</v>
      </c>
      <c r="C148" s="1">
        <v>3.0300000000000001E-2</v>
      </c>
      <c r="D148">
        <v>6.9</v>
      </c>
    </row>
    <row r="149" spans="1:4" x14ac:dyDescent="0.2">
      <c r="A149" t="s">
        <v>411</v>
      </c>
      <c r="B149" t="s">
        <v>5</v>
      </c>
      <c r="C149" s="1">
        <v>1.6999999999999999E-3</v>
      </c>
      <c r="D149">
        <v>1.3</v>
      </c>
    </row>
    <row r="150" spans="1:4" x14ac:dyDescent="0.2">
      <c r="A150" t="s">
        <v>432</v>
      </c>
      <c r="B150" t="s">
        <v>17</v>
      </c>
      <c r="C150" s="1">
        <v>1.6999999999999999E-3</v>
      </c>
      <c r="D150">
        <v>0</v>
      </c>
    </row>
    <row r="151" spans="1:4" x14ac:dyDescent="0.2">
      <c r="A151" t="s">
        <v>355</v>
      </c>
      <c r="B151" t="s">
        <v>17</v>
      </c>
      <c r="C151" s="1">
        <v>3.3999999999999998E-3</v>
      </c>
      <c r="D151">
        <v>9.9</v>
      </c>
    </row>
    <row r="152" spans="1:4" x14ac:dyDescent="0.2">
      <c r="A152" t="s">
        <v>322</v>
      </c>
      <c r="B152" t="s">
        <v>15</v>
      </c>
      <c r="C152" s="1">
        <v>5.1000000000000004E-3</v>
      </c>
      <c r="D152">
        <v>0</v>
      </c>
    </row>
    <row r="153" spans="1:4" x14ac:dyDescent="0.2">
      <c r="A153" t="s">
        <v>401</v>
      </c>
      <c r="B153" t="s">
        <v>10</v>
      </c>
      <c r="C153" s="1">
        <v>1.6999999999999999E-3</v>
      </c>
      <c r="D153">
        <v>2.8</v>
      </c>
    </row>
    <row r="154" spans="1:4" x14ac:dyDescent="0.2">
      <c r="A154" t="s">
        <v>6</v>
      </c>
      <c r="B154" t="s">
        <v>7</v>
      </c>
      <c r="C154" s="1">
        <v>0.20710000000000001</v>
      </c>
      <c r="D154">
        <v>16.5</v>
      </c>
    </row>
    <row r="155" spans="1:4" x14ac:dyDescent="0.2">
      <c r="A155" t="s">
        <v>460</v>
      </c>
      <c r="B155" t="s">
        <v>10</v>
      </c>
      <c r="C155" s="1">
        <v>1.6999999999999999E-3</v>
      </c>
      <c r="D155">
        <v>0</v>
      </c>
    </row>
    <row r="156" spans="1:4" x14ac:dyDescent="0.2">
      <c r="A156" t="s">
        <v>346</v>
      </c>
      <c r="B156" t="s">
        <v>10</v>
      </c>
      <c r="C156" s="1">
        <v>3.3999999999999998E-3</v>
      </c>
      <c r="D156">
        <v>14.5</v>
      </c>
    </row>
    <row r="157" spans="1:4" x14ac:dyDescent="0.2">
      <c r="A157" t="s">
        <v>235</v>
      </c>
      <c r="B157" t="s">
        <v>10</v>
      </c>
      <c r="C157" s="1">
        <v>1.01E-2</v>
      </c>
      <c r="D157">
        <v>14.3</v>
      </c>
    </row>
    <row r="158" spans="1:4" x14ac:dyDescent="0.2">
      <c r="A158" t="s">
        <v>147</v>
      </c>
      <c r="B158" t="s">
        <v>17</v>
      </c>
      <c r="C158" s="1">
        <v>1.8499999999999999E-2</v>
      </c>
      <c r="D158">
        <v>9.5</v>
      </c>
    </row>
    <row r="159" spans="1:4" x14ac:dyDescent="0.2">
      <c r="A159" t="s">
        <v>393</v>
      </c>
      <c r="B159" t="s">
        <v>5</v>
      </c>
      <c r="C159" s="1">
        <v>1.6999999999999999E-3</v>
      </c>
      <c r="D159">
        <v>4.3</v>
      </c>
    </row>
    <row r="160" spans="1:4" x14ac:dyDescent="0.2">
      <c r="A160" t="s">
        <v>176</v>
      </c>
      <c r="B160" t="s">
        <v>10</v>
      </c>
      <c r="C160" s="1">
        <v>1.52E-2</v>
      </c>
      <c r="D160">
        <v>9.3000000000000007</v>
      </c>
    </row>
    <row r="161" spans="1:4" x14ac:dyDescent="0.2">
      <c r="A161" t="s">
        <v>222</v>
      </c>
      <c r="B161" t="s">
        <v>17</v>
      </c>
      <c r="C161" s="1">
        <v>1.18E-2</v>
      </c>
      <c r="D161">
        <v>9.1</v>
      </c>
    </row>
    <row r="162" spans="1:4" x14ac:dyDescent="0.2">
      <c r="A162" t="s">
        <v>326</v>
      </c>
      <c r="B162" t="s">
        <v>15</v>
      </c>
      <c r="C162" s="1">
        <v>5.1000000000000004E-3</v>
      </c>
      <c r="D162">
        <v>5</v>
      </c>
    </row>
    <row r="163" spans="1:4" x14ac:dyDescent="0.2">
      <c r="A163" t="s">
        <v>213</v>
      </c>
      <c r="B163" t="s">
        <v>5</v>
      </c>
      <c r="C163" s="1">
        <v>1.18E-2</v>
      </c>
      <c r="D163">
        <v>0</v>
      </c>
    </row>
    <row r="164" spans="1:4" x14ac:dyDescent="0.2">
      <c r="A164" t="s">
        <v>91</v>
      </c>
      <c r="B164" t="s">
        <v>5</v>
      </c>
      <c r="C164" s="1">
        <v>3.2000000000000001E-2</v>
      </c>
      <c r="D164">
        <v>0</v>
      </c>
    </row>
    <row r="165" spans="1:4" x14ac:dyDescent="0.2">
      <c r="A165" t="s">
        <v>308</v>
      </c>
      <c r="B165" t="s">
        <v>15</v>
      </c>
      <c r="C165" s="1">
        <v>5.1000000000000004E-3</v>
      </c>
      <c r="D165">
        <v>12.8</v>
      </c>
    </row>
    <row r="166" spans="1:4" x14ac:dyDescent="0.2">
      <c r="A166" t="s">
        <v>163</v>
      </c>
      <c r="B166" t="s">
        <v>10</v>
      </c>
      <c r="C166" s="1">
        <v>1.6799999999999999E-2</v>
      </c>
      <c r="D166">
        <v>19.5</v>
      </c>
    </row>
    <row r="167" spans="1:4" x14ac:dyDescent="0.2">
      <c r="A167" t="s">
        <v>285</v>
      </c>
      <c r="B167" t="s">
        <v>10</v>
      </c>
      <c r="C167" s="1">
        <v>6.7000000000000002E-3</v>
      </c>
      <c r="D167">
        <v>1.5</v>
      </c>
    </row>
    <row r="168" spans="1:4" x14ac:dyDescent="0.2">
      <c r="A168" t="s">
        <v>190</v>
      </c>
      <c r="B168" t="s">
        <v>10</v>
      </c>
      <c r="C168" s="1">
        <v>1.52E-2</v>
      </c>
      <c r="D168">
        <v>7.8</v>
      </c>
    </row>
    <row r="169" spans="1:4" x14ac:dyDescent="0.2">
      <c r="A169" t="s">
        <v>43</v>
      </c>
      <c r="B169" t="s">
        <v>17</v>
      </c>
      <c r="C169" s="1">
        <v>5.3900000000000003E-2</v>
      </c>
      <c r="D169">
        <v>4.3</v>
      </c>
    </row>
    <row r="170" spans="1:4" x14ac:dyDescent="0.2">
      <c r="A170" t="s">
        <v>418</v>
      </c>
      <c r="B170" t="s">
        <v>17</v>
      </c>
      <c r="C170" s="1">
        <v>1.6999999999999999E-3</v>
      </c>
      <c r="D170">
        <v>1.3</v>
      </c>
    </row>
    <row r="171" spans="1:4" x14ac:dyDescent="0.2">
      <c r="A171" t="s">
        <v>192</v>
      </c>
      <c r="B171" t="s">
        <v>7</v>
      </c>
      <c r="C171" s="1">
        <v>1.52E-2</v>
      </c>
      <c r="D171">
        <v>17.899999999999999</v>
      </c>
    </row>
    <row r="172" spans="1:4" x14ac:dyDescent="0.2">
      <c r="A172" t="s">
        <v>195</v>
      </c>
      <c r="B172" t="s">
        <v>17</v>
      </c>
      <c r="C172" s="1">
        <v>1.35E-2</v>
      </c>
      <c r="D172">
        <v>9.9</v>
      </c>
    </row>
    <row r="173" spans="1:4" x14ac:dyDescent="0.2">
      <c r="A173" t="s">
        <v>175</v>
      </c>
      <c r="B173" t="s">
        <v>10</v>
      </c>
      <c r="C173" s="1">
        <v>1.52E-2</v>
      </c>
      <c r="D173">
        <v>9.5</v>
      </c>
    </row>
    <row r="174" spans="1:4" x14ac:dyDescent="0.2">
      <c r="A174" t="s">
        <v>106</v>
      </c>
      <c r="B174" t="s">
        <v>15</v>
      </c>
      <c r="C174" s="1">
        <v>2.69E-2</v>
      </c>
      <c r="D174">
        <v>17</v>
      </c>
    </row>
    <row r="175" spans="1:4" x14ac:dyDescent="0.2">
      <c r="A175" t="s">
        <v>368</v>
      </c>
      <c r="B175" t="s">
        <v>15</v>
      </c>
      <c r="C175" s="1">
        <v>3.3999999999999998E-3</v>
      </c>
      <c r="D175">
        <v>12.6</v>
      </c>
    </row>
    <row r="176" spans="1:4" x14ac:dyDescent="0.2">
      <c r="A176" t="s">
        <v>168</v>
      </c>
      <c r="B176" t="s">
        <v>15</v>
      </c>
      <c r="C176" s="1">
        <v>1.6799999999999999E-2</v>
      </c>
      <c r="D176">
        <v>1.5</v>
      </c>
    </row>
    <row r="177" spans="1:4" x14ac:dyDescent="0.2">
      <c r="A177" t="s">
        <v>207</v>
      </c>
      <c r="B177" t="s">
        <v>17</v>
      </c>
      <c r="C177" s="1">
        <v>1.18E-2</v>
      </c>
      <c r="D177">
        <v>11.8</v>
      </c>
    </row>
    <row r="178" spans="1:4" x14ac:dyDescent="0.2">
      <c r="A178" t="s">
        <v>268</v>
      </c>
      <c r="B178" t="s">
        <v>17</v>
      </c>
      <c r="C178" s="1">
        <v>8.3999999999999995E-3</v>
      </c>
      <c r="D178">
        <v>7.8</v>
      </c>
    </row>
    <row r="179" spans="1:4" x14ac:dyDescent="0.2">
      <c r="A179" t="s">
        <v>399</v>
      </c>
      <c r="B179" t="s">
        <v>10</v>
      </c>
      <c r="C179" s="1">
        <v>1.6999999999999999E-3</v>
      </c>
      <c r="D179">
        <v>11.3</v>
      </c>
    </row>
    <row r="180" spans="1:4" x14ac:dyDescent="0.2">
      <c r="A180" t="s">
        <v>98</v>
      </c>
      <c r="B180" t="s">
        <v>7</v>
      </c>
      <c r="C180" s="1">
        <v>2.86E-2</v>
      </c>
      <c r="D180">
        <v>3.9</v>
      </c>
    </row>
    <row r="181" spans="1:4" x14ac:dyDescent="0.2">
      <c r="A181" t="s">
        <v>141</v>
      </c>
      <c r="B181" t="s">
        <v>17</v>
      </c>
      <c r="C181" s="1">
        <v>2.0199999999999999E-2</v>
      </c>
      <c r="D181">
        <v>7.3</v>
      </c>
    </row>
    <row r="182" spans="1:4" x14ac:dyDescent="0.2">
      <c r="A182" t="s">
        <v>165</v>
      </c>
      <c r="B182" t="s">
        <v>17</v>
      </c>
      <c r="C182" s="1">
        <v>1.6799999999999999E-2</v>
      </c>
      <c r="D182">
        <v>19.5</v>
      </c>
    </row>
    <row r="183" spans="1:4" x14ac:dyDescent="0.2">
      <c r="A183" t="s">
        <v>271</v>
      </c>
      <c r="B183" t="s">
        <v>7</v>
      </c>
      <c r="C183" s="1">
        <v>8.3999999999999995E-3</v>
      </c>
      <c r="D183">
        <v>13.7</v>
      </c>
    </row>
    <row r="184" spans="1:4" x14ac:dyDescent="0.2">
      <c r="A184" t="s">
        <v>377</v>
      </c>
      <c r="B184" t="s">
        <v>17</v>
      </c>
      <c r="C184" s="1">
        <v>3.3999999999999998E-3</v>
      </c>
      <c r="D184">
        <v>16.8</v>
      </c>
    </row>
    <row r="185" spans="1:4" x14ac:dyDescent="0.2">
      <c r="A185" t="s">
        <v>191</v>
      </c>
      <c r="B185" t="s">
        <v>10</v>
      </c>
      <c r="C185" s="1">
        <v>1.52E-2</v>
      </c>
      <c r="D185">
        <v>0</v>
      </c>
    </row>
    <row r="186" spans="1:4" x14ac:dyDescent="0.2">
      <c r="A186" t="s">
        <v>254</v>
      </c>
      <c r="B186" t="s">
        <v>17</v>
      </c>
      <c r="C186" s="1">
        <v>8.3999999999999995E-3</v>
      </c>
      <c r="D186">
        <v>1.3</v>
      </c>
    </row>
    <row r="187" spans="1:4" x14ac:dyDescent="0.2">
      <c r="A187" t="s">
        <v>239</v>
      </c>
      <c r="B187" t="s">
        <v>15</v>
      </c>
      <c r="C187" s="1">
        <v>1.01E-2</v>
      </c>
      <c r="D187">
        <v>1.5</v>
      </c>
    </row>
    <row r="188" spans="1:4" x14ac:dyDescent="0.2">
      <c r="A188" t="s">
        <v>29</v>
      </c>
      <c r="B188" t="s">
        <v>10</v>
      </c>
      <c r="C188" s="1">
        <v>6.9000000000000006E-2</v>
      </c>
      <c r="D188">
        <v>16.3</v>
      </c>
    </row>
    <row r="189" spans="1:4" x14ac:dyDescent="0.2">
      <c r="A189" t="s">
        <v>101</v>
      </c>
      <c r="B189" t="s">
        <v>17</v>
      </c>
      <c r="C189" s="1">
        <v>2.86E-2</v>
      </c>
      <c r="D189">
        <v>7.6</v>
      </c>
    </row>
    <row r="190" spans="1:4" x14ac:dyDescent="0.2">
      <c r="A190" t="s">
        <v>292</v>
      </c>
      <c r="B190" t="s">
        <v>5</v>
      </c>
      <c r="C190" s="1">
        <v>6.7000000000000002E-3</v>
      </c>
      <c r="D190">
        <v>6.9</v>
      </c>
    </row>
    <row r="191" spans="1:4" x14ac:dyDescent="0.2">
      <c r="A191" t="s">
        <v>173</v>
      </c>
      <c r="B191" t="s">
        <v>10</v>
      </c>
      <c r="C191" s="1">
        <v>1.52E-2</v>
      </c>
      <c r="D191">
        <v>9.5</v>
      </c>
    </row>
    <row r="192" spans="1:4" x14ac:dyDescent="0.2">
      <c r="A192" t="s">
        <v>100</v>
      </c>
      <c r="B192" t="s">
        <v>10</v>
      </c>
      <c r="C192" s="1">
        <v>2.86E-2</v>
      </c>
      <c r="D192">
        <v>0</v>
      </c>
    </row>
    <row r="193" spans="1:4" x14ac:dyDescent="0.2">
      <c r="A193" t="s">
        <v>156</v>
      </c>
      <c r="B193" t="s">
        <v>5</v>
      </c>
      <c r="C193" s="1">
        <v>1.6799999999999999E-2</v>
      </c>
      <c r="D193">
        <v>3</v>
      </c>
    </row>
    <row r="194" spans="1:4" x14ac:dyDescent="0.2">
      <c r="A194" t="s">
        <v>376</v>
      </c>
      <c r="B194" t="s">
        <v>10</v>
      </c>
      <c r="C194" s="1">
        <v>3.3999999999999998E-3</v>
      </c>
      <c r="D194">
        <v>0</v>
      </c>
    </row>
    <row r="195" spans="1:4" x14ac:dyDescent="0.2">
      <c r="A195" t="s">
        <v>380</v>
      </c>
      <c r="B195" t="s">
        <v>17</v>
      </c>
      <c r="C195" s="1">
        <v>3.3999999999999998E-3</v>
      </c>
      <c r="D195">
        <v>5.6</v>
      </c>
    </row>
    <row r="196" spans="1:4" x14ac:dyDescent="0.2">
      <c r="A196" t="s">
        <v>35</v>
      </c>
      <c r="B196" t="s">
        <v>7</v>
      </c>
      <c r="C196" s="1">
        <v>6.2300000000000001E-2</v>
      </c>
      <c r="D196">
        <v>18.600000000000001</v>
      </c>
    </row>
    <row r="197" spans="1:4" x14ac:dyDescent="0.2">
      <c r="A197" t="s">
        <v>60</v>
      </c>
      <c r="B197" t="s">
        <v>10</v>
      </c>
      <c r="C197" s="1">
        <v>4.5499999999999999E-2</v>
      </c>
      <c r="D197">
        <v>11.3</v>
      </c>
    </row>
    <row r="198" spans="1:4" x14ac:dyDescent="0.2">
      <c r="A198" t="s">
        <v>151</v>
      </c>
      <c r="B198" t="s">
        <v>10</v>
      </c>
      <c r="C198" s="1">
        <v>1.8499999999999999E-2</v>
      </c>
      <c r="D198">
        <v>19</v>
      </c>
    </row>
    <row r="199" spans="1:4" x14ac:dyDescent="0.2">
      <c r="A199" t="s">
        <v>328</v>
      </c>
      <c r="B199" t="s">
        <v>10</v>
      </c>
      <c r="C199" s="1">
        <v>5.1000000000000004E-3</v>
      </c>
      <c r="D199">
        <v>10</v>
      </c>
    </row>
    <row r="200" spans="1:4" x14ac:dyDescent="0.2">
      <c r="A200" t="s">
        <v>408</v>
      </c>
      <c r="B200" t="s">
        <v>17</v>
      </c>
      <c r="C200" s="1">
        <v>1.6999999999999999E-3</v>
      </c>
      <c r="D200">
        <v>5.8</v>
      </c>
    </row>
    <row r="201" spans="1:4" x14ac:dyDescent="0.2">
      <c r="A201" t="s">
        <v>37</v>
      </c>
      <c r="B201" t="s">
        <v>5</v>
      </c>
      <c r="C201" s="1">
        <v>6.0600000000000001E-2</v>
      </c>
      <c r="D201">
        <v>5</v>
      </c>
    </row>
    <row r="202" spans="1:4" x14ac:dyDescent="0.2">
      <c r="A202" t="s">
        <v>144</v>
      </c>
      <c r="B202" t="s">
        <v>7</v>
      </c>
      <c r="C202" s="1">
        <v>1.8499999999999999E-2</v>
      </c>
      <c r="D202">
        <v>3.2</v>
      </c>
    </row>
    <row r="203" spans="1:4" x14ac:dyDescent="0.2">
      <c r="A203" t="s">
        <v>429</v>
      </c>
      <c r="B203" t="s">
        <v>10</v>
      </c>
      <c r="C203" s="1">
        <v>1.6999999999999999E-3</v>
      </c>
      <c r="D203">
        <v>10</v>
      </c>
    </row>
    <row r="204" spans="1:4" x14ac:dyDescent="0.2">
      <c r="A204" t="s">
        <v>139</v>
      </c>
      <c r="B204" t="s">
        <v>7</v>
      </c>
      <c r="C204" s="1">
        <v>2.0199999999999999E-2</v>
      </c>
      <c r="D204">
        <v>19.3</v>
      </c>
    </row>
    <row r="205" spans="1:4" x14ac:dyDescent="0.2">
      <c r="A205" t="s">
        <v>451</v>
      </c>
      <c r="B205" t="s">
        <v>15</v>
      </c>
      <c r="C205" s="1">
        <v>1.6999999999999999E-3</v>
      </c>
      <c r="D205">
        <v>14</v>
      </c>
    </row>
    <row r="206" spans="1:4" x14ac:dyDescent="0.2">
      <c r="A206" t="s">
        <v>34</v>
      </c>
      <c r="B206" t="s">
        <v>7</v>
      </c>
      <c r="C206" s="1">
        <v>6.4000000000000001E-2</v>
      </c>
      <c r="D206">
        <v>5.5</v>
      </c>
    </row>
    <row r="207" spans="1:4" x14ac:dyDescent="0.2">
      <c r="A207" t="s">
        <v>99</v>
      </c>
      <c r="B207" t="s">
        <v>17</v>
      </c>
      <c r="C207" s="1">
        <v>2.86E-2</v>
      </c>
      <c r="D207">
        <v>3</v>
      </c>
    </row>
    <row r="208" spans="1:4" x14ac:dyDescent="0.2">
      <c r="A208" t="s">
        <v>415</v>
      </c>
      <c r="B208" t="s">
        <v>17</v>
      </c>
      <c r="C208" s="1">
        <v>1.6999999999999999E-3</v>
      </c>
      <c r="D208">
        <v>2.6</v>
      </c>
    </row>
    <row r="209" spans="1:4" x14ac:dyDescent="0.2">
      <c r="A209" t="s">
        <v>132</v>
      </c>
      <c r="B209" t="s">
        <v>5</v>
      </c>
      <c r="C209" s="1">
        <v>2.1899999999999999E-2</v>
      </c>
      <c r="D209">
        <v>4.5</v>
      </c>
    </row>
    <row r="210" spans="1:4" x14ac:dyDescent="0.2">
      <c r="A210" t="s">
        <v>251</v>
      </c>
      <c r="B210" t="s">
        <v>17</v>
      </c>
      <c r="C210" s="1">
        <v>8.3999999999999995E-3</v>
      </c>
      <c r="D210">
        <v>2.8</v>
      </c>
    </row>
    <row r="211" spans="1:4" x14ac:dyDescent="0.2">
      <c r="A211" t="s">
        <v>452</v>
      </c>
      <c r="B211" t="s">
        <v>7</v>
      </c>
      <c r="C211" s="1">
        <v>1.6999999999999999E-3</v>
      </c>
      <c r="D211">
        <v>0</v>
      </c>
    </row>
    <row r="212" spans="1:4" x14ac:dyDescent="0.2">
      <c r="A212" t="s">
        <v>444</v>
      </c>
      <c r="B212" t="s">
        <v>17</v>
      </c>
      <c r="C212" s="1">
        <v>1.6999999999999999E-3</v>
      </c>
      <c r="D212">
        <v>6.9</v>
      </c>
    </row>
    <row r="213" spans="1:4" x14ac:dyDescent="0.2">
      <c r="A213" t="s">
        <v>253</v>
      </c>
      <c r="B213" t="s">
        <v>10</v>
      </c>
      <c r="C213" s="1">
        <v>8.3999999999999995E-3</v>
      </c>
      <c r="D213">
        <v>10</v>
      </c>
    </row>
    <row r="214" spans="1:4" x14ac:dyDescent="0.2">
      <c r="A214" t="s">
        <v>361</v>
      </c>
      <c r="B214" t="s">
        <v>17</v>
      </c>
      <c r="C214" s="1">
        <v>3.3999999999999998E-3</v>
      </c>
      <c r="D214">
        <v>10</v>
      </c>
    </row>
    <row r="215" spans="1:4" x14ac:dyDescent="0.2">
      <c r="A215" t="s">
        <v>282</v>
      </c>
      <c r="B215" t="s">
        <v>10</v>
      </c>
      <c r="C215" s="1">
        <v>6.7000000000000002E-3</v>
      </c>
      <c r="D215">
        <v>0</v>
      </c>
    </row>
    <row r="216" spans="1:4" x14ac:dyDescent="0.2">
      <c r="A216" t="s">
        <v>352</v>
      </c>
      <c r="B216" t="s">
        <v>10</v>
      </c>
      <c r="C216" s="1">
        <v>3.3999999999999998E-3</v>
      </c>
      <c r="D216">
        <v>11</v>
      </c>
    </row>
    <row r="217" spans="1:4" x14ac:dyDescent="0.2">
      <c r="A217" t="s">
        <v>216</v>
      </c>
      <c r="B217" t="s">
        <v>15</v>
      </c>
      <c r="C217" s="1">
        <v>1.18E-2</v>
      </c>
      <c r="D217">
        <v>0</v>
      </c>
    </row>
    <row r="218" spans="1:4" x14ac:dyDescent="0.2">
      <c r="A218" t="s">
        <v>208</v>
      </c>
      <c r="B218" t="s">
        <v>10</v>
      </c>
      <c r="C218" s="1">
        <v>1.18E-2</v>
      </c>
      <c r="D218">
        <v>9.5</v>
      </c>
    </row>
    <row r="219" spans="1:4" x14ac:dyDescent="0.2">
      <c r="A219" t="s">
        <v>339</v>
      </c>
      <c r="B219" t="s">
        <v>7</v>
      </c>
      <c r="C219" s="1">
        <v>3.3999999999999998E-3</v>
      </c>
      <c r="D219">
        <v>6.3</v>
      </c>
    </row>
    <row r="220" spans="1:4" x14ac:dyDescent="0.2">
      <c r="A220" t="s">
        <v>450</v>
      </c>
      <c r="B220" t="s">
        <v>5</v>
      </c>
      <c r="C220" s="1">
        <v>1.6999999999999999E-3</v>
      </c>
      <c r="D220">
        <v>1.3</v>
      </c>
    </row>
    <row r="221" spans="1:4" x14ac:dyDescent="0.2">
      <c r="A221" t="s">
        <v>24</v>
      </c>
      <c r="B221" t="s">
        <v>10</v>
      </c>
      <c r="C221" s="1">
        <v>8.2500000000000004E-2</v>
      </c>
      <c r="D221">
        <v>5</v>
      </c>
    </row>
    <row r="222" spans="1:4" x14ac:dyDescent="0.2">
      <c r="A222" t="s">
        <v>298</v>
      </c>
      <c r="B222" t="s">
        <v>15</v>
      </c>
      <c r="C222" s="1">
        <v>6.7000000000000002E-3</v>
      </c>
      <c r="D222">
        <v>27.3</v>
      </c>
    </row>
    <row r="223" spans="1:4" x14ac:dyDescent="0.2">
      <c r="A223" t="s">
        <v>315</v>
      </c>
      <c r="B223" t="s">
        <v>15</v>
      </c>
      <c r="C223" s="1">
        <v>5.1000000000000004E-3</v>
      </c>
      <c r="D223">
        <v>6.3</v>
      </c>
    </row>
    <row r="224" spans="1:4" x14ac:dyDescent="0.2">
      <c r="A224" t="s">
        <v>272</v>
      </c>
      <c r="B224" t="s">
        <v>5</v>
      </c>
      <c r="C224" s="1">
        <v>8.3999999999999995E-3</v>
      </c>
      <c r="D224">
        <v>11.5</v>
      </c>
    </row>
    <row r="225" spans="1:4" x14ac:dyDescent="0.2">
      <c r="A225" t="s">
        <v>124</v>
      </c>
      <c r="B225" t="s">
        <v>15</v>
      </c>
      <c r="C225" s="1">
        <v>2.3599999999999999E-2</v>
      </c>
      <c r="D225">
        <v>4.0999999999999996</v>
      </c>
    </row>
    <row r="226" spans="1:4" x14ac:dyDescent="0.2">
      <c r="A226" t="s">
        <v>212</v>
      </c>
      <c r="B226" t="s">
        <v>15</v>
      </c>
      <c r="C226" s="1">
        <v>1.18E-2</v>
      </c>
      <c r="D226">
        <v>8</v>
      </c>
    </row>
    <row r="227" spans="1:4" x14ac:dyDescent="0.2">
      <c r="A227" t="s">
        <v>319</v>
      </c>
      <c r="B227" t="s">
        <v>17</v>
      </c>
      <c r="C227" s="1">
        <v>5.1000000000000004E-3</v>
      </c>
      <c r="D227">
        <v>2.8</v>
      </c>
    </row>
    <row r="228" spans="1:4" x14ac:dyDescent="0.2">
      <c r="A228" t="s">
        <v>383</v>
      </c>
      <c r="B228" t="s">
        <v>15</v>
      </c>
      <c r="C228" s="1">
        <v>3.3999999999999998E-3</v>
      </c>
      <c r="D228">
        <v>0</v>
      </c>
    </row>
    <row r="229" spans="1:4" x14ac:dyDescent="0.2">
      <c r="A229" t="s">
        <v>442</v>
      </c>
      <c r="B229" t="s">
        <v>5</v>
      </c>
      <c r="C229" s="1">
        <v>1.6999999999999999E-3</v>
      </c>
      <c r="D229">
        <v>0</v>
      </c>
    </row>
    <row r="230" spans="1:4" x14ac:dyDescent="0.2">
      <c r="A230" t="s">
        <v>511</v>
      </c>
      <c r="B230" t="s">
        <v>10</v>
      </c>
      <c r="C230" s="1">
        <v>1.52E-2</v>
      </c>
      <c r="D230">
        <v>22.1</v>
      </c>
    </row>
    <row r="231" spans="1:4" x14ac:dyDescent="0.2">
      <c r="A231" t="s">
        <v>446</v>
      </c>
      <c r="B231" t="s">
        <v>17</v>
      </c>
      <c r="C231" s="1">
        <v>1.6999999999999999E-3</v>
      </c>
      <c r="D231">
        <v>2.8</v>
      </c>
    </row>
    <row r="232" spans="1:4" x14ac:dyDescent="0.2">
      <c r="A232" t="s">
        <v>19</v>
      </c>
      <c r="B232" t="s">
        <v>10</v>
      </c>
      <c r="C232" s="1">
        <v>9.6000000000000002E-2</v>
      </c>
      <c r="D232">
        <v>3</v>
      </c>
    </row>
    <row r="233" spans="1:4" x14ac:dyDescent="0.2">
      <c r="A233" t="s">
        <v>53</v>
      </c>
      <c r="B233" t="s">
        <v>17</v>
      </c>
      <c r="C233" s="1">
        <v>4.8800000000000003E-2</v>
      </c>
      <c r="D233">
        <v>18.600000000000001</v>
      </c>
    </row>
    <row r="234" spans="1:4" x14ac:dyDescent="0.2">
      <c r="A234" t="s">
        <v>278</v>
      </c>
      <c r="B234" t="s">
        <v>10</v>
      </c>
      <c r="C234" s="1">
        <v>8.3999999999999995E-3</v>
      </c>
      <c r="D234">
        <v>3</v>
      </c>
    </row>
    <row r="235" spans="1:4" x14ac:dyDescent="0.2">
      <c r="A235" t="s">
        <v>449</v>
      </c>
      <c r="B235" t="s">
        <v>5</v>
      </c>
      <c r="C235" s="1">
        <v>1.6999999999999999E-3</v>
      </c>
      <c r="D235">
        <v>0</v>
      </c>
    </row>
    <row r="236" spans="1:4" x14ac:dyDescent="0.2">
      <c r="A236" t="s">
        <v>260</v>
      </c>
      <c r="B236" t="s">
        <v>5</v>
      </c>
      <c r="C236" s="1">
        <v>8.3999999999999995E-3</v>
      </c>
      <c r="D236">
        <v>2.8</v>
      </c>
    </row>
    <row r="237" spans="1:4" x14ac:dyDescent="0.2">
      <c r="A237" t="s">
        <v>312</v>
      </c>
      <c r="B237" t="s">
        <v>7</v>
      </c>
      <c r="C237" s="1">
        <v>5.1000000000000004E-3</v>
      </c>
      <c r="D237">
        <v>13.9</v>
      </c>
    </row>
    <row r="238" spans="1:4" x14ac:dyDescent="0.2">
      <c r="A238" t="s">
        <v>258</v>
      </c>
      <c r="B238" t="s">
        <v>7</v>
      </c>
      <c r="C238" s="1">
        <v>8.3999999999999995E-3</v>
      </c>
      <c r="D238">
        <v>0</v>
      </c>
    </row>
    <row r="239" spans="1:4" x14ac:dyDescent="0.2">
      <c r="A239" t="s">
        <v>269</v>
      </c>
      <c r="B239" t="s">
        <v>17</v>
      </c>
      <c r="C239" s="1">
        <v>8.3999999999999995E-3</v>
      </c>
      <c r="D239">
        <v>3</v>
      </c>
    </row>
    <row r="240" spans="1:4" x14ac:dyDescent="0.2">
      <c r="A240" t="s">
        <v>229</v>
      </c>
      <c r="B240" t="s">
        <v>15</v>
      </c>
      <c r="C240" s="1">
        <v>1.01E-2</v>
      </c>
      <c r="D240">
        <v>1.5</v>
      </c>
    </row>
    <row r="241" spans="1:4" x14ac:dyDescent="0.2">
      <c r="A241" t="s">
        <v>448</v>
      </c>
      <c r="B241" t="s">
        <v>17</v>
      </c>
      <c r="C241" s="1">
        <v>1.6999999999999999E-3</v>
      </c>
      <c r="D241">
        <v>1.3</v>
      </c>
    </row>
    <row r="242" spans="1:4" x14ac:dyDescent="0.2">
      <c r="A242" t="s">
        <v>293</v>
      </c>
      <c r="B242" t="s">
        <v>17</v>
      </c>
      <c r="C242" s="1">
        <v>6.7000000000000002E-3</v>
      </c>
      <c r="D242">
        <v>6.5</v>
      </c>
    </row>
    <row r="243" spans="1:4" x14ac:dyDescent="0.2">
      <c r="A243" t="s">
        <v>87</v>
      </c>
      <c r="B243" t="s">
        <v>7</v>
      </c>
      <c r="C243" s="1">
        <v>3.2000000000000001E-2</v>
      </c>
      <c r="D243">
        <v>2.1</v>
      </c>
    </row>
    <row r="244" spans="1:4" x14ac:dyDescent="0.2">
      <c r="A244" t="s">
        <v>134</v>
      </c>
      <c r="B244" t="s">
        <v>10</v>
      </c>
      <c r="C244" s="1">
        <v>2.1899999999999999E-2</v>
      </c>
      <c r="D244">
        <v>17.899999999999999</v>
      </c>
    </row>
    <row r="245" spans="1:4" x14ac:dyDescent="0.2">
      <c r="A245" t="s">
        <v>277</v>
      </c>
      <c r="B245" t="s">
        <v>17</v>
      </c>
      <c r="C245" s="1">
        <v>8.3999999999999995E-3</v>
      </c>
      <c r="D245">
        <v>1.3</v>
      </c>
    </row>
    <row r="246" spans="1:4" x14ac:dyDescent="0.2">
      <c r="A246" t="s">
        <v>410</v>
      </c>
      <c r="B246" t="s">
        <v>17</v>
      </c>
      <c r="C246" s="1">
        <v>1.6999999999999999E-3</v>
      </c>
      <c r="D246">
        <v>2.6</v>
      </c>
    </row>
    <row r="247" spans="1:4" x14ac:dyDescent="0.2">
      <c r="A247" t="s">
        <v>170</v>
      </c>
      <c r="B247" t="s">
        <v>15</v>
      </c>
      <c r="C247" s="1">
        <v>1.52E-2</v>
      </c>
      <c r="D247">
        <v>8</v>
      </c>
    </row>
    <row r="248" spans="1:4" x14ac:dyDescent="0.2">
      <c r="A248" t="s">
        <v>405</v>
      </c>
      <c r="B248" t="s">
        <v>5</v>
      </c>
      <c r="C248" s="1">
        <v>1.6999999999999999E-3</v>
      </c>
      <c r="D248">
        <v>0</v>
      </c>
    </row>
    <row r="249" spans="1:4" x14ac:dyDescent="0.2">
      <c r="A249" t="s">
        <v>406</v>
      </c>
      <c r="B249" t="s">
        <v>10</v>
      </c>
      <c r="C249" s="1">
        <v>1.6999999999999999E-3</v>
      </c>
      <c r="D249">
        <v>17.8</v>
      </c>
    </row>
    <row r="250" spans="1:4" x14ac:dyDescent="0.2">
      <c r="A250" t="s">
        <v>58</v>
      </c>
      <c r="B250" t="s">
        <v>10</v>
      </c>
      <c r="C250" s="1">
        <v>4.5499999999999999E-2</v>
      </c>
      <c r="D250">
        <v>18</v>
      </c>
    </row>
    <row r="251" spans="1:4" x14ac:dyDescent="0.2">
      <c r="A251" t="s">
        <v>197</v>
      </c>
      <c r="B251" t="s">
        <v>15</v>
      </c>
      <c r="C251" s="1">
        <v>1.35E-2</v>
      </c>
      <c r="D251">
        <v>3</v>
      </c>
    </row>
    <row r="252" spans="1:4" x14ac:dyDescent="0.2">
      <c r="A252" t="s">
        <v>117</v>
      </c>
      <c r="B252" t="s">
        <v>17</v>
      </c>
      <c r="C252" s="1">
        <v>2.53E-2</v>
      </c>
      <c r="D252">
        <v>7.1</v>
      </c>
    </row>
    <row r="253" spans="1:4" x14ac:dyDescent="0.2">
      <c r="A253" t="s">
        <v>244</v>
      </c>
      <c r="B253" t="s">
        <v>10</v>
      </c>
      <c r="C253" s="1">
        <v>1.01E-2</v>
      </c>
      <c r="D253">
        <v>19</v>
      </c>
    </row>
    <row r="254" spans="1:4" x14ac:dyDescent="0.2">
      <c r="A254" t="s">
        <v>320</v>
      </c>
      <c r="B254" t="s">
        <v>17</v>
      </c>
      <c r="C254" s="1">
        <v>5.1000000000000004E-3</v>
      </c>
      <c r="D254">
        <v>12.6</v>
      </c>
    </row>
    <row r="255" spans="1:4" x14ac:dyDescent="0.2">
      <c r="A255" t="s">
        <v>261</v>
      </c>
      <c r="B255" t="s">
        <v>10</v>
      </c>
      <c r="C255" s="1">
        <v>8.3999999999999995E-3</v>
      </c>
      <c r="D255">
        <v>4.3</v>
      </c>
    </row>
    <row r="256" spans="1:4" x14ac:dyDescent="0.2">
      <c r="A256" t="s">
        <v>161</v>
      </c>
      <c r="B256" t="s">
        <v>10</v>
      </c>
      <c r="C256" s="1">
        <v>1.6799999999999999E-2</v>
      </c>
      <c r="D256">
        <v>10.6</v>
      </c>
    </row>
    <row r="257" spans="1:4" x14ac:dyDescent="0.2">
      <c r="A257" t="s">
        <v>41</v>
      </c>
      <c r="B257" t="s">
        <v>5</v>
      </c>
      <c r="C257" s="1">
        <v>5.7200000000000001E-2</v>
      </c>
      <c r="D257">
        <v>24.5</v>
      </c>
    </row>
    <row r="258" spans="1:4" x14ac:dyDescent="0.2">
      <c r="A258" t="s">
        <v>167</v>
      </c>
      <c r="B258" t="s">
        <v>10</v>
      </c>
      <c r="C258" s="1">
        <v>1.6799999999999999E-2</v>
      </c>
      <c r="D258">
        <v>3</v>
      </c>
    </row>
    <row r="259" spans="1:4" x14ac:dyDescent="0.2">
      <c r="A259" t="s">
        <v>303</v>
      </c>
      <c r="B259" t="s">
        <v>5</v>
      </c>
      <c r="C259" s="1">
        <v>6.7000000000000002E-3</v>
      </c>
      <c r="D259">
        <v>4.3</v>
      </c>
    </row>
    <row r="260" spans="1:4" x14ac:dyDescent="0.2">
      <c r="A260" t="s">
        <v>359</v>
      </c>
      <c r="B260" t="s">
        <v>17</v>
      </c>
      <c r="C260" s="1">
        <v>3.3999999999999998E-3</v>
      </c>
      <c r="D260">
        <v>2.6</v>
      </c>
    </row>
    <row r="261" spans="1:4" x14ac:dyDescent="0.2">
      <c r="A261" t="s">
        <v>290</v>
      </c>
      <c r="B261" t="s">
        <v>17</v>
      </c>
      <c r="C261" s="1">
        <v>6.7000000000000002E-3</v>
      </c>
      <c r="D261">
        <v>2.6</v>
      </c>
    </row>
    <row r="262" spans="1:4" x14ac:dyDescent="0.2">
      <c r="A262" t="s">
        <v>57</v>
      </c>
      <c r="B262" t="s">
        <v>10</v>
      </c>
      <c r="C262" s="1">
        <v>4.7100000000000003E-2</v>
      </c>
      <c r="D262">
        <v>4.5</v>
      </c>
    </row>
    <row r="263" spans="1:4" x14ac:dyDescent="0.2">
      <c r="A263" t="s">
        <v>47</v>
      </c>
      <c r="B263" t="s">
        <v>7</v>
      </c>
      <c r="C263" s="1">
        <v>5.2200000000000003E-2</v>
      </c>
      <c r="D263">
        <v>13.3</v>
      </c>
    </row>
    <row r="264" spans="1:4" x14ac:dyDescent="0.2">
      <c r="A264" t="s">
        <v>206</v>
      </c>
      <c r="B264" t="s">
        <v>10</v>
      </c>
      <c r="C264" s="1">
        <v>1.18E-2</v>
      </c>
      <c r="D264">
        <v>3</v>
      </c>
    </row>
    <row r="265" spans="1:4" x14ac:dyDescent="0.2">
      <c r="A265" t="s">
        <v>287</v>
      </c>
      <c r="B265" t="s">
        <v>17</v>
      </c>
      <c r="C265" s="1">
        <v>6.7000000000000002E-3</v>
      </c>
      <c r="D265">
        <v>13.6</v>
      </c>
    </row>
    <row r="266" spans="1:4" x14ac:dyDescent="0.2">
      <c r="A266" t="s">
        <v>267</v>
      </c>
      <c r="B266" t="s">
        <v>15</v>
      </c>
      <c r="C266" s="1">
        <v>8.3999999999999995E-3</v>
      </c>
      <c r="D266">
        <v>2.8</v>
      </c>
    </row>
    <row r="267" spans="1:4" x14ac:dyDescent="0.2">
      <c r="A267" t="s">
        <v>14</v>
      </c>
      <c r="B267" t="s">
        <v>15</v>
      </c>
      <c r="C267" s="1">
        <v>0.1178</v>
      </c>
      <c r="D267">
        <v>6.5</v>
      </c>
    </row>
    <row r="268" spans="1:4" x14ac:dyDescent="0.2">
      <c r="A268" t="s">
        <v>313</v>
      </c>
      <c r="B268" t="s">
        <v>10</v>
      </c>
      <c r="C268" s="1">
        <v>5.1000000000000004E-3</v>
      </c>
      <c r="D268">
        <v>11.5</v>
      </c>
    </row>
    <row r="269" spans="1:4" x14ac:dyDescent="0.2">
      <c r="A269" t="s">
        <v>86</v>
      </c>
      <c r="B269" t="s">
        <v>15</v>
      </c>
      <c r="C269" s="1">
        <v>3.3700000000000001E-2</v>
      </c>
      <c r="D269">
        <v>3</v>
      </c>
    </row>
    <row r="270" spans="1:4" x14ac:dyDescent="0.2">
      <c r="A270" t="s">
        <v>329</v>
      </c>
      <c r="B270" t="s">
        <v>10</v>
      </c>
      <c r="C270" s="1">
        <v>5.1000000000000004E-3</v>
      </c>
      <c r="D270">
        <v>3</v>
      </c>
    </row>
    <row r="271" spans="1:4" x14ac:dyDescent="0.2">
      <c r="A271" t="s">
        <v>183</v>
      </c>
      <c r="B271" t="s">
        <v>15</v>
      </c>
      <c r="C271" s="1">
        <v>1.52E-2</v>
      </c>
      <c r="D271">
        <v>1.5</v>
      </c>
    </row>
    <row r="272" spans="1:4" x14ac:dyDescent="0.2">
      <c r="A272" t="s">
        <v>342</v>
      </c>
      <c r="B272" t="s">
        <v>17</v>
      </c>
      <c r="C272" s="1">
        <v>3.3999999999999998E-3</v>
      </c>
      <c r="D272">
        <v>1.3</v>
      </c>
    </row>
    <row r="273" spans="1:4" x14ac:dyDescent="0.2">
      <c r="A273" t="s">
        <v>174</v>
      </c>
      <c r="B273" t="s">
        <v>17</v>
      </c>
      <c r="C273" s="1">
        <v>1.52E-2</v>
      </c>
      <c r="D273">
        <v>1.3</v>
      </c>
    </row>
    <row r="274" spans="1:4" x14ac:dyDescent="0.2">
      <c r="A274" t="s">
        <v>233</v>
      </c>
      <c r="B274" t="s">
        <v>5</v>
      </c>
      <c r="C274" s="1">
        <v>1.01E-2</v>
      </c>
      <c r="D274">
        <v>6.3</v>
      </c>
    </row>
    <row r="275" spans="1:4" x14ac:dyDescent="0.2">
      <c r="A275" t="s">
        <v>264</v>
      </c>
      <c r="B275" t="s">
        <v>10</v>
      </c>
      <c r="C275" s="1">
        <v>8.3999999999999995E-3</v>
      </c>
      <c r="D275">
        <v>6.3</v>
      </c>
    </row>
    <row r="276" spans="1:4" x14ac:dyDescent="0.2">
      <c r="A276" t="s">
        <v>306</v>
      </c>
      <c r="B276" t="s">
        <v>17</v>
      </c>
      <c r="C276" s="1">
        <v>6.7000000000000002E-3</v>
      </c>
      <c r="D276">
        <v>9.6999999999999993</v>
      </c>
    </row>
    <row r="277" spans="1:4" x14ac:dyDescent="0.2">
      <c r="A277" t="s">
        <v>92</v>
      </c>
      <c r="B277" t="s">
        <v>10</v>
      </c>
      <c r="C277" s="1">
        <v>3.0300000000000001E-2</v>
      </c>
      <c r="D277">
        <v>4.5</v>
      </c>
    </row>
    <row r="278" spans="1:4" x14ac:dyDescent="0.2">
      <c r="A278" t="s">
        <v>74</v>
      </c>
      <c r="B278" t="s">
        <v>17</v>
      </c>
      <c r="C278" s="1">
        <v>3.6999999999999998E-2</v>
      </c>
      <c r="D278">
        <v>4.0999999999999996</v>
      </c>
    </row>
    <row r="279" spans="1:4" x14ac:dyDescent="0.2">
      <c r="A279" t="s">
        <v>88</v>
      </c>
      <c r="B279" t="s">
        <v>5</v>
      </c>
      <c r="C279" s="1">
        <v>3.2000000000000001E-2</v>
      </c>
      <c r="D279">
        <v>1.5</v>
      </c>
    </row>
    <row r="280" spans="1:4" x14ac:dyDescent="0.2">
      <c r="A280" t="s">
        <v>338</v>
      </c>
      <c r="B280" t="s">
        <v>15</v>
      </c>
      <c r="C280" s="1">
        <v>3.3999999999999998E-3</v>
      </c>
      <c r="D280">
        <v>1.5</v>
      </c>
    </row>
    <row r="281" spans="1:4" x14ac:dyDescent="0.2">
      <c r="A281" t="s">
        <v>113</v>
      </c>
      <c r="B281" t="s">
        <v>10</v>
      </c>
      <c r="C281" s="1">
        <v>2.53E-2</v>
      </c>
      <c r="D281">
        <v>1.5</v>
      </c>
    </row>
    <row r="282" spans="1:4" x14ac:dyDescent="0.2">
      <c r="A282" t="s">
        <v>61</v>
      </c>
      <c r="B282" t="s">
        <v>10</v>
      </c>
      <c r="C282" s="1">
        <v>4.3799999999999999E-2</v>
      </c>
      <c r="D282">
        <v>11.5</v>
      </c>
    </row>
    <row r="283" spans="1:4" x14ac:dyDescent="0.2">
      <c r="A283" t="s">
        <v>181</v>
      </c>
      <c r="B283" t="s">
        <v>10</v>
      </c>
      <c r="C283" s="1">
        <v>1.52E-2</v>
      </c>
      <c r="D283">
        <v>4.5</v>
      </c>
    </row>
    <row r="284" spans="1:4" x14ac:dyDescent="0.2">
      <c r="A284" t="s">
        <v>202</v>
      </c>
      <c r="B284" t="s">
        <v>15</v>
      </c>
      <c r="C284" s="1">
        <v>1.35E-2</v>
      </c>
      <c r="D284">
        <v>10</v>
      </c>
    </row>
    <row r="285" spans="1:4" x14ac:dyDescent="0.2">
      <c r="A285" t="s">
        <v>414</v>
      </c>
      <c r="B285" t="s">
        <v>17</v>
      </c>
      <c r="C285" s="1">
        <v>1.6999999999999999E-3</v>
      </c>
      <c r="D285">
        <v>5.6</v>
      </c>
    </row>
    <row r="286" spans="1:4" x14ac:dyDescent="0.2">
      <c r="A286" t="s">
        <v>299</v>
      </c>
      <c r="B286" t="s">
        <v>10</v>
      </c>
      <c r="C286" s="1">
        <v>6.7000000000000002E-3</v>
      </c>
      <c r="D286">
        <v>3</v>
      </c>
    </row>
    <row r="287" spans="1:4" x14ac:dyDescent="0.2">
      <c r="A287" t="s">
        <v>200</v>
      </c>
      <c r="B287" t="s">
        <v>10</v>
      </c>
      <c r="C287" s="1">
        <v>1.35E-2</v>
      </c>
      <c r="D287">
        <v>4.5</v>
      </c>
    </row>
    <row r="288" spans="1:4" x14ac:dyDescent="0.2">
      <c r="A288" t="s">
        <v>160</v>
      </c>
      <c r="B288" t="s">
        <v>17</v>
      </c>
      <c r="C288" s="1">
        <v>1.6799999999999999E-2</v>
      </c>
      <c r="D288">
        <v>11.5</v>
      </c>
    </row>
    <row r="289" spans="1:4" x14ac:dyDescent="0.2">
      <c r="A289" t="s">
        <v>80</v>
      </c>
      <c r="B289" t="s">
        <v>10</v>
      </c>
      <c r="C289" s="1">
        <v>3.5400000000000001E-2</v>
      </c>
      <c r="D289">
        <v>35.5</v>
      </c>
    </row>
    <row r="290" spans="1:4" x14ac:dyDescent="0.2">
      <c r="A290" t="s">
        <v>310</v>
      </c>
      <c r="B290" t="s">
        <v>17</v>
      </c>
      <c r="C290" s="1">
        <v>5.1000000000000004E-3</v>
      </c>
      <c r="D290">
        <v>6.3</v>
      </c>
    </row>
    <row r="291" spans="1:4" x14ac:dyDescent="0.2">
      <c r="A291" t="s">
        <v>16</v>
      </c>
      <c r="B291" t="s">
        <v>17</v>
      </c>
      <c r="C291" s="1">
        <v>0.1162</v>
      </c>
      <c r="D291">
        <v>11.3</v>
      </c>
    </row>
    <row r="292" spans="1:4" x14ac:dyDescent="0.2">
      <c r="A292" t="s">
        <v>12</v>
      </c>
      <c r="B292" t="s">
        <v>5</v>
      </c>
      <c r="C292" s="1">
        <v>0.12790000000000001</v>
      </c>
      <c r="D292">
        <v>10</v>
      </c>
    </row>
    <row r="293" spans="1:4" x14ac:dyDescent="0.2">
      <c r="A293" t="s">
        <v>461</v>
      </c>
      <c r="B293" t="s">
        <v>10</v>
      </c>
      <c r="C293" s="1">
        <v>1.6999999999999999E-3</v>
      </c>
      <c r="D293">
        <v>5.8</v>
      </c>
    </row>
    <row r="294" spans="1:4" x14ac:dyDescent="0.2">
      <c r="A294" t="s">
        <v>232</v>
      </c>
      <c r="B294" t="s">
        <v>10</v>
      </c>
      <c r="C294" s="1">
        <v>1.01E-2</v>
      </c>
      <c r="D294">
        <v>12.8</v>
      </c>
    </row>
    <row r="295" spans="1:4" x14ac:dyDescent="0.2">
      <c r="A295" t="s">
        <v>386</v>
      </c>
      <c r="B295" t="s">
        <v>10</v>
      </c>
      <c r="C295" s="1">
        <v>1.6999999999999999E-3</v>
      </c>
      <c r="D295">
        <v>23</v>
      </c>
    </row>
    <row r="296" spans="1:4" x14ac:dyDescent="0.2">
      <c r="A296" t="s">
        <v>209</v>
      </c>
      <c r="B296" t="s">
        <v>10</v>
      </c>
      <c r="C296" s="1">
        <v>1.18E-2</v>
      </c>
      <c r="D296">
        <v>6.5</v>
      </c>
    </row>
    <row r="297" spans="1:4" x14ac:dyDescent="0.2">
      <c r="A297" t="s">
        <v>427</v>
      </c>
      <c r="B297" t="s">
        <v>10</v>
      </c>
      <c r="C297" s="1">
        <v>1.6999999999999999E-3</v>
      </c>
      <c r="D297">
        <v>8</v>
      </c>
    </row>
    <row r="298" spans="1:4" x14ac:dyDescent="0.2">
      <c r="A298" t="s">
        <v>374</v>
      </c>
      <c r="B298" t="s">
        <v>10</v>
      </c>
      <c r="C298" s="1">
        <v>3.3999999999999998E-3</v>
      </c>
      <c r="D298">
        <v>0</v>
      </c>
    </row>
    <row r="299" spans="1:4" x14ac:dyDescent="0.2">
      <c r="A299" t="s">
        <v>457</v>
      </c>
      <c r="B299" t="s">
        <v>10</v>
      </c>
      <c r="C299" s="1">
        <v>1.6999999999999999E-3</v>
      </c>
      <c r="D299">
        <v>4.3</v>
      </c>
    </row>
    <row r="300" spans="1:4" x14ac:dyDescent="0.2">
      <c r="A300" t="s">
        <v>400</v>
      </c>
      <c r="B300" t="s">
        <v>10</v>
      </c>
      <c r="C300" s="1">
        <v>1.6999999999999999E-3</v>
      </c>
      <c r="D300">
        <v>16.5</v>
      </c>
    </row>
    <row r="301" spans="1:4" x14ac:dyDescent="0.2">
      <c r="A301" t="s">
        <v>331</v>
      </c>
      <c r="B301" t="s">
        <v>17</v>
      </c>
      <c r="C301" s="1">
        <v>3.3999999999999998E-3</v>
      </c>
      <c r="D301">
        <v>5.6</v>
      </c>
    </row>
    <row r="302" spans="1:4" x14ac:dyDescent="0.2">
      <c r="A302" t="s">
        <v>445</v>
      </c>
      <c r="B302" t="s">
        <v>5</v>
      </c>
      <c r="C302" s="1">
        <v>1.6999999999999999E-3</v>
      </c>
      <c r="D302">
        <v>18.2</v>
      </c>
    </row>
    <row r="303" spans="1:4" x14ac:dyDescent="0.2">
      <c r="A303" t="s">
        <v>351</v>
      </c>
      <c r="B303" t="s">
        <v>15</v>
      </c>
      <c r="C303" s="1">
        <v>3.3999999999999998E-3</v>
      </c>
      <c r="D303">
        <v>10</v>
      </c>
    </row>
    <row r="304" spans="1:4" x14ac:dyDescent="0.2">
      <c r="A304" t="s">
        <v>266</v>
      </c>
      <c r="B304" t="s">
        <v>5</v>
      </c>
      <c r="C304" s="1">
        <v>8.3999999999999995E-3</v>
      </c>
      <c r="D304">
        <v>19</v>
      </c>
    </row>
    <row r="305" spans="1:4" x14ac:dyDescent="0.2">
      <c r="A305" t="s">
        <v>305</v>
      </c>
      <c r="B305" t="s">
        <v>5</v>
      </c>
      <c r="C305" s="1">
        <v>6.7000000000000002E-3</v>
      </c>
      <c r="D305">
        <v>3</v>
      </c>
    </row>
    <row r="306" spans="1:4" x14ac:dyDescent="0.2">
      <c r="A306" t="s">
        <v>4</v>
      </c>
      <c r="B306" t="s">
        <v>5</v>
      </c>
      <c r="C306" s="1">
        <v>0.25590000000000002</v>
      </c>
      <c r="D306">
        <v>3</v>
      </c>
    </row>
    <row r="307" spans="1:4" x14ac:dyDescent="0.2">
      <c r="A307" t="s">
        <v>240</v>
      </c>
      <c r="B307" t="s">
        <v>17</v>
      </c>
      <c r="C307" s="1">
        <v>1.01E-2</v>
      </c>
      <c r="D307">
        <v>11.3</v>
      </c>
    </row>
    <row r="308" spans="1:4" x14ac:dyDescent="0.2">
      <c r="A308" t="s">
        <v>297</v>
      </c>
      <c r="B308" t="s">
        <v>17</v>
      </c>
      <c r="C308" s="1">
        <v>6.7000000000000002E-3</v>
      </c>
      <c r="D308">
        <v>3</v>
      </c>
    </row>
    <row r="309" spans="1:4" x14ac:dyDescent="0.2">
      <c r="A309" t="s">
        <v>223</v>
      </c>
      <c r="B309" t="s">
        <v>10</v>
      </c>
      <c r="C309" s="1">
        <v>1.18E-2</v>
      </c>
      <c r="D309">
        <v>9.3000000000000007</v>
      </c>
    </row>
    <row r="310" spans="1:4" x14ac:dyDescent="0.2">
      <c r="A310" t="s">
        <v>289</v>
      </c>
      <c r="B310" t="s">
        <v>17</v>
      </c>
      <c r="C310" s="1">
        <v>6.7000000000000002E-3</v>
      </c>
      <c r="D310">
        <v>1.3</v>
      </c>
    </row>
    <row r="311" spans="1:4" x14ac:dyDescent="0.2">
      <c r="A311" t="s">
        <v>185</v>
      </c>
      <c r="B311" t="s">
        <v>5</v>
      </c>
      <c r="C311" s="1">
        <v>1.52E-2</v>
      </c>
      <c r="D311">
        <v>16.5</v>
      </c>
    </row>
    <row r="312" spans="1:4" x14ac:dyDescent="0.2">
      <c r="A312" t="s">
        <v>349</v>
      </c>
      <c r="B312" t="s">
        <v>15</v>
      </c>
      <c r="C312" s="1">
        <v>3.3999999999999998E-3</v>
      </c>
      <c r="D312">
        <v>14.1</v>
      </c>
    </row>
    <row r="313" spans="1:4" x14ac:dyDescent="0.2">
      <c r="A313" t="s">
        <v>11</v>
      </c>
      <c r="B313" t="s">
        <v>10</v>
      </c>
      <c r="C313" s="1">
        <v>0.14979999999999999</v>
      </c>
      <c r="D313">
        <v>5</v>
      </c>
    </row>
    <row r="314" spans="1:4" x14ac:dyDescent="0.2">
      <c r="A314" t="s">
        <v>129</v>
      </c>
      <c r="B314" t="s">
        <v>17</v>
      </c>
      <c r="C314" s="1">
        <v>2.1899999999999999E-2</v>
      </c>
      <c r="D314">
        <v>15.6</v>
      </c>
    </row>
    <row r="315" spans="1:4" x14ac:dyDescent="0.2">
      <c r="A315" t="s">
        <v>56</v>
      </c>
      <c r="B315" t="s">
        <v>17</v>
      </c>
      <c r="C315" s="1">
        <v>4.7100000000000003E-2</v>
      </c>
      <c r="D315">
        <v>10.8</v>
      </c>
    </row>
    <row r="316" spans="1:4" x14ac:dyDescent="0.2">
      <c r="A316" t="s">
        <v>428</v>
      </c>
      <c r="B316" t="s">
        <v>17</v>
      </c>
      <c r="C316" s="1">
        <v>1.6999999999999999E-3</v>
      </c>
      <c r="D316">
        <v>6.9</v>
      </c>
    </row>
    <row r="317" spans="1:4" x14ac:dyDescent="0.2">
      <c r="A317" t="s">
        <v>23</v>
      </c>
      <c r="B317" t="s">
        <v>5</v>
      </c>
      <c r="C317" s="1">
        <v>8.4199999999999997E-2</v>
      </c>
      <c r="D317">
        <v>3</v>
      </c>
    </row>
    <row r="318" spans="1:4" x14ac:dyDescent="0.2">
      <c r="A318" t="s">
        <v>263</v>
      </c>
      <c r="B318" t="s">
        <v>5</v>
      </c>
      <c r="C318" s="1">
        <v>8.3999999999999995E-3</v>
      </c>
      <c r="D318">
        <v>4.5</v>
      </c>
    </row>
    <row r="319" spans="1:4" x14ac:dyDescent="0.2">
      <c r="A319" t="s">
        <v>458</v>
      </c>
      <c r="B319" t="s">
        <v>15</v>
      </c>
      <c r="C319" s="1">
        <v>1.6999999999999999E-3</v>
      </c>
      <c r="D319">
        <v>14.1</v>
      </c>
    </row>
    <row r="320" spans="1:4" x14ac:dyDescent="0.2">
      <c r="A320" t="s">
        <v>397</v>
      </c>
      <c r="B320" t="s">
        <v>17</v>
      </c>
      <c r="C320" s="1">
        <v>1.6999999999999999E-3</v>
      </c>
      <c r="D320">
        <v>1.5</v>
      </c>
    </row>
    <row r="321" spans="1:4" x14ac:dyDescent="0.2">
      <c r="A321" t="s">
        <v>341</v>
      </c>
      <c r="B321" t="s">
        <v>10</v>
      </c>
      <c r="C321" s="1">
        <v>3.3999999999999998E-3</v>
      </c>
      <c r="D321">
        <v>0</v>
      </c>
    </row>
    <row r="322" spans="1:4" x14ac:dyDescent="0.2">
      <c r="A322" t="s">
        <v>321</v>
      </c>
      <c r="B322" t="s">
        <v>5</v>
      </c>
      <c r="C322" s="1">
        <v>5.1000000000000004E-3</v>
      </c>
      <c r="D322">
        <v>3</v>
      </c>
    </row>
    <row r="323" spans="1:4" x14ac:dyDescent="0.2">
      <c r="A323" t="s">
        <v>294</v>
      </c>
      <c r="B323" t="s">
        <v>17</v>
      </c>
      <c r="C323" s="1">
        <v>6.7000000000000002E-3</v>
      </c>
      <c r="D323">
        <v>5.6</v>
      </c>
    </row>
    <row r="324" spans="1:4" x14ac:dyDescent="0.2">
      <c r="A324" t="s">
        <v>225</v>
      </c>
      <c r="B324" t="s">
        <v>5</v>
      </c>
      <c r="C324" s="1">
        <v>1.18E-2</v>
      </c>
      <c r="D324">
        <v>35.6</v>
      </c>
    </row>
    <row r="325" spans="1:4" x14ac:dyDescent="0.2">
      <c r="A325" t="s">
        <v>96</v>
      </c>
      <c r="B325" t="s">
        <v>5</v>
      </c>
      <c r="C325" s="1">
        <v>2.86E-2</v>
      </c>
      <c r="D325">
        <v>23.3</v>
      </c>
    </row>
    <row r="326" spans="1:4" x14ac:dyDescent="0.2">
      <c r="A326" t="s">
        <v>423</v>
      </c>
      <c r="B326" t="s">
        <v>5</v>
      </c>
      <c r="C326" s="1">
        <v>1.6999999999999999E-3</v>
      </c>
      <c r="D326">
        <v>1.3</v>
      </c>
    </row>
    <row r="327" spans="1:4" x14ac:dyDescent="0.2">
      <c r="A327" t="s">
        <v>417</v>
      </c>
      <c r="B327" t="s">
        <v>5</v>
      </c>
      <c r="C327" s="1">
        <v>1.6999999999999999E-3</v>
      </c>
      <c r="D327">
        <v>0</v>
      </c>
    </row>
    <row r="328" spans="1:4" x14ac:dyDescent="0.2">
      <c r="A328" t="s">
        <v>54</v>
      </c>
      <c r="B328" t="s">
        <v>10</v>
      </c>
      <c r="C328" s="1">
        <v>4.8800000000000003E-2</v>
      </c>
      <c r="D328">
        <v>17.8</v>
      </c>
    </row>
    <row r="329" spans="1:4" x14ac:dyDescent="0.2">
      <c r="A329" t="s">
        <v>130</v>
      </c>
      <c r="B329" t="s">
        <v>7</v>
      </c>
      <c r="C329" s="1">
        <v>2.1899999999999999E-2</v>
      </c>
      <c r="D329">
        <v>28.4</v>
      </c>
    </row>
    <row r="330" spans="1:4" x14ac:dyDescent="0.2">
      <c r="A330" t="s">
        <v>381</v>
      </c>
      <c r="B330" t="s">
        <v>17</v>
      </c>
      <c r="C330" s="1">
        <v>3.3999999999999998E-3</v>
      </c>
      <c r="D330">
        <v>0</v>
      </c>
    </row>
    <row r="331" spans="1:4" x14ac:dyDescent="0.2">
      <c r="A331" t="s">
        <v>433</v>
      </c>
      <c r="B331" t="s">
        <v>17</v>
      </c>
      <c r="C331" s="1">
        <v>1.6999999999999999E-3</v>
      </c>
      <c r="D331">
        <v>1.3</v>
      </c>
    </row>
    <row r="332" spans="1:4" x14ac:dyDescent="0.2">
      <c r="A332" t="s">
        <v>296</v>
      </c>
      <c r="B332" t="s">
        <v>10</v>
      </c>
      <c r="C332" s="1">
        <v>6.7000000000000002E-3</v>
      </c>
      <c r="D332">
        <v>8</v>
      </c>
    </row>
    <row r="333" spans="1:4" x14ac:dyDescent="0.2">
      <c r="A333" t="s">
        <v>375</v>
      </c>
      <c r="B333" t="s">
        <v>17</v>
      </c>
      <c r="C333" s="1">
        <v>3.3999999999999998E-3</v>
      </c>
      <c r="D333">
        <v>4.0999999999999996</v>
      </c>
    </row>
    <row r="334" spans="1:4" x14ac:dyDescent="0.2">
      <c r="A334" t="s">
        <v>311</v>
      </c>
      <c r="B334" t="s">
        <v>10</v>
      </c>
      <c r="C334" s="1">
        <v>5.1000000000000004E-3</v>
      </c>
      <c r="D334">
        <v>1.5</v>
      </c>
    </row>
    <row r="335" spans="1:4" x14ac:dyDescent="0.2">
      <c r="A335" t="s">
        <v>284</v>
      </c>
      <c r="B335" t="s">
        <v>5</v>
      </c>
      <c r="C335" s="1">
        <v>6.7000000000000002E-3</v>
      </c>
      <c r="D335">
        <v>4.3</v>
      </c>
    </row>
    <row r="336" spans="1:4" x14ac:dyDescent="0.2">
      <c r="A336" t="s">
        <v>111</v>
      </c>
      <c r="B336" t="s">
        <v>17</v>
      </c>
      <c r="C336" s="1">
        <v>2.69E-2</v>
      </c>
      <c r="D336">
        <v>21.6</v>
      </c>
    </row>
    <row r="337" spans="1:4" x14ac:dyDescent="0.2">
      <c r="A337" t="s">
        <v>145</v>
      </c>
      <c r="B337" t="s">
        <v>17</v>
      </c>
      <c r="C337" s="1">
        <v>1.8499999999999999E-2</v>
      </c>
      <c r="D337">
        <v>4.3</v>
      </c>
    </row>
    <row r="338" spans="1:4" x14ac:dyDescent="0.2">
      <c r="A338" t="s">
        <v>353</v>
      </c>
      <c r="B338" t="s">
        <v>15</v>
      </c>
      <c r="C338" s="1">
        <v>3.3999999999999998E-3</v>
      </c>
      <c r="D338">
        <v>0</v>
      </c>
    </row>
    <row r="339" spans="1:4" x14ac:dyDescent="0.2">
      <c r="A339" t="s">
        <v>188</v>
      </c>
      <c r="B339" t="s">
        <v>5</v>
      </c>
      <c r="C339" s="1">
        <v>1.52E-2</v>
      </c>
      <c r="D339">
        <v>2.8</v>
      </c>
    </row>
    <row r="340" spans="1:4" x14ac:dyDescent="0.2">
      <c r="A340" t="s">
        <v>317</v>
      </c>
      <c r="B340" t="s">
        <v>17</v>
      </c>
      <c r="C340" s="1">
        <v>5.1000000000000004E-3</v>
      </c>
      <c r="D340">
        <v>4.3</v>
      </c>
    </row>
    <row r="341" spans="1:4" x14ac:dyDescent="0.2">
      <c r="A341" t="s">
        <v>186</v>
      </c>
      <c r="B341" t="s">
        <v>17</v>
      </c>
      <c r="C341" s="1">
        <v>1.52E-2</v>
      </c>
      <c r="D341">
        <v>1.5</v>
      </c>
    </row>
    <row r="342" spans="1:4" x14ac:dyDescent="0.2">
      <c r="A342" t="s">
        <v>246</v>
      </c>
      <c r="B342" t="s">
        <v>5</v>
      </c>
      <c r="C342" s="1">
        <v>1.01E-2</v>
      </c>
      <c r="D342">
        <v>13.3</v>
      </c>
    </row>
    <row r="343" spans="1:4" x14ac:dyDescent="0.2">
      <c r="A343" t="s">
        <v>385</v>
      </c>
      <c r="B343" t="s">
        <v>5</v>
      </c>
      <c r="C343" s="1">
        <v>1.6999999999999999E-3</v>
      </c>
      <c r="D343">
        <v>1.3</v>
      </c>
    </row>
    <row r="344" spans="1:4" x14ac:dyDescent="0.2">
      <c r="A344" t="s">
        <v>77</v>
      </c>
      <c r="B344" t="s">
        <v>10</v>
      </c>
      <c r="C344" s="1">
        <v>3.6999999999999998E-2</v>
      </c>
      <c r="D344">
        <v>3</v>
      </c>
    </row>
    <row r="345" spans="1:4" x14ac:dyDescent="0.2">
      <c r="A345" t="s">
        <v>279</v>
      </c>
      <c r="B345" t="s">
        <v>17</v>
      </c>
      <c r="C345" s="1">
        <v>8.3999999999999995E-3</v>
      </c>
      <c r="D345">
        <v>4.5</v>
      </c>
    </row>
    <row r="346" spans="1:4" x14ac:dyDescent="0.2">
      <c r="A346" t="s">
        <v>215</v>
      </c>
      <c r="B346" t="s">
        <v>10</v>
      </c>
      <c r="C346" s="1">
        <v>1.18E-2</v>
      </c>
      <c r="D346">
        <v>18.5</v>
      </c>
    </row>
    <row r="347" spans="1:4" x14ac:dyDescent="0.2">
      <c r="A347" t="s">
        <v>218</v>
      </c>
      <c r="B347" t="s">
        <v>5</v>
      </c>
      <c r="C347" s="1">
        <v>1.18E-2</v>
      </c>
      <c r="D347">
        <v>2.8</v>
      </c>
    </row>
    <row r="348" spans="1:4" x14ac:dyDescent="0.2">
      <c r="A348" t="s">
        <v>199</v>
      </c>
      <c r="B348" t="s">
        <v>17</v>
      </c>
      <c r="C348" s="1">
        <v>1.35E-2</v>
      </c>
      <c r="D348">
        <v>6.5</v>
      </c>
    </row>
    <row r="349" spans="1:4" x14ac:dyDescent="0.2">
      <c r="A349" t="s">
        <v>66</v>
      </c>
      <c r="B349" t="s">
        <v>10</v>
      </c>
      <c r="C349" s="1">
        <v>4.0399999999999998E-2</v>
      </c>
      <c r="D349">
        <v>10.8</v>
      </c>
    </row>
    <row r="350" spans="1:4" x14ac:dyDescent="0.2">
      <c r="A350" t="s">
        <v>152</v>
      </c>
      <c r="B350" t="s">
        <v>5</v>
      </c>
      <c r="C350" s="1">
        <v>1.8499999999999999E-2</v>
      </c>
      <c r="D350">
        <v>13</v>
      </c>
    </row>
    <row r="351" spans="1:4" x14ac:dyDescent="0.2">
      <c r="A351" t="s">
        <v>243</v>
      </c>
      <c r="B351" t="s">
        <v>10</v>
      </c>
      <c r="C351" s="1">
        <v>1.01E-2</v>
      </c>
      <c r="D351">
        <v>0</v>
      </c>
    </row>
    <row r="352" spans="1:4" x14ac:dyDescent="0.2">
      <c r="A352" t="s">
        <v>118</v>
      </c>
      <c r="B352" t="s">
        <v>17</v>
      </c>
      <c r="C352" s="1">
        <v>2.3599999999999999E-2</v>
      </c>
      <c r="D352">
        <v>1.3</v>
      </c>
    </row>
    <row r="353" spans="1:4" x14ac:dyDescent="0.2">
      <c r="A353" t="s">
        <v>33</v>
      </c>
      <c r="B353" t="s">
        <v>5</v>
      </c>
      <c r="C353" s="1">
        <v>6.5699999999999995E-2</v>
      </c>
      <c r="D353">
        <v>10</v>
      </c>
    </row>
    <row r="354" spans="1:4" x14ac:dyDescent="0.2">
      <c r="A354" t="s">
        <v>180</v>
      </c>
      <c r="B354" t="s">
        <v>15</v>
      </c>
      <c r="C354" s="1">
        <v>1.52E-2</v>
      </c>
      <c r="D354">
        <v>0</v>
      </c>
    </row>
    <row r="355" spans="1:4" x14ac:dyDescent="0.2">
      <c r="A355" t="s">
        <v>340</v>
      </c>
      <c r="B355" t="s">
        <v>15</v>
      </c>
      <c r="C355" s="1">
        <v>3.3999999999999998E-3</v>
      </c>
      <c r="D355">
        <v>3</v>
      </c>
    </row>
    <row r="356" spans="1:4" x14ac:dyDescent="0.2">
      <c r="A356" t="s">
        <v>337</v>
      </c>
      <c r="B356" t="s">
        <v>17</v>
      </c>
      <c r="C356" s="1">
        <v>3.3999999999999998E-3</v>
      </c>
      <c r="D356">
        <v>10.6</v>
      </c>
    </row>
    <row r="357" spans="1:4" x14ac:dyDescent="0.2">
      <c r="A357" t="s">
        <v>336</v>
      </c>
      <c r="B357" t="s">
        <v>15</v>
      </c>
      <c r="C357" s="1">
        <v>3.3999999999999998E-3</v>
      </c>
      <c r="D357">
        <v>0</v>
      </c>
    </row>
    <row r="358" spans="1:4" x14ac:dyDescent="0.2">
      <c r="A358" t="s">
        <v>62</v>
      </c>
      <c r="B358" t="s">
        <v>17</v>
      </c>
      <c r="C358" s="1">
        <v>4.3799999999999999E-2</v>
      </c>
      <c r="D358">
        <v>11</v>
      </c>
    </row>
    <row r="359" spans="1:4" x14ac:dyDescent="0.2">
      <c r="A359" t="s">
        <v>283</v>
      </c>
      <c r="B359" t="s">
        <v>5</v>
      </c>
      <c r="C359" s="1">
        <v>6.7000000000000002E-3</v>
      </c>
      <c r="D359">
        <v>1.5</v>
      </c>
    </row>
    <row r="360" spans="1:4" x14ac:dyDescent="0.2">
      <c r="A360" t="s">
        <v>382</v>
      </c>
      <c r="B360" t="s">
        <v>17</v>
      </c>
      <c r="C360" s="1">
        <v>3.3999999999999998E-3</v>
      </c>
      <c r="D360">
        <v>1.3</v>
      </c>
    </row>
    <row r="361" spans="1:4" x14ac:dyDescent="0.2">
      <c r="A361" t="s">
        <v>146</v>
      </c>
      <c r="B361" t="s">
        <v>15</v>
      </c>
      <c r="C361" s="1">
        <v>1.8499999999999999E-2</v>
      </c>
      <c r="D361">
        <v>12.1</v>
      </c>
    </row>
    <row r="362" spans="1:4" x14ac:dyDescent="0.2">
      <c r="A362" t="s">
        <v>103</v>
      </c>
      <c r="B362" t="s">
        <v>17</v>
      </c>
      <c r="C362" s="1">
        <v>2.86E-2</v>
      </c>
      <c r="D362">
        <v>8</v>
      </c>
    </row>
    <row r="363" spans="1:4" x14ac:dyDescent="0.2">
      <c r="A363" t="s">
        <v>416</v>
      </c>
      <c r="B363" t="s">
        <v>17</v>
      </c>
      <c r="C363" s="1">
        <v>1.6999999999999999E-3</v>
      </c>
      <c r="D363">
        <v>5.6</v>
      </c>
    </row>
    <row r="364" spans="1:4" x14ac:dyDescent="0.2">
      <c r="A364" t="s">
        <v>309</v>
      </c>
      <c r="B364" t="s">
        <v>10</v>
      </c>
      <c r="C364" s="1">
        <v>5.1000000000000004E-3</v>
      </c>
      <c r="D364">
        <v>12</v>
      </c>
    </row>
    <row r="365" spans="1:4" x14ac:dyDescent="0.2">
      <c r="A365" t="s">
        <v>73</v>
      </c>
      <c r="B365" t="s">
        <v>10</v>
      </c>
      <c r="C365" s="1">
        <v>3.8699999999999998E-2</v>
      </c>
      <c r="D365">
        <v>11.8</v>
      </c>
    </row>
    <row r="366" spans="1:4" x14ac:dyDescent="0.2">
      <c r="A366" t="s">
        <v>69</v>
      </c>
      <c r="B366" t="s">
        <v>17</v>
      </c>
      <c r="C366" s="1">
        <v>3.8699999999999998E-2</v>
      </c>
      <c r="D366">
        <v>11.4</v>
      </c>
    </row>
    <row r="367" spans="1:4" x14ac:dyDescent="0.2">
      <c r="A367" t="s">
        <v>138</v>
      </c>
      <c r="B367" t="s">
        <v>5</v>
      </c>
      <c r="C367" s="1">
        <v>2.0199999999999999E-2</v>
      </c>
      <c r="D367">
        <v>8</v>
      </c>
    </row>
    <row r="368" spans="1:4" x14ac:dyDescent="0.2">
      <c r="A368" t="s">
        <v>166</v>
      </c>
      <c r="B368" t="s">
        <v>10</v>
      </c>
      <c r="C368" s="1">
        <v>1.6799999999999999E-2</v>
      </c>
      <c r="D368">
        <v>12.8</v>
      </c>
    </row>
    <row r="369" spans="1:4" x14ac:dyDescent="0.2">
      <c r="A369" t="s">
        <v>437</v>
      </c>
      <c r="B369" t="s">
        <v>10</v>
      </c>
      <c r="C369" s="1">
        <v>1.6999999999999999E-3</v>
      </c>
      <c r="D369">
        <v>11.8</v>
      </c>
    </row>
    <row r="370" spans="1:4" x14ac:dyDescent="0.2">
      <c r="A370" t="s">
        <v>280</v>
      </c>
      <c r="B370" t="s">
        <v>10</v>
      </c>
      <c r="C370" s="1">
        <v>8.3999999999999995E-3</v>
      </c>
      <c r="D370">
        <v>1.5</v>
      </c>
    </row>
    <row r="371" spans="1:4" x14ac:dyDescent="0.2">
      <c r="A371" t="s">
        <v>387</v>
      </c>
      <c r="B371" t="s">
        <v>15</v>
      </c>
      <c r="C371" s="1">
        <v>1.6999999999999999E-3</v>
      </c>
      <c r="D371">
        <v>12.3</v>
      </c>
    </row>
    <row r="372" spans="1:4" x14ac:dyDescent="0.2">
      <c r="A372" t="s">
        <v>64</v>
      </c>
      <c r="B372" t="s">
        <v>5</v>
      </c>
      <c r="C372" s="1">
        <v>4.2099999999999999E-2</v>
      </c>
      <c r="D372">
        <v>10.8</v>
      </c>
    </row>
    <row r="373" spans="1:4" x14ac:dyDescent="0.2">
      <c r="A373" t="s">
        <v>333</v>
      </c>
      <c r="B373" t="s">
        <v>10</v>
      </c>
      <c r="C373" s="1">
        <v>3.3999999999999998E-3</v>
      </c>
      <c r="D373">
        <v>8.6</v>
      </c>
    </row>
    <row r="374" spans="1:4" x14ac:dyDescent="0.2">
      <c r="A374" t="s">
        <v>384</v>
      </c>
      <c r="B374" t="s">
        <v>17</v>
      </c>
      <c r="C374" s="1">
        <v>1.6999999999999999E-3</v>
      </c>
      <c r="D374">
        <v>2.6</v>
      </c>
    </row>
    <row r="375" spans="1:4" x14ac:dyDescent="0.2">
      <c r="A375" t="s">
        <v>125</v>
      </c>
      <c r="B375" t="s">
        <v>15</v>
      </c>
      <c r="C375" s="1">
        <v>2.3599999999999999E-2</v>
      </c>
      <c r="D375">
        <v>11.4</v>
      </c>
    </row>
    <row r="376" spans="1:4" x14ac:dyDescent="0.2">
      <c r="A376" t="s">
        <v>203</v>
      </c>
      <c r="B376" t="s">
        <v>5</v>
      </c>
      <c r="C376" s="1">
        <v>1.35E-2</v>
      </c>
      <c r="D376">
        <v>11.5</v>
      </c>
    </row>
    <row r="377" spans="1:4" x14ac:dyDescent="0.2">
      <c r="A377" t="s">
        <v>68</v>
      </c>
      <c r="B377" t="s">
        <v>10</v>
      </c>
      <c r="C377" s="1">
        <v>4.0399999999999998E-2</v>
      </c>
      <c r="D377">
        <v>6.5</v>
      </c>
    </row>
    <row r="378" spans="1:4" x14ac:dyDescent="0.2">
      <c r="A378" t="s">
        <v>65</v>
      </c>
      <c r="B378" t="s">
        <v>5</v>
      </c>
      <c r="C378" s="1">
        <v>4.0399999999999998E-2</v>
      </c>
      <c r="D378">
        <v>3</v>
      </c>
    </row>
    <row r="379" spans="1:4" x14ac:dyDescent="0.2">
      <c r="A379" t="s">
        <v>194</v>
      </c>
      <c r="B379" t="s">
        <v>5</v>
      </c>
      <c r="C379" s="1">
        <v>1.35E-2</v>
      </c>
      <c r="D379">
        <v>5.8</v>
      </c>
    </row>
    <row r="380" spans="1:4" x14ac:dyDescent="0.2">
      <c r="A380" t="s">
        <v>354</v>
      </c>
      <c r="B380" t="s">
        <v>17</v>
      </c>
      <c r="C380" s="1">
        <v>3.3999999999999998E-3</v>
      </c>
      <c r="D380">
        <v>9.6999999999999993</v>
      </c>
    </row>
    <row r="381" spans="1:4" x14ac:dyDescent="0.2">
      <c r="A381" t="s">
        <v>154</v>
      </c>
      <c r="B381" t="s">
        <v>17</v>
      </c>
      <c r="C381" s="1">
        <v>1.6799999999999999E-2</v>
      </c>
      <c r="D381">
        <v>18</v>
      </c>
    </row>
    <row r="382" spans="1:4" x14ac:dyDescent="0.2">
      <c r="A382" t="s">
        <v>363</v>
      </c>
      <c r="B382" t="s">
        <v>15</v>
      </c>
      <c r="C382" s="1">
        <v>3.3999999999999998E-3</v>
      </c>
      <c r="D382">
        <v>0</v>
      </c>
    </row>
    <row r="383" spans="1:4" x14ac:dyDescent="0.2">
      <c r="A383" t="s">
        <v>44</v>
      </c>
      <c r="B383" t="s">
        <v>5</v>
      </c>
      <c r="C383" s="1">
        <v>5.3900000000000003E-2</v>
      </c>
      <c r="D383">
        <v>5</v>
      </c>
    </row>
    <row r="384" spans="1:4" x14ac:dyDescent="0.2">
      <c r="A384" t="s">
        <v>365</v>
      </c>
      <c r="B384" t="s">
        <v>15</v>
      </c>
      <c r="C384" s="1">
        <v>3.3999999999999998E-3</v>
      </c>
      <c r="D384">
        <v>3</v>
      </c>
    </row>
    <row r="385" spans="1:4" x14ac:dyDescent="0.2">
      <c r="A385" t="s">
        <v>226</v>
      </c>
      <c r="B385" t="s">
        <v>17</v>
      </c>
      <c r="C385" s="1">
        <v>1.01E-2</v>
      </c>
      <c r="D385">
        <v>11</v>
      </c>
    </row>
    <row r="386" spans="1:4" x14ac:dyDescent="0.2">
      <c r="A386" t="s">
        <v>164</v>
      </c>
      <c r="B386" t="s">
        <v>15</v>
      </c>
      <c r="C386" s="1">
        <v>1.6799999999999999E-2</v>
      </c>
      <c r="D386">
        <v>20.6</v>
      </c>
    </row>
    <row r="387" spans="1:4" x14ac:dyDescent="0.2">
      <c r="A387" t="s">
        <v>430</v>
      </c>
      <c r="B387" t="s">
        <v>17</v>
      </c>
      <c r="C387" s="1">
        <v>1.6999999999999999E-3</v>
      </c>
      <c r="D387">
        <v>0</v>
      </c>
    </row>
    <row r="388" spans="1:4" x14ac:dyDescent="0.2">
      <c r="A388" t="s">
        <v>391</v>
      </c>
      <c r="B388" t="s">
        <v>7</v>
      </c>
      <c r="C388" s="1">
        <v>1.6999999999999999E-3</v>
      </c>
      <c r="D388">
        <v>-7</v>
      </c>
    </row>
    <row r="389" spans="1:4" x14ac:dyDescent="0.2">
      <c r="A389" t="s">
        <v>394</v>
      </c>
      <c r="B389" t="s">
        <v>17</v>
      </c>
      <c r="C389" s="1">
        <v>1.6999999999999999E-3</v>
      </c>
      <c r="D389">
        <v>12.1</v>
      </c>
    </row>
    <row r="390" spans="1:4" x14ac:dyDescent="0.2">
      <c r="A390" t="s">
        <v>343</v>
      </c>
      <c r="B390" t="s">
        <v>15</v>
      </c>
      <c r="C390" s="1">
        <v>3.3999999999999998E-3</v>
      </c>
      <c r="D390">
        <v>0</v>
      </c>
    </row>
    <row r="391" spans="1:4" x14ac:dyDescent="0.2">
      <c r="A391" t="s">
        <v>262</v>
      </c>
      <c r="B391" t="s">
        <v>7</v>
      </c>
      <c r="C391" s="1">
        <v>8.3999999999999995E-3</v>
      </c>
      <c r="D391">
        <v>-9.8000000000000007</v>
      </c>
    </row>
    <row r="392" spans="1:4" x14ac:dyDescent="0.2">
      <c r="A392" t="s">
        <v>379</v>
      </c>
      <c r="B392" t="s">
        <v>5</v>
      </c>
      <c r="C392" s="1">
        <v>3.3999999999999998E-3</v>
      </c>
      <c r="D392">
        <v>6</v>
      </c>
    </row>
    <row r="393" spans="1:4" x14ac:dyDescent="0.2">
      <c r="A393" t="s">
        <v>150</v>
      </c>
      <c r="B393" t="s">
        <v>17</v>
      </c>
      <c r="C393" s="1">
        <v>1.8499999999999999E-2</v>
      </c>
      <c r="D393">
        <v>6.9</v>
      </c>
    </row>
    <row r="394" spans="1:4" x14ac:dyDescent="0.2">
      <c r="A394" t="s">
        <v>248</v>
      </c>
      <c r="B394" t="s">
        <v>17</v>
      </c>
      <c r="C394" s="1">
        <v>1.01E-2</v>
      </c>
      <c r="D394">
        <v>5.6</v>
      </c>
    </row>
    <row r="395" spans="1:4" x14ac:dyDescent="0.2">
      <c r="A395" t="s">
        <v>71</v>
      </c>
      <c r="B395" t="s">
        <v>5</v>
      </c>
      <c r="C395" s="1">
        <v>3.8699999999999998E-2</v>
      </c>
      <c r="D395">
        <v>4.5</v>
      </c>
    </row>
    <row r="396" spans="1:4" x14ac:dyDescent="0.2">
      <c r="A396" t="s">
        <v>396</v>
      </c>
      <c r="B396" t="s">
        <v>7</v>
      </c>
      <c r="C396" s="1">
        <v>1.6999999999999999E-3</v>
      </c>
      <c r="D396">
        <v>0</v>
      </c>
    </row>
    <row r="397" spans="1:4" x14ac:dyDescent="0.2">
      <c r="A397" t="s">
        <v>70</v>
      </c>
      <c r="B397" t="s">
        <v>10</v>
      </c>
      <c r="C397" s="1">
        <v>3.8699999999999998E-2</v>
      </c>
      <c r="D397">
        <v>8</v>
      </c>
    </row>
    <row r="398" spans="1:4" x14ac:dyDescent="0.2">
      <c r="A398" t="s">
        <v>332</v>
      </c>
      <c r="B398" t="s">
        <v>5</v>
      </c>
      <c r="C398" s="1">
        <v>3.3999999999999998E-3</v>
      </c>
      <c r="D398">
        <v>21.3</v>
      </c>
    </row>
    <row r="399" spans="1:4" x14ac:dyDescent="0.2">
      <c r="A399" t="s">
        <v>90</v>
      </c>
      <c r="B399" t="s">
        <v>17</v>
      </c>
      <c r="C399" s="1">
        <v>3.2000000000000001E-2</v>
      </c>
      <c r="D399">
        <v>29.5</v>
      </c>
    </row>
    <row r="400" spans="1:4" x14ac:dyDescent="0.2">
      <c r="A400" t="s">
        <v>234</v>
      </c>
      <c r="B400" t="s">
        <v>17</v>
      </c>
      <c r="C400" s="1">
        <v>1.01E-2</v>
      </c>
      <c r="D400">
        <v>2.8</v>
      </c>
    </row>
    <row r="401" spans="1:4" x14ac:dyDescent="0.2">
      <c r="A401" t="s">
        <v>55</v>
      </c>
      <c r="B401" t="s">
        <v>5</v>
      </c>
      <c r="C401" s="1">
        <v>4.8800000000000003E-2</v>
      </c>
      <c r="D401">
        <v>3</v>
      </c>
    </row>
    <row r="402" spans="1:4" x14ac:dyDescent="0.2">
      <c r="A402" t="s">
        <v>40</v>
      </c>
      <c r="B402" t="s">
        <v>10</v>
      </c>
      <c r="C402" s="1">
        <v>6.0600000000000001E-2</v>
      </c>
      <c r="D402">
        <v>1.3</v>
      </c>
    </row>
    <row r="403" spans="1:4" x14ac:dyDescent="0.2">
      <c r="A403" t="s">
        <v>79</v>
      </c>
      <c r="B403" t="s">
        <v>17</v>
      </c>
      <c r="C403" s="1">
        <v>3.6999999999999998E-2</v>
      </c>
      <c r="D403">
        <v>6.9</v>
      </c>
    </row>
    <row r="404" spans="1:4" x14ac:dyDescent="0.2">
      <c r="A404" t="s">
        <v>334</v>
      </c>
      <c r="B404" t="s">
        <v>7</v>
      </c>
      <c r="C404" s="1">
        <v>3.3999999999999998E-3</v>
      </c>
      <c r="D404">
        <v>0</v>
      </c>
    </row>
    <row r="405" spans="1:4" x14ac:dyDescent="0.2">
      <c r="A405" t="s">
        <v>367</v>
      </c>
      <c r="B405" t="s">
        <v>17</v>
      </c>
      <c r="C405" s="1">
        <v>3.3999999999999998E-3</v>
      </c>
      <c r="D405">
        <v>0</v>
      </c>
    </row>
    <row r="406" spans="1:4" x14ac:dyDescent="0.2">
      <c r="A406" t="s">
        <v>45</v>
      </c>
      <c r="B406" t="s">
        <v>10</v>
      </c>
      <c r="C406" s="1">
        <v>5.3900000000000003E-2</v>
      </c>
      <c r="D406">
        <v>11.8</v>
      </c>
    </row>
    <row r="407" spans="1:4" x14ac:dyDescent="0.2">
      <c r="A407" t="s">
        <v>82</v>
      </c>
      <c r="B407" t="s">
        <v>5</v>
      </c>
      <c r="C407" s="1">
        <v>3.5400000000000001E-2</v>
      </c>
      <c r="D407">
        <v>10.5</v>
      </c>
    </row>
    <row r="408" spans="1:4" x14ac:dyDescent="0.2">
      <c r="A408" t="s">
        <v>255</v>
      </c>
      <c r="B408" t="s">
        <v>15</v>
      </c>
      <c r="C408" s="1">
        <v>8.3999999999999995E-3</v>
      </c>
      <c r="D408">
        <v>1.5</v>
      </c>
    </row>
    <row r="409" spans="1:4" x14ac:dyDescent="0.2">
      <c r="A409" t="s">
        <v>419</v>
      </c>
      <c r="B409" t="s">
        <v>10</v>
      </c>
      <c r="C409" s="1">
        <v>1.6999999999999999E-3</v>
      </c>
      <c r="D409">
        <v>4.5</v>
      </c>
    </row>
    <row r="410" spans="1:4" x14ac:dyDescent="0.2">
      <c r="A410" t="s">
        <v>128</v>
      </c>
      <c r="B410" t="s">
        <v>5</v>
      </c>
      <c r="C410" s="1">
        <v>2.1899999999999999E-2</v>
      </c>
      <c r="D410">
        <v>13.5</v>
      </c>
    </row>
    <row r="411" spans="1:4" x14ac:dyDescent="0.2">
      <c r="A411" t="s">
        <v>214</v>
      </c>
      <c r="B411" t="s">
        <v>10</v>
      </c>
      <c r="C411" s="1">
        <v>1.18E-2</v>
      </c>
      <c r="D411">
        <v>3</v>
      </c>
    </row>
    <row r="412" spans="1:4" x14ac:dyDescent="0.2">
      <c r="A412" t="s">
        <v>211</v>
      </c>
      <c r="B412" t="s">
        <v>17</v>
      </c>
      <c r="C412" s="1">
        <v>1.18E-2</v>
      </c>
      <c r="D412">
        <v>13.8</v>
      </c>
    </row>
    <row r="413" spans="1:4" x14ac:dyDescent="0.2">
      <c r="A413" t="s">
        <v>131</v>
      </c>
      <c r="B413" t="s">
        <v>10</v>
      </c>
      <c r="C413" s="1">
        <v>2.1899999999999999E-2</v>
      </c>
      <c r="D413">
        <v>10.5</v>
      </c>
    </row>
    <row r="414" spans="1:4" x14ac:dyDescent="0.2">
      <c r="A414" t="s">
        <v>220</v>
      </c>
      <c r="B414" t="s">
        <v>17</v>
      </c>
      <c r="C414" s="1">
        <v>1.18E-2</v>
      </c>
      <c r="D414">
        <v>2.6</v>
      </c>
    </row>
    <row r="415" spans="1:4" x14ac:dyDescent="0.2">
      <c r="A415" t="s">
        <v>325</v>
      </c>
      <c r="B415" t="s">
        <v>10</v>
      </c>
      <c r="C415" s="1">
        <v>5.1000000000000004E-3</v>
      </c>
      <c r="D415">
        <v>2.6</v>
      </c>
    </row>
    <row r="416" spans="1:4" x14ac:dyDescent="0.2">
      <c r="A416" t="s">
        <v>204</v>
      </c>
      <c r="B416" t="s">
        <v>5</v>
      </c>
      <c r="C416" s="1">
        <v>1.35E-2</v>
      </c>
      <c r="D416">
        <v>5</v>
      </c>
    </row>
    <row r="417" spans="1:4" x14ac:dyDescent="0.2">
      <c r="A417" t="s">
        <v>148</v>
      </c>
      <c r="B417" t="s">
        <v>5</v>
      </c>
      <c r="C417" s="1">
        <v>1.8499999999999999E-2</v>
      </c>
      <c r="D417">
        <v>4.5</v>
      </c>
    </row>
    <row r="418" spans="1:4" x14ac:dyDescent="0.2">
      <c r="A418" t="s">
        <v>50</v>
      </c>
      <c r="B418" t="s">
        <v>17</v>
      </c>
      <c r="C418" s="1">
        <v>4.8800000000000003E-2</v>
      </c>
      <c r="D418">
        <v>8.6</v>
      </c>
    </row>
    <row r="419" spans="1:4" x14ac:dyDescent="0.2">
      <c r="A419" t="s">
        <v>454</v>
      </c>
      <c r="B419" t="s">
        <v>10</v>
      </c>
      <c r="C419" s="1">
        <v>1.6999999999999999E-3</v>
      </c>
      <c r="D419">
        <v>24</v>
      </c>
    </row>
    <row r="420" spans="1:4" x14ac:dyDescent="0.2">
      <c r="A420" t="s">
        <v>102</v>
      </c>
      <c r="B420" t="s">
        <v>17</v>
      </c>
      <c r="C420" s="1">
        <v>2.86E-2</v>
      </c>
      <c r="D420">
        <v>2.8</v>
      </c>
    </row>
    <row r="421" spans="1:4" x14ac:dyDescent="0.2">
      <c r="A421" t="s">
        <v>436</v>
      </c>
      <c r="B421" t="s">
        <v>10</v>
      </c>
      <c r="C421" s="1">
        <v>1.6999999999999999E-3</v>
      </c>
      <c r="D421">
        <v>3</v>
      </c>
    </row>
    <row r="422" spans="1:4" x14ac:dyDescent="0.2">
      <c r="A422" t="s">
        <v>456</v>
      </c>
      <c r="B422" t="s">
        <v>7</v>
      </c>
      <c r="C422" s="1">
        <v>1.6999999999999999E-3</v>
      </c>
      <c r="D422">
        <v>0</v>
      </c>
    </row>
    <row r="423" spans="1:4" x14ac:dyDescent="0.2">
      <c r="A423" t="s">
        <v>323</v>
      </c>
      <c r="B423" t="s">
        <v>10</v>
      </c>
      <c r="C423" s="1">
        <v>5.1000000000000004E-3</v>
      </c>
      <c r="D423">
        <v>3</v>
      </c>
    </row>
    <row r="424" spans="1:4" x14ac:dyDescent="0.2">
      <c r="A424" t="s">
        <v>395</v>
      </c>
      <c r="B424" t="s">
        <v>17</v>
      </c>
      <c r="C424" s="1">
        <v>1.6999999999999999E-3</v>
      </c>
      <c r="D424">
        <v>1.5</v>
      </c>
    </row>
    <row r="425" spans="1:4" x14ac:dyDescent="0.2">
      <c r="A425" t="s">
        <v>67</v>
      </c>
      <c r="B425" t="s">
        <v>10</v>
      </c>
      <c r="C425" s="1">
        <v>4.0399999999999998E-2</v>
      </c>
      <c r="D425">
        <v>1.3</v>
      </c>
    </row>
    <row r="426" spans="1:4" x14ac:dyDescent="0.2">
      <c r="A426" t="s">
        <v>347</v>
      </c>
      <c r="B426" t="s">
        <v>17</v>
      </c>
      <c r="C426" s="1">
        <v>3.3999999999999998E-3</v>
      </c>
      <c r="D426">
        <v>5.6</v>
      </c>
    </row>
    <row r="427" spans="1:4" x14ac:dyDescent="0.2">
      <c r="A427" t="s">
        <v>407</v>
      </c>
      <c r="B427" t="s">
        <v>10</v>
      </c>
      <c r="C427" s="1">
        <v>1.6999999999999999E-3</v>
      </c>
      <c r="D427">
        <v>0</v>
      </c>
    </row>
    <row r="428" spans="1:4" x14ac:dyDescent="0.2">
      <c r="A428" t="s">
        <v>425</v>
      </c>
      <c r="B428" t="s">
        <v>15</v>
      </c>
      <c r="C428" s="1">
        <v>1.6999999999999999E-3</v>
      </c>
      <c r="D428">
        <v>0</v>
      </c>
    </row>
    <row r="429" spans="1:4" x14ac:dyDescent="0.2">
      <c r="A429" t="s">
        <v>28</v>
      </c>
      <c r="B429" t="s">
        <v>10</v>
      </c>
      <c r="C429" s="1">
        <v>7.0699999999999999E-2</v>
      </c>
      <c r="D429">
        <v>1.5</v>
      </c>
    </row>
    <row r="430" spans="1:4" x14ac:dyDescent="0.2">
      <c r="A430" t="s">
        <v>256</v>
      </c>
      <c r="B430" t="s">
        <v>17</v>
      </c>
      <c r="C430" s="1">
        <v>8.3999999999999995E-3</v>
      </c>
      <c r="D430">
        <v>3</v>
      </c>
    </row>
    <row r="431" spans="1:4" x14ac:dyDescent="0.2">
      <c r="A431" t="s">
        <v>157</v>
      </c>
      <c r="B431" t="s">
        <v>10</v>
      </c>
      <c r="C431" s="1">
        <v>1.6799999999999999E-2</v>
      </c>
      <c r="D431">
        <v>1.5</v>
      </c>
    </row>
    <row r="432" spans="1:4" x14ac:dyDescent="0.2">
      <c r="A432" t="s">
        <v>172</v>
      </c>
      <c r="B432" t="s">
        <v>17</v>
      </c>
      <c r="C432" s="1">
        <v>1.52E-2</v>
      </c>
      <c r="D432">
        <v>10.8</v>
      </c>
    </row>
    <row r="433" spans="1:4" x14ac:dyDescent="0.2">
      <c r="A433" t="s">
        <v>153</v>
      </c>
      <c r="B433" t="s">
        <v>10</v>
      </c>
      <c r="C433" s="1">
        <v>1.6799999999999999E-2</v>
      </c>
      <c r="D433">
        <v>5</v>
      </c>
    </row>
    <row r="434" spans="1:4" x14ac:dyDescent="0.2">
      <c r="A434" t="s">
        <v>304</v>
      </c>
      <c r="B434" t="s">
        <v>10</v>
      </c>
      <c r="C434" s="1">
        <v>6.7000000000000002E-3</v>
      </c>
      <c r="D434">
        <v>4.5</v>
      </c>
    </row>
    <row r="435" spans="1:4" x14ac:dyDescent="0.2">
      <c r="A435" t="s">
        <v>93</v>
      </c>
      <c r="B435" t="s">
        <v>10</v>
      </c>
      <c r="C435" s="1">
        <v>3.0300000000000001E-2</v>
      </c>
      <c r="D435">
        <v>1.5</v>
      </c>
    </row>
    <row r="436" spans="1:4" x14ac:dyDescent="0.2">
      <c r="A436" t="s">
        <v>31</v>
      </c>
      <c r="B436" t="s">
        <v>10</v>
      </c>
      <c r="C436" s="1">
        <v>6.7299999999999999E-2</v>
      </c>
      <c r="D436">
        <v>13</v>
      </c>
    </row>
    <row r="437" spans="1:4" x14ac:dyDescent="0.2">
      <c r="A437" t="s">
        <v>84</v>
      </c>
      <c r="B437" t="s">
        <v>17</v>
      </c>
      <c r="C437" s="1">
        <v>3.3700000000000001E-2</v>
      </c>
      <c r="D437">
        <v>1.5</v>
      </c>
    </row>
    <row r="438" spans="1:4" x14ac:dyDescent="0.2">
      <c r="A438" t="s">
        <v>424</v>
      </c>
      <c r="B438" t="s">
        <v>17</v>
      </c>
      <c r="C438" s="1">
        <v>1.6999999999999999E-3</v>
      </c>
      <c r="D438">
        <v>1.3</v>
      </c>
    </row>
    <row r="439" spans="1:4" x14ac:dyDescent="0.2">
      <c r="A439" t="s">
        <v>364</v>
      </c>
      <c r="B439" t="s">
        <v>5</v>
      </c>
      <c r="C439" s="1">
        <v>3.3999999999999998E-3</v>
      </c>
      <c r="D439">
        <v>0</v>
      </c>
    </row>
    <row r="440" spans="1:4" x14ac:dyDescent="0.2">
      <c r="A440" t="s">
        <v>193</v>
      </c>
      <c r="B440" t="s">
        <v>10</v>
      </c>
      <c r="C440" s="1">
        <v>1.52E-2</v>
      </c>
      <c r="D440">
        <v>9.1</v>
      </c>
    </row>
    <row r="441" spans="1:4" x14ac:dyDescent="0.2">
      <c r="A441" t="s">
        <v>324</v>
      </c>
      <c r="B441" t="s">
        <v>17</v>
      </c>
      <c r="C441" s="1">
        <v>5.1000000000000004E-3</v>
      </c>
      <c r="D441">
        <v>9.3000000000000007</v>
      </c>
    </row>
    <row r="442" spans="1:4" x14ac:dyDescent="0.2">
      <c r="A442" t="s">
        <v>345</v>
      </c>
      <c r="B442" t="s">
        <v>10</v>
      </c>
      <c r="C442" s="1">
        <v>3.3999999999999998E-3</v>
      </c>
      <c r="D442">
        <v>1.5</v>
      </c>
    </row>
    <row r="443" spans="1:4" x14ac:dyDescent="0.2">
      <c r="A443" t="s">
        <v>316</v>
      </c>
      <c r="B443" t="s">
        <v>10</v>
      </c>
      <c r="C443" s="1">
        <v>5.1000000000000004E-3</v>
      </c>
      <c r="D443">
        <v>1.3</v>
      </c>
    </row>
    <row r="444" spans="1:4" x14ac:dyDescent="0.2">
      <c r="A444" t="s">
        <v>32</v>
      </c>
      <c r="B444" t="s">
        <v>15</v>
      </c>
      <c r="C444" s="1">
        <v>6.5699999999999995E-2</v>
      </c>
      <c r="D444">
        <v>11</v>
      </c>
    </row>
    <row r="445" spans="1:4" x14ac:dyDescent="0.2">
      <c r="A445" t="s">
        <v>358</v>
      </c>
      <c r="B445" t="s">
        <v>15</v>
      </c>
      <c r="C445" s="1">
        <v>3.3999999999999998E-3</v>
      </c>
      <c r="D445">
        <v>0</v>
      </c>
    </row>
    <row r="446" spans="1:4" x14ac:dyDescent="0.2">
      <c r="A446" t="s">
        <v>302</v>
      </c>
      <c r="B446" t="s">
        <v>10</v>
      </c>
      <c r="C446" s="1">
        <v>6.7000000000000002E-3</v>
      </c>
      <c r="D446">
        <v>9.5</v>
      </c>
    </row>
    <row r="447" spans="1:4" x14ac:dyDescent="0.2">
      <c r="A447" t="s">
        <v>136</v>
      </c>
      <c r="B447" t="s">
        <v>5</v>
      </c>
      <c r="C447" s="1">
        <v>2.0199999999999999E-2</v>
      </c>
      <c r="D447">
        <v>15.8</v>
      </c>
    </row>
    <row r="448" spans="1:4" x14ac:dyDescent="0.2">
      <c r="A448" t="s">
        <v>453</v>
      </c>
      <c r="B448" t="s">
        <v>17</v>
      </c>
      <c r="C448" s="1">
        <v>1.6999999999999999E-3</v>
      </c>
      <c r="D448">
        <v>1.5</v>
      </c>
    </row>
    <row r="449" spans="1:4" x14ac:dyDescent="0.2">
      <c r="A449" t="s">
        <v>440</v>
      </c>
      <c r="B449" t="s">
        <v>10</v>
      </c>
      <c r="C449" s="1">
        <v>1.6999999999999999E-3</v>
      </c>
      <c r="D449">
        <v>1.5</v>
      </c>
    </row>
    <row r="450" spans="1:4" x14ac:dyDescent="0.2">
      <c r="A450" t="s">
        <v>369</v>
      </c>
      <c r="B450" t="s">
        <v>17</v>
      </c>
      <c r="C450" s="1">
        <v>3.3999999999999998E-3</v>
      </c>
      <c r="D450">
        <v>4.3</v>
      </c>
    </row>
    <row r="451" spans="1:4" x14ac:dyDescent="0.2">
      <c r="A451" t="s">
        <v>356</v>
      </c>
      <c r="B451" t="s">
        <v>5</v>
      </c>
      <c r="C451" s="1">
        <v>3.3999999999999998E-3</v>
      </c>
      <c r="D451">
        <v>24.5</v>
      </c>
    </row>
    <row r="452" spans="1:4" x14ac:dyDescent="0.2">
      <c r="A452" t="s">
        <v>171</v>
      </c>
      <c r="B452" t="s">
        <v>7</v>
      </c>
      <c r="C452" s="1">
        <v>1.52E-2</v>
      </c>
      <c r="D452">
        <v>7.6</v>
      </c>
    </row>
    <row r="453" spans="1:4" x14ac:dyDescent="0.2">
      <c r="A453" t="s">
        <v>371</v>
      </c>
      <c r="B453" t="s">
        <v>15</v>
      </c>
      <c r="C453" s="1">
        <v>3.3999999999999998E-3</v>
      </c>
      <c r="D453">
        <v>0</v>
      </c>
    </row>
    <row r="454" spans="1:4" x14ac:dyDescent="0.2">
      <c r="A454" t="s">
        <v>196</v>
      </c>
      <c r="B454" t="s">
        <v>10</v>
      </c>
      <c r="C454" s="1">
        <v>1.35E-2</v>
      </c>
      <c r="D454">
        <v>8</v>
      </c>
    </row>
    <row r="455" spans="1:4" x14ac:dyDescent="0.2">
      <c r="A455" t="s">
        <v>20</v>
      </c>
      <c r="B455" t="s">
        <v>10</v>
      </c>
      <c r="C455" s="1">
        <v>9.2600000000000002E-2</v>
      </c>
      <c r="D455">
        <v>11.5</v>
      </c>
    </row>
    <row r="456" spans="1:4" x14ac:dyDescent="0.2">
      <c r="A456" t="s">
        <v>221</v>
      </c>
      <c r="B456" t="s">
        <v>17</v>
      </c>
      <c r="C456" s="1">
        <v>1.18E-2</v>
      </c>
      <c r="D456">
        <v>5.8</v>
      </c>
    </row>
    <row r="457" spans="1:4" x14ac:dyDescent="0.2">
      <c r="A457" t="s">
        <v>421</v>
      </c>
      <c r="B457" t="s">
        <v>10</v>
      </c>
      <c r="C457" s="1">
        <v>1.6999999999999999E-3</v>
      </c>
      <c r="D457">
        <v>17.100000000000001</v>
      </c>
    </row>
  </sheetData>
  <autoFilter ref="A1:D595" xr:uid="{48527777-F932-B347-8678-E5586ED47418}">
    <sortState xmlns:xlrd2="http://schemas.microsoft.com/office/spreadsheetml/2017/richdata2" ref="A2:D595">
      <sortCondition ref="A1:A5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DED9-CD22-FD4E-8148-11DF9173D4D4}">
  <dimension ref="A1:P645"/>
  <sheetViews>
    <sheetView tabSelected="1" workbookViewId="0">
      <selection activeCell="T6" sqref="T6"/>
    </sheetView>
  </sheetViews>
  <sheetFormatPr baseColWidth="10" defaultRowHeight="16" x14ac:dyDescent="0.2"/>
  <cols>
    <col min="1" max="1" width="24" bestFit="1" customWidth="1"/>
    <col min="2" max="2" width="7.83203125" bestFit="1" customWidth="1"/>
    <col min="3" max="3" width="10.1640625" bestFit="1" customWidth="1"/>
    <col min="4" max="4" width="8.5" bestFit="1" customWidth="1"/>
    <col min="5" max="5" width="15.33203125" bestFit="1" customWidth="1"/>
    <col min="6" max="7" width="12.83203125" bestFit="1" customWidth="1"/>
    <col min="8" max="10" width="12.1640625" bestFit="1" customWidth="1"/>
    <col min="11" max="11" width="20.83203125" bestFit="1" customWidth="1"/>
    <col min="12" max="12" width="15.6640625" bestFit="1" customWidth="1"/>
    <col min="13" max="13" width="15.83203125" bestFit="1" customWidth="1"/>
    <col min="14" max="14" width="9.1640625" bestFit="1" customWidth="1"/>
    <col min="15" max="15" width="9.5" bestFit="1" customWidth="1"/>
    <col min="16" max="16" width="7.1640625" bestFit="1" customWidth="1"/>
    <col min="17" max="17" width="12.1640625" bestFit="1" customWidth="1"/>
  </cols>
  <sheetData>
    <row r="1" spans="1:16" x14ac:dyDescent="0.2">
      <c r="A1" t="s">
        <v>464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470</v>
      </c>
      <c r="H1" t="s">
        <v>471</v>
      </c>
      <c r="I1" t="s">
        <v>472</v>
      </c>
      <c r="J1" t="s">
        <v>473</v>
      </c>
      <c r="K1" t="s">
        <v>474</v>
      </c>
      <c r="L1" t="s">
        <v>475</v>
      </c>
      <c r="M1" t="s">
        <v>476</v>
      </c>
      <c r="N1" t="s">
        <v>477</v>
      </c>
      <c r="O1" t="s">
        <v>730</v>
      </c>
      <c r="P1" t="s">
        <v>731</v>
      </c>
    </row>
    <row r="2" spans="1:16" x14ac:dyDescent="0.2">
      <c r="A2" t="s">
        <v>511</v>
      </c>
      <c r="B2" t="s">
        <v>497</v>
      </c>
      <c r="C2" t="s">
        <v>10</v>
      </c>
      <c r="D2">
        <v>5200</v>
      </c>
      <c r="E2">
        <v>9.9480722116883697</v>
      </c>
      <c r="F2">
        <v>9.86</v>
      </c>
      <c r="G2">
        <v>8.8072211688379198E-2</v>
      </c>
      <c r="H2">
        <v>1.9130908099400701</v>
      </c>
      <c r="I2">
        <v>2.4870180529220902</v>
      </c>
      <c r="J2">
        <v>29.8701805292209</v>
      </c>
      <c r="K2">
        <v>0.80686289679701395</v>
      </c>
      <c r="L2" t="s">
        <v>482</v>
      </c>
      <c r="M2">
        <v>5.5057150320165897</v>
      </c>
      <c r="N2">
        <v>41766895</v>
      </c>
      <c r="O2">
        <f>IFERROR(VLOOKUP($A2,Actual!$A:$D,4,FALSE),IFERROR(VLOOKUP($A2,FC!$A:$AD,29,FALSE),"Not Found"))</f>
        <v>22.1</v>
      </c>
      <c r="P2" s="5">
        <f>IFERROR(VLOOKUP($A2,Actual!$A:$D,3,FALSE),"0")</f>
        <v>1.52E-2</v>
      </c>
    </row>
    <row r="3" spans="1:16" x14ac:dyDescent="0.2">
      <c r="A3" t="s">
        <v>185</v>
      </c>
      <c r="B3" t="s">
        <v>483</v>
      </c>
      <c r="C3" t="s">
        <v>10</v>
      </c>
      <c r="D3">
        <v>6300</v>
      </c>
      <c r="E3">
        <v>12.6568762816574</v>
      </c>
      <c r="F3">
        <v>10.09</v>
      </c>
      <c r="G3">
        <v>2.5668762816574402</v>
      </c>
      <c r="H3">
        <v>2.0090279812154601</v>
      </c>
      <c r="I3">
        <v>3.1642190704143598</v>
      </c>
      <c r="J3">
        <v>36.642190704143601</v>
      </c>
      <c r="K3">
        <v>3.9911771919858099</v>
      </c>
      <c r="L3" t="s">
        <v>482</v>
      </c>
      <c r="M3">
        <v>2.5358499197304001</v>
      </c>
      <c r="N3">
        <v>41766469</v>
      </c>
      <c r="O3">
        <f>IFERROR(VLOOKUP($A3,Actual!$A:$D,4,FALSE),IFERROR(VLOOKUP($A3,FC!$A:$AD,29,FALSE),"Not Found"))</f>
        <v>16.5</v>
      </c>
      <c r="P3" s="5">
        <f>IFERROR(VLOOKUP($A3,Actual!$A:$D,3,FALSE),"0")</f>
        <v>1.52E-2</v>
      </c>
    </row>
    <row r="4" spans="1:16" x14ac:dyDescent="0.2">
      <c r="A4" t="s">
        <v>240</v>
      </c>
      <c r="B4" t="s">
        <v>497</v>
      </c>
      <c r="C4" t="s">
        <v>17</v>
      </c>
      <c r="D4">
        <v>4000</v>
      </c>
      <c r="E4">
        <v>8.1126446371035392</v>
      </c>
      <c r="F4">
        <v>8.83</v>
      </c>
      <c r="G4">
        <v>-0.71735536289645296</v>
      </c>
      <c r="H4">
        <v>2.0281611592758799</v>
      </c>
      <c r="I4">
        <v>2.0281611592758799</v>
      </c>
      <c r="J4">
        <v>25.2816115927588</v>
      </c>
      <c r="K4">
        <v>2.0759047088543698</v>
      </c>
      <c r="L4" t="s">
        <v>482</v>
      </c>
      <c r="M4">
        <v>2.6374824336236</v>
      </c>
      <c r="N4">
        <v>41767593</v>
      </c>
      <c r="O4">
        <f>IFERROR(VLOOKUP($A4,Actual!$A:$D,4,FALSE),IFERROR(VLOOKUP($A4,FC!$A:$AD,29,FALSE),"Not Found"))</f>
        <v>11.3</v>
      </c>
      <c r="P4" s="5">
        <f>IFERROR(VLOOKUP($A4,Actual!$A:$D,3,FALSE),"0")</f>
        <v>1.01E-2</v>
      </c>
    </row>
    <row r="5" spans="1:16" x14ac:dyDescent="0.2">
      <c r="A5" t="s">
        <v>187</v>
      </c>
      <c r="B5" t="s">
        <v>484</v>
      </c>
      <c r="C5" t="s">
        <v>5</v>
      </c>
      <c r="D5">
        <v>4300</v>
      </c>
      <c r="E5">
        <v>7.6295777513387701</v>
      </c>
      <c r="F5">
        <v>8.1</v>
      </c>
      <c r="G5">
        <v>-0.47042224866122101</v>
      </c>
      <c r="H5">
        <v>1.77432040728808</v>
      </c>
      <c r="I5">
        <v>1.9073944378346901</v>
      </c>
      <c r="J5">
        <v>24.073944378346901</v>
      </c>
      <c r="K5">
        <v>3.07013630152754</v>
      </c>
      <c r="L5" t="s">
        <v>482</v>
      </c>
      <c r="M5">
        <v>1.8745263514824599</v>
      </c>
      <c r="N5">
        <v>41766535</v>
      </c>
      <c r="O5">
        <f>IFERROR(VLOOKUP($A5,Actual!$A:$D,4,FALSE),IFERROR(VLOOKUP($A5,FC!$A:$AD,29,FALSE),"Not Found"))</f>
        <v>9.5</v>
      </c>
      <c r="P5" s="5">
        <f>IFERROR(VLOOKUP($A5,Actual!$A:$D,3,FALSE),"0")</f>
        <v>1.52E-2</v>
      </c>
    </row>
    <row r="6" spans="1:16" x14ac:dyDescent="0.2">
      <c r="A6" t="s">
        <v>268</v>
      </c>
      <c r="B6" t="s">
        <v>487</v>
      </c>
      <c r="C6" t="s">
        <v>17</v>
      </c>
      <c r="D6">
        <v>2700</v>
      </c>
      <c r="E6">
        <v>5.2051573971697298</v>
      </c>
      <c r="F6">
        <v>4.91</v>
      </c>
      <c r="G6">
        <v>0.295157397169731</v>
      </c>
      <c r="H6">
        <v>1.9278360730258199</v>
      </c>
      <c r="I6">
        <v>1.30128934929243</v>
      </c>
      <c r="J6">
        <v>18.012893492924299</v>
      </c>
      <c r="K6">
        <v>0.69196823628479198</v>
      </c>
      <c r="L6" t="s">
        <v>482</v>
      </c>
      <c r="M6">
        <v>3.0763919118240399</v>
      </c>
      <c r="N6">
        <v>41767763</v>
      </c>
      <c r="O6">
        <f>IFERROR(VLOOKUP($A6,Actual!$A:$D,4,FALSE),IFERROR(VLOOKUP($A6,FC!$A:$AD,29,FALSE),"Not Found"))</f>
        <v>7.8</v>
      </c>
      <c r="P6" s="5">
        <f>IFERROR(VLOOKUP($A6,Actual!$A:$D,3,FALSE),"0")</f>
        <v>8.3999999999999995E-3</v>
      </c>
    </row>
    <row r="7" spans="1:16" x14ac:dyDescent="0.2">
      <c r="A7" t="s">
        <v>37</v>
      </c>
      <c r="B7" t="s">
        <v>487</v>
      </c>
      <c r="C7" t="s">
        <v>5</v>
      </c>
      <c r="D7">
        <v>6000</v>
      </c>
      <c r="E7">
        <v>11.8148136750203</v>
      </c>
      <c r="F7">
        <v>10.26</v>
      </c>
      <c r="G7">
        <v>1.55481367502039</v>
      </c>
      <c r="H7">
        <v>1.9691356125033901</v>
      </c>
      <c r="I7">
        <v>2.9537034187550901</v>
      </c>
      <c r="J7">
        <v>34.537034187550901</v>
      </c>
      <c r="K7">
        <v>3.9911771919858099</v>
      </c>
      <c r="L7" t="s">
        <v>482</v>
      </c>
      <c r="M7">
        <v>2.3671396988251701</v>
      </c>
      <c r="N7">
        <v>41766483</v>
      </c>
      <c r="O7">
        <f>IFERROR(VLOOKUP($A7,Actual!$A:$D,4,FALSE),IFERROR(VLOOKUP($A7,FC!$A:$AD,29,FALSE),"Not Found"))</f>
        <v>5</v>
      </c>
      <c r="P7" s="5">
        <f>IFERROR(VLOOKUP($A7,Actual!$A:$D,3,FALSE),"0")</f>
        <v>6.0600000000000001E-2</v>
      </c>
    </row>
    <row r="8" spans="1:16" x14ac:dyDescent="0.2">
      <c r="A8" t="s">
        <v>200</v>
      </c>
      <c r="B8" t="s">
        <v>490</v>
      </c>
      <c r="C8" t="s">
        <v>10</v>
      </c>
      <c r="D8">
        <v>4700</v>
      </c>
      <c r="E8">
        <v>10.394466115372399</v>
      </c>
      <c r="F8">
        <v>9.27</v>
      </c>
      <c r="G8">
        <v>1.12446611537242</v>
      </c>
      <c r="H8">
        <v>2.2115885351856202</v>
      </c>
      <c r="I8">
        <v>2.5986165288430998</v>
      </c>
      <c r="J8">
        <v>30.986165288431</v>
      </c>
      <c r="K8">
        <v>1.2102943451955199</v>
      </c>
      <c r="L8" t="s">
        <v>482</v>
      </c>
      <c r="M8">
        <v>4.7027519832219102</v>
      </c>
      <c r="N8">
        <v>41766927</v>
      </c>
      <c r="O8">
        <f>IFERROR(VLOOKUP($A8,Actual!$A:$D,4,FALSE),IFERROR(VLOOKUP($A8,FC!$A:$AD,29,FALSE),"Not Found"))</f>
        <v>4.5</v>
      </c>
      <c r="P8" s="5">
        <f>IFERROR(VLOOKUP($A8,Actual!$A:$D,3,FALSE),"0")</f>
        <v>1.35E-2</v>
      </c>
    </row>
    <row r="9" spans="1:16" x14ac:dyDescent="0.2">
      <c r="A9" t="s">
        <v>181</v>
      </c>
      <c r="B9" t="s">
        <v>502</v>
      </c>
      <c r="C9" t="s">
        <v>10</v>
      </c>
      <c r="D9">
        <v>4300</v>
      </c>
      <c r="E9">
        <v>10.3841589427416</v>
      </c>
      <c r="F9">
        <v>8.0500000000000007</v>
      </c>
      <c r="G9">
        <v>2.33415894274167</v>
      </c>
      <c r="H9">
        <v>2.4149206843585298</v>
      </c>
      <c r="I9">
        <v>2.5960397356854199</v>
      </c>
      <c r="J9">
        <v>30.960397356854099</v>
      </c>
      <c r="K9">
        <v>1.9451159119213699</v>
      </c>
      <c r="L9" t="s">
        <v>482</v>
      </c>
      <c r="M9">
        <v>3.5258914261093102</v>
      </c>
      <c r="N9">
        <v>41766949</v>
      </c>
      <c r="O9">
        <f>IFERROR(VLOOKUP($A9,Actual!$A:$D,4,FALSE),IFERROR(VLOOKUP($A9,FC!$A:$AD,29,FALSE),"Not Found"))</f>
        <v>4.5</v>
      </c>
      <c r="P9" s="5">
        <f>IFERROR(VLOOKUP($A9,Actual!$A:$D,3,FALSE),"0")</f>
        <v>1.52E-2</v>
      </c>
    </row>
    <row r="10" spans="1:16" x14ac:dyDescent="0.2">
      <c r="A10" t="s">
        <v>512</v>
      </c>
      <c r="B10" t="s">
        <v>501</v>
      </c>
      <c r="C10" t="s">
        <v>10</v>
      </c>
      <c r="D10">
        <v>4000</v>
      </c>
      <c r="E10">
        <v>8.4315309043135898</v>
      </c>
      <c r="F10">
        <v>7.24</v>
      </c>
      <c r="G10">
        <v>1.19153090431358</v>
      </c>
      <c r="H10">
        <v>2.1078827260783899</v>
      </c>
      <c r="I10">
        <v>2.1078827260783899</v>
      </c>
      <c r="J10">
        <v>26.0788272607839</v>
      </c>
      <c r="K10">
        <v>0.79799627155748598</v>
      </c>
      <c r="L10" t="s">
        <v>482</v>
      </c>
      <c r="M10">
        <v>4.6894039980460596</v>
      </c>
      <c r="N10">
        <v>41766973</v>
      </c>
      <c r="O10">
        <f>IFERROR(VLOOKUP($A10,Actual!$A:$D,4,FALSE),IFERROR(VLOOKUP($A10,FC!$A:$AD,29,FALSE),"Not Found"))</f>
        <v>2.8</v>
      </c>
      <c r="P10" s="5">
        <f>IFERROR(VLOOKUP($A10,Actual!$A:$D,3,FALSE),"0")</f>
        <v>1.01E-2</v>
      </c>
    </row>
    <row r="11" spans="1:16" x14ac:dyDescent="0.2">
      <c r="A11" t="s">
        <v>274</v>
      </c>
      <c r="B11" t="s">
        <v>500</v>
      </c>
      <c r="C11" t="s">
        <v>7</v>
      </c>
      <c r="D11">
        <v>7500</v>
      </c>
      <c r="E11">
        <v>9.2877878363943296</v>
      </c>
      <c r="F11">
        <v>10.27</v>
      </c>
      <c r="G11">
        <v>-0.98221216360566399</v>
      </c>
      <c r="H11">
        <v>1.2383717115192401</v>
      </c>
      <c r="I11">
        <v>1.85755756727886</v>
      </c>
      <c r="J11">
        <v>28.575575672788599</v>
      </c>
      <c r="K11">
        <v>4.9591414300659604</v>
      </c>
      <c r="L11" t="s">
        <v>482</v>
      </c>
      <c r="M11">
        <v>1.5585781853631</v>
      </c>
      <c r="N11">
        <v>41768112</v>
      </c>
      <c r="O11">
        <f>IFERROR(VLOOKUP($A11,Actual!$A:$D,4,FALSE),IFERROR(VLOOKUP($A11,FC!$A:$AD,29,FALSE),"Not Found"))</f>
        <v>8.1</v>
      </c>
      <c r="P11" s="5">
        <f>IFERROR(VLOOKUP($A11,Actual!$A:$D,3,FALSE),"0")</f>
        <v>8.3999999999999995E-3</v>
      </c>
    </row>
    <row r="12" spans="1:16" x14ac:dyDescent="0.2">
      <c r="A12" t="s">
        <v>98</v>
      </c>
      <c r="B12" t="s">
        <v>488</v>
      </c>
      <c r="C12" t="s">
        <v>7</v>
      </c>
      <c r="D12">
        <v>7400</v>
      </c>
      <c r="E12">
        <v>12.814866310272301</v>
      </c>
      <c r="F12">
        <v>11.96</v>
      </c>
      <c r="G12">
        <v>0.85486631027239002</v>
      </c>
      <c r="H12">
        <v>1.73173869057735</v>
      </c>
      <c r="I12">
        <v>2.5629732620544701</v>
      </c>
      <c r="J12">
        <v>35.629732620544701</v>
      </c>
      <c r="K12">
        <v>4.1961965946711999</v>
      </c>
      <c r="L12" t="s">
        <v>482</v>
      </c>
      <c r="M12">
        <v>2.4662012063620198</v>
      </c>
      <c r="N12">
        <v>41768117</v>
      </c>
      <c r="O12">
        <f>IFERROR(VLOOKUP($A12,Actual!$A:$D,4,FALSE),IFERROR(VLOOKUP($A12,FC!$A:$AD,29,FALSE),"Not Found"))</f>
        <v>3.9</v>
      </c>
      <c r="P12" s="5">
        <f>IFERROR(VLOOKUP($A12,Actual!$A:$D,3,FALSE),"0")</f>
        <v>2.86E-2</v>
      </c>
    </row>
    <row r="13" spans="1:16" x14ac:dyDescent="0.2">
      <c r="A13" t="s">
        <v>389</v>
      </c>
      <c r="B13" t="s">
        <v>483</v>
      </c>
      <c r="C13" t="s">
        <v>7</v>
      </c>
      <c r="D13">
        <v>8000</v>
      </c>
      <c r="E13">
        <v>4.9045826872414402</v>
      </c>
      <c r="F13">
        <v>4.3899999999999997</v>
      </c>
      <c r="G13">
        <v>0.51458268724144796</v>
      </c>
      <c r="H13">
        <v>0.61307283590518102</v>
      </c>
      <c r="I13">
        <v>0.98091653744828899</v>
      </c>
      <c r="J13">
        <v>19.809165374482799</v>
      </c>
      <c r="K13">
        <v>2.9754848580395801</v>
      </c>
      <c r="L13" t="s">
        <v>482</v>
      </c>
      <c r="M13">
        <v>1.2337067961214701</v>
      </c>
      <c r="N13">
        <v>41768088</v>
      </c>
      <c r="O13">
        <f>IFERROR(VLOOKUP($A13,Actual!$A:$D,4,FALSE),IFERROR(VLOOKUP($A13,FC!$A:$AD,29,FALSE),"Not Found"))</f>
        <v>4.0999999999999996</v>
      </c>
      <c r="P13" s="5">
        <f>IFERROR(VLOOKUP($A13,Actual!$A:$D,3,FALSE),"0")</f>
        <v>1.6999999999999999E-3</v>
      </c>
    </row>
    <row r="14" spans="1:16" x14ac:dyDescent="0.2">
      <c r="A14" t="s">
        <v>34</v>
      </c>
      <c r="B14" t="s">
        <v>492</v>
      </c>
      <c r="C14" t="s">
        <v>7</v>
      </c>
      <c r="D14">
        <v>7900</v>
      </c>
      <c r="E14">
        <v>14.1748606500676</v>
      </c>
      <c r="F14">
        <v>12.74</v>
      </c>
      <c r="G14">
        <v>1.43486065006764</v>
      </c>
      <c r="H14">
        <v>1.79428615823641</v>
      </c>
      <c r="I14">
        <v>2.83497213001352</v>
      </c>
      <c r="J14">
        <v>38.349721300135201</v>
      </c>
      <c r="K14">
        <v>7.4387121450989504</v>
      </c>
      <c r="L14" t="s">
        <v>479</v>
      </c>
      <c r="M14">
        <v>1.6797421699352699</v>
      </c>
      <c r="N14">
        <v>41768095</v>
      </c>
      <c r="O14">
        <f>IFERROR(VLOOKUP($A14,Actual!$A:$D,4,FALSE),IFERROR(VLOOKUP($A14,FC!$A:$AD,29,FALSE),"Not Found"))</f>
        <v>5.5</v>
      </c>
      <c r="P14" s="5">
        <f>IFERROR(VLOOKUP($A14,Actual!$A:$D,3,FALSE),"0")</f>
        <v>6.4000000000000001E-2</v>
      </c>
    </row>
    <row r="15" spans="1:16" x14ac:dyDescent="0.2">
      <c r="A15" t="s">
        <v>171</v>
      </c>
      <c r="B15" t="s">
        <v>484</v>
      </c>
      <c r="C15" t="s">
        <v>7</v>
      </c>
      <c r="D15">
        <v>7000</v>
      </c>
      <c r="E15">
        <v>9.7352005053454391</v>
      </c>
      <c r="F15">
        <v>10.5</v>
      </c>
      <c r="G15">
        <v>-0.76479949465455499</v>
      </c>
      <c r="H15">
        <v>1.3907429293350599</v>
      </c>
      <c r="I15">
        <v>1.9470401010690801</v>
      </c>
      <c r="J15">
        <v>29.4704010106908</v>
      </c>
      <c r="K15">
        <v>4.1961965946711999</v>
      </c>
      <c r="L15" t="s">
        <v>482</v>
      </c>
      <c r="M15">
        <v>1.87352428415219</v>
      </c>
      <c r="N15">
        <v>41768133</v>
      </c>
      <c r="O15">
        <f>IFERROR(VLOOKUP($A15,Actual!$A:$D,4,FALSE),IFERROR(VLOOKUP($A15,FC!$A:$AD,29,FALSE),"Not Found"))</f>
        <v>7.6</v>
      </c>
      <c r="P15" s="5">
        <f>IFERROR(VLOOKUP($A15,Actual!$A:$D,3,FALSE),"0")</f>
        <v>1.52E-2</v>
      </c>
    </row>
    <row r="16" spans="1:16" x14ac:dyDescent="0.2">
      <c r="A16" t="s">
        <v>312</v>
      </c>
      <c r="B16" t="s">
        <v>506</v>
      </c>
      <c r="C16" t="s">
        <v>7</v>
      </c>
      <c r="D16">
        <v>7300</v>
      </c>
      <c r="E16">
        <v>8.4117773763947206</v>
      </c>
      <c r="F16">
        <v>6.27</v>
      </c>
      <c r="G16">
        <v>2.1417773763947201</v>
      </c>
      <c r="H16">
        <v>1.1522982707389999</v>
      </c>
      <c r="I16">
        <v>1.68235547527894</v>
      </c>
      <c r="J16">
        <v>26.823554752789398</v>
      </c>
      <c r="K16">
        <v>2.5177179568027199</v>
      </c>
      <c r="L16" t="s">
        <v>482</v>
      </c>
      <c r="M16">
        <v>2.3912597541049698</v>
      </c>
      <c r="N16">
        <v>41768123</v>
      </c>
      <c r="O16">
        <f>IFERROR(VLOOKUP($A16,Actual!$A:$D,4,FALSE),IFERROR(VLOOKUP($A16,FC!$A:$AD,29,FALSE),"Not Found"))</f>
        <v>13.9</v>
      </c>
      <c r="P16" s="5">
        <f>IFERROR(VLOOKUP($A16,Actual!$A:$D,3,FALSE),"0")</f>
        <v>5.1000000000000004E-3</v>
      </c>
    </row>
    <row r="17" spans="1:16" x14ac:dyDescent="0.2">
      <c r="A17" t="s">
        <v>192</v>
      </c>
      <c r="B17" t="s">
        <v>495</v>
      </c>
      <c r="C17" t="s">
        <v>7</v>
      </c>
      <c r="D17">
        <v>8100</v>
      </c>
      <c r="E17">
        <v>8.6779361692464594</v>
      </c>
      <c r="F17">
        <v>8.66</v>
      </c>
      <c r="G17">
        <v>1.7936169246466301E-2</v>
      </c>
      <c r="H17">
        <v>1.07135014435141</v>
      </c>
      <c r="I17">
        <v>1.7355872338492899</v>
      </c>
      <c r="J17">
        <v>27.355872338492901</v>
      </c>
      <c r="K17">
        <v>2.9754848580395801</v>
      </c>
      <c r="L17" t="s">
        <v>482</v>
      </c>
      <c r="M17">
        <v>2.1828623373315499</v>
      </c>
      <c r="N17">
        <v>41768086</v>
      </c>
      <c r="O17">
        <f>IFERROR(VLOOKUP($A17,Actual!$A:$D,4,FALSE),IFERROR(VLOOKUP($A17,FC!$A:$AD,29,FALSE),"Not Found"))</f>
        <v>17.899999999999999</v>
      </c>
      <c r="P17" s="5">
        <f>IFERROR(VLOOKUP($A17,Actual!$A:$D,3,FALSE),"0")</f>
        <v>1.52E-2</v>
      </c>
    </row>
    <row r="18" spans="1:16" x14ac:dyDescent="0.2">
      <c r="A18" t="s">
        <v>76</v>
      </c>
      <c r="B18" t="s">
        <v>486</v>
      </c>
      <c r="C18" t="s">
        <v>7</v>
      </c>
      <c r="D18">
        <v>8000</v>
      </c>
      <c r="E18">
        <v>15.6980929812431</v>
      </c>
      <c r="F18">
        <v>13.06</v>
      </c>
      <c r="G18">
        <v>2.6380929812431302</v>
      </c>
      <c r="H18">
        <v>1.9622616226553899</v>
      </c>
      <c r="I18">
        <v>3.1396185962486198</v>
      </c>
      <c r="J18">
        <v>41.3961859624862</v>
      </c>
      <c r="K18">
        <v>9.5368104424345503</v>
      </c>
      <c r="L18" t="s">
        <v>479</v>
      </c>
      <c r="M18">
        <v>1.48983348110949</v>
      </c>
      <c r="N18">
        <v>41768091</v>
      </c>
      <c r="O18">
        <f>IFERROR(VLOOKUP($A18,Actual!$A:$D,4,FALSE),IFERROR(VLOOKUP($A18,FC!$A:$AD,29,FALSE),"Not Found"))</f>
        <v>31.4</v>
      </c>
      <c r="P18" s="5">
        <f>IFERROR(VLOOKUP($A18,Actual!$A:$D,3,FALSE),"0")</f>
        <v>3.6999999999999998E-2</v>
      </c>
    </row>
    <row r="19" spans="1:16" x14ac:dyDescent="0.2">
      <c r="A19" t="s">
        <v>13</v>
      </c>
      <c r="B19" t="s">
        <v>487</v>
      </c>
      <c r="C19" t="s">
        <v>7</v>
      </c>
      <c r="D19">
        <v>8600</v>
      </c>
      <c r="E19">
        <v>14.655809906715501</v>
      </c>
      <c r="F19">
        <v>12.85</v>
      </c>
      <c r="G19">
        <v>1.8058099067155899</v>
      </c>
      <c r="H19">
        <v>1.70416394264134</v>
      </c>
      <c r="I19">
        <v>2.93116198134312</v>
      </c>
      <c r="J19">
        <v>39.311619813431101</v>
      </c>
      <c r="K19">
        <v>6.1035586831581101</v>
      </c>
      <c r="L19" t="s">
        <v>479</v>
      </c>
      <c r="M19">
        <v>2.0631644729652399</v>
      </c>
      <c r="N19">
        <v>41768069</v>
      </c>
      <c r="O19">
        <f>IFERROR(VLOOKUP($A19,Actual!$A:$D,4,FALSE),IFERROR(VLOOKUP($A19,FC!$A:$AD,29,FALSE),"Not Found"))</f>
        <v>22.8</v>
      </c>
      <c r="P19" s="5">
        <f>IFERROR(VLOOKUP($A19,Actual!$A:$D,3,FALSE),"0")</f>
        <v>0.1195</v>
      </c>
    </row>
    <row r="20" spans="1:16" x14ac:dyDescent="0.2">
      <c r="A20" t="s">
        <v>139</v>
      </c>
      <c r="B20" t="s">
        <v>505</v>
      </c>
      <c r="C20" t="s">
        <v>7</v>
      </c>
      <c r="D20">
        <v>7600</v>
      </c>
      <c r="E20">
        <v>12.491527782841599</v>
      </c>
      <c r="F20">
        <v>12.04</v>
      </c>
      <c r="G20">
        <v>0.45152778284167799</v>
      </c>
      <c r="H20">
        <v>1.6436220766896901</v>
      </c>
      <c r="I20">
        <v>2.4983055565683299</v>
      </c>
      <c r="J20">
        <v>34.983055565683301</v>
      </c>
      <c r="K20">
        <v>4.9591414300659604</v>
      </c>
      <c r="L20" t="s">
        <v>482</v>
      </c>
      <c r="M20">
        <v>2.0961958915453001</v>
      </c>
      <c r="N20">
        <v>41768106</v>
      </c>
      <c r="O20">
        <f>IFERROR(VLOOKUP($A20,Actual!$A:$D,4,FALSE),IFERROR(VLOOKUP($A20,FC!$A:$AD,29,FALSE),"Not Found"))</f>
        <v>19.3</v>
      </c>
      <c r="P20" s="5">
        <f>IFERROR(VLOOKUP($A20,Actual!$A:$D,3,FALSE),"0")</f>
        <v>2.0199999999999999E-2</v>
      </c>
    </row>
    <row r="21" spans="1:16" x14ac:dyDescent="0.2">
      <c r="A21" t="s">
        <v>35</v>
      </c>
      <c r="B21" t="s">
        <v>485</v>
      </c>
      <c r="C21" t="s">
        <v>7</v>
      </c>
      <c r="D21">
        <v>8300</v>
      </c>
      <c r="E21">
        <v>14.3868839686728</v>
      </c>
      <c r="F21">
        <v>12.27</v>
      </c>
      <c r="G21">
        <v>2.1168839686728398</v>
      </c>
      <c r="H21">
        <v>1.7333595142979299</v>
      </c>
      <c r="I21">
        <v>2.8773767937345598</v>
      </c>
      <c r="J21">
        <v>38.773767937345603</v>
      </c>
      <c r="K21">
        <v>4.9591414300659604</v>
      </c>
      <c r="L21" t="s">
        <v>482</v>
      </c>
      <c r="M21">
        <v>2.4142544924485101</v>
      </c>
      <c r="N21">
        <v>41768075</v>
      </c>
      <c r="O21">
        <f>IFERROR(VLOOKUP($A21,Actual!$A:$D,4,FALSE),IFERROR(VLOOKUP($A21,FC!$A:$AD,29,FALSE),"Not Found"))</f>
        <v>18.600000000000001</v>
      </c>
      <c r="P21" s="5">
        <f>IFERROR(VLOOKUP($A21,Actual!$A:$D,3,FALSE),"0")</f>
        <v>6.2300000000000001E-2</v>
      </c>
    </row>
    <row r="22" spans="1:16" x14ac:dyDescent="0.2">
      <c r="A22" t="s">
        <v>6</v>
      </c>
      <c r="B22" t="s">
        <v>494</v>
      </c>
      <c r="C22" t="s">
        <v>7</v>
      </c>
      <c r="D22">
        <v>7800</v>
      </c>
      <c r="E22">
        <v>16.050097675911399</v>
      </c>
      <c r="F22">
        <v>14.42</v>
      </c>
      <c r="G22">
        <v>1.63009767591147</v>
      </c>
      <c r="H22">
        <v>2.05770483024506</v>
      </c>
      <c r="I22">
        <v>3.21001953518229</v>
      </c>
      <c r="J22">
        <v>42.100195351822897</v>
      </c>
      <c r="K22">
        <v>9.5368104424345503</v>
      </c>
      <c r="L22" t="s">
        <v>479</v>
      </c>
      <c r="M22">
        <v>1.5232406204512701</v>
      </c>
      <c r="N22">
        <v>41768098</v>
      </c>
      <c r="O22">
        <f>IFERROR(VLOOKUP($A22,Actual!$A:$D,4,FALSE),IFERROR(VLOOKUP($A22,FC!$A:$AD,29,FALSE),"Not Found"))</f>
        <v>16.5</v>
      </c>
      <c r="P22" s="5">
        <f>IFERROR(VLOOKUP($A22,Actual!$A:$D,3,FALSE),"0")</f>
        <v>0.20710000000000001</v>
      </c>
    </row>
    <row r="23" spans="1:16" x14ac:dyDescent="0.2">
      <c r="A23" t="s">
        <v>318</v>
      </c>
      <c r="B23" t="s">
        <v>491</v>
      </c>
      <c r="C23" t="s">
        <v>7</v>
      </c>
      <c r="D23">
        <v>7100</v>
      </c>
      <c r="E23">
        <v>7.5870792537210896</v>
      </c>
      <c r="F23">
        <v>7.49</v>
      </c>
      <c r="G23">
        <v>9.7079253721090206E-2</v>
      </c>
      <c r="H23">
        <v>1.0686027117917001</v>
      </c>
      <c r="I23">
        <v>1.5174158507442099</v>
      </c>
      <c r="J23">
        <v>25.174158507442101</v>
      </c>
      <c r="K23">
        <v>2.5177179568027199</v>
      </c>
      <c r="L23" t="s">
        <v>482</v>
      </c>
      <c r="M23">
        <v>2.15681852464858</v>
      </c>
      <c r="N23">
        <v>41768129</v>
      </c>
      <c r="O23">
        <f>IFERROR(VLOOKUP($A23,Actual!$A:$D,4,FALSE),IFERROR(VLOOKUP($A23,FC!$A:$AD,29,FALSE),"Not Found"))</f>
        <v>8.6</v>
      </c>
      <c r="P23" s="5">
        <f>IFERROR(VLOOKUP($A23,Actual!$A:$D,3,FALSE),"0")</f>
        <v>5.1000000000000004E-3</v>
      </c>
    </row>
    <row r="24" spans="1:16" x14ac:dyDescent="0.2">
      <c r="A24" t="s">
        <v>144</v>
      </c>
      <c r="B24" t="s">
        <v>504</v>
      </c>
      <c r="C24" t="s">
        <v>7</v>
      </c>
      <c r="D24">
        <v>7200</v>
      </c>
      <c r="E24">
        <v>13.176003834996401</v>
      </c>
      <c r="F24">
        <v>10.7</v>
      </c>
      <c r="G24">
        <v>2.4760038349964399</v>
      </c>
      <c r="H24">
        <v>1.8300005326383899</v>
      </c>
      <c r="I24">
        <v>2.6352007669992799</v>
      </c>
      <c r="J24">
        <v>36.352007669992801</v>
      </c>
      <c r="K24">
        <v>6.2942948920067998</v>
      </c>
      <c r="L24" t="s">
        <v>479</v>
      </c>
      <c r="M24">
        <v>1.80634372890995</v>
      </c>
      <c r="N24">
        <v>41768124</v>
      </c>
      <c r="O24">
        <f>IFERROR(VLOOKUP($A24,Actual!$A:$D,4,FALSE),IFERROR(VLOOKUP($A24,FC!$A:$AD,29,FALSE),"Not Found"))</f>
        <v>3.2</v>
      </c>
      <c r="P24" s="5">
        <f>IFERROR(VLOOKUP($A24,Actual!$A:$D,3,FALSE),"0")</f>
        <v>1.8499999999999999E-2</v>
      </c>
    </row>
    <row r="25" spans="1:16" x14ac:dyDescent="0.2">
      <c r="A25" t="s">
        <v>87</v>
      </c>
      <c r="B25" t="s">
        <v>507</v>
      </c>
      <c r="C25" t="s">
        <v>7</v>
      </c>
      <c r="D25">
        <v>7200</v>
      </c>
      <c r="E25">
        <v>12.548081485705399</v>
      </c>
      <c r="F25">
        <v>11.41</v>
      </c>
      <c r="G25">
        <v>1.13808148570546</v>
      </c>
      <c r="H25">
        <v>1.7427890952368601</v>
      </c>
      <c r="I25">
        <v>2.5096162971410898</v>
      </c>
      <c r="J25">
        <v>35.096162971410898</v>
      </c>
      <c r="K25">
        <v>4.1961965946711999</v>
      </c>
      <c r="L25" t="s">
        <v>482</v>
      </c>
      <c r="M25">
        <v>2.4148588793914598</v>
      </c>
      <c r="N25">
        <v>41768126</v>
      </c>
      <c r="O25">
        <f>IFERROR(VLOOKUP($A25,Actual!$A:$D,4,FALSE),IFERROR(VLOOKUP($A25,FC!$A:$AD,29,FALSE),"Not Found"))</f>
        <v>2.1</v>
      </c>
      <c r="P25" s="5">
        <f>IFERROR(VLOOKUP($A25,Actual!$A:$D,3,FALSE),"0")</f>
        <v>3.2000000000000001E-2</v>
      </c>
    </row>
    <row r="26" spans="1:16" x14ac:dyDescent="0.2">
      <c r="A26" t="s">
        <v>262</v>
      </c>
      <c r="B26" t="s">
        <v>478</v>
      </c>
      <c r="C26" t="s">
        <v>7</v>
      </c>
      <c r="D26">
        <v>8100</v>
      </c>
      <c r="E26">
        <v>15.3308646207508</v>
      </c>
      <c r="F26">
        <v>13.95</v>
      </c>
      <c r="G26">
        <v>1.38086462075081</v>
      </c>
      <c r="H26">
        <v>1.89269933589516</v>
      </c>
      <c r="I26">
        <v>3.0661729241501599</v>
      </c>
      <c r="J26">
        <v>40.661729241501597</v>
      </c>
      <c r="K26">
        <v>9.5368104424345503</v>
      </c>
      <c r="L26" t="s">
        <v>479</v>
      </c>
      <c r="M26">
        <v>1.4549815339762799</v>
      </c>
      <c r="N26">
        <v>41768085</v>
      </c>
      <c r="O26">
        <f>IFERROR(VLOOKUP($A26,Actual!$A:$D,4,FALSE),IFERROR(VLOOKUP($A26,FC!$A:$AD,29,FALSE),"Not Found"))</f>
        <v>-9.8000000000000007</v>
      </c>
      <c r="P26" s="5">
        <f>IFERROR(VLOOKUP($A26,Actual!$A:$D,3,FALSE),"0")</f>
        <v>8.3999999999999995E-3</v>
      </c>
    </row>
    <row r="27" spans="1:16" x14ac:dyDescent="0.2">
      <c r="A27" t="s">
        <v>119</v>
      </c>
      <c r="B27" t="s">
        <v>499</v>
      </c>
      <c r="C27" t="s">
        <v>7</v>
      </c>
      <c r="D27">
        <v>8300</v>
      </c>
      <c r="E27">
        <v>9.5885161223058297</v>
      </c>
      <c r="F27">
        <v>10.54</v>
      </c>
      <c r="G27">
        <v>-0.95148387769416698</v>
      </c>
      <c r="H27">
        <v>1.1552429063019001</v>
      </c>
      <c r="I27">
        <v>1.91770322446116</v>
      </c>
      <c r="J27">
        <v>29.177032244611599</v>
      </c>
      <c r="K27">
        <v>2.9754848580395801</v>
      </c>
      <c r="L27" t="s">
        <v>482</v>
      </c>
      <c r="M27">
        <v>2.4119111164302498</v>
      </c>
      <c r="N27">
        <v>41768078</v>
      </c>
      <c r="O27">
        <f>IFERROR(VLOOKUP($A27,Actual!$A:$D,4,FALSE),IFERROR(VLOOKUP($A27,FC!$A:$AD,29,FALSE),"Not Found"))</f>
        <v>11.6</v>
      </c>
      <c r="P27" s="5">
        <f>IFERROR(VLOOKUP($A27,Actual!$A:$D,3,FALSE),"0")</f>
        <v>2.3599999999999999E-2</v>
      </c>
    </row>
    <row r="28" spans="1:16" x14ac:dyDescent="0.2">
      <c r="A28" t="s">
        <v>327</v>
      </c>
      <c r="B28" t="s">
        <v>508</v>
      </c>
      <c r="C28" t="s">
        <v>7</v>
      </c>
      <c r="D28">
        <v>7400</v>
      </c>
      <c r="E28">
        <v>11.330046788534</v>
      </c>
      <c r="F28">
        <v>10.57</v>
      </c>
      <c r="G28">
        <v>0.76004678853406504</v>
      </c>
      <c r="H28">
        <v>1.5310874038559501</v>
      </c>
      <c r="I28">
        <v>2.2660093577068099</v>
      </c>
      <c r="J28">
        <v>32.660093577068103</v>
      </c>
      <c r="K28">
        <v>4.1961965946711999</v>
      </c>
      <c r="L28" t="s">
        <v>482</v>
      </c>
      <c r="M28">
        <v>2.1804499853129502</v>
      </c>
      <c r="N28">
        <v>41768113</v>
      </c>
      <c r="O28">
        <f>IFERROR(VLOOKUP($A28,Actual!$A:$D,4,FALSE),IFERROR(VLOOKUP($A28,FC!$A:$AD,29,FALSE),"Not Found"))</f>
        <v>9.1</v>
      </c>
      <c r="P28" s="5">
        <f>IFERROR(VLOOKUP($A28,Actual!$A:$D,3,FALSE),"0")</f>
        <v>5.1000000000000004E-3</v>
      </c>
    </row>
    <row r="29" spans="1:16" x14ac:dyDescent="0.2">
      <c r="A29" t="s">
        <v>26</v>
      </c>
      <c r="B29" t="s">
        <v>502</v>
      </c>
      <c r="C29" t="s">
        <v>7</v>
      </c>
      <c r="D29">
        <v>6800</v>
      </c>
      <c r="E29">
        <v>13.918825636646</v>
      </c>
      <c r="F29">
        <v>13.01</v>
      </c>
      <c r="G29">
        <v>0.90882563664604199</v>
      </c>
      <c r="H29">
        <v>2.0468861230361801</v>
      </c>
      <c r="I29">
        <v>2.7837651273291999</v>
      </c>
      <c r="J29">
        <v>37.837651273292003</v>
      </c>
      <c r="K29">
        <v>6.2942948920067998</v>
      </c>
      <c r="L29" t="s">
        <v>479</v>
      </c>
      <c r="M29">
        <v>1.90817972713147</v>
      </c>
      <c r="N29">
        <v>41768139</v>
      </c>
      <c r="O29">
        <f>IFERROR(VLOOKUP($A29,Actual!$A:$D,4,FALSE),IFERROR(VLOOKUP($A29,FC!$A:$AD,29,FALSE),"Not Found"))</f>
        <v>3.5</v>
      </c>
      <c r="P29" s="5">
        <f>IFERROR(VLOOKUP($A29,Actual!$A:$D,3,FALSE),"0")</f>
        <v>7.9100000000000004E-2</v>
      </c>
    </row>
    <row r="30" spans="1:16" x14ac:dyDescent="0.2">
      <c r="A30" t="s">
        <v>271</v>
      </c>
      <c r="B30" t="s">
        <v>497</v>
      </c>
      <c r="C30" t="s">
        <v>7</v>
      </c>
      <c r="D30">
        <v>7300</v>
      </c>
      <c r="E30">
        <v>10.390374806780899</v>
      </c>
      <c r="F30">
        <v>10.53</v>
      </c>
      <c r="G30">
        <v>-0.13962519321904401</v>
      </c>
      <c r="H30">
        <v>1.42333901462752</v>
      </c>
      <c r="I30">
        <v>2.0780749613561902</v>
      </c>
      <c r="J30">
        <v>30.780749613561898</v>
      </c>
      <c r="K30">
        <v>4.1961965946711999</v>
      </c>
      <c r="L30" t="s">
        <v>482</v>
      </c>
      <c r="M30">
        <v>1.9996115653969799</v>
      </c>
      <c r="N30">
        <v>41768120</v>
      </c>
      <c r="O30">
        <f>IFERROR(VLOOKUP($A30,Actual!$A:$D,4,FALSE),IFERROR(VLOOKUP($A30,FC!$A:$AD,29,FALSE),"Not Found"))</f>
        <v>13.7</v>
      </c>
      <c r="P30" s="5">
        <f>IFERROR(VLOOKUP($A30,Actual!$A:$D,3,FALSE),"0")</f>
        <v>8.3999999999999995E-3</v>
      </c>
    </row>
    <row r="31" spans="1:16" x14ac:dyDescent="0.2">
      <c r="A31" t="s">
        <v>81</v>
      </c>
      <c r="B31" t="s">
        <v>493</v>
      </c>
      <c r="C31" t="s">
        <v>7</v>
      </c>
      <c r="D31">
        <v>8200</v>
      </c>
      <c r="E31">
        <v>14.250615476354501</v>
      </c>
      <c r="F31">
        <v>12.15</v>
      </c>
      <c r="G31">
        <v>2.10061547635451</v>
      </c>
      <c r="H31">
        <v>1.7378799361407899</v>
      </c>
      <c r="I31">
        <v>2.8501230952709</v>
      </c>
      <c r="J31">
        <v>38.501230952709001</v>
      </c>
      <c r="K31">
        <v>4.9591414300659604</v>
      </c>
      <c r="L31" t="s">
        <v>482</v>
      </c>
      <c r="M31">
        <v>2.39138735732217</v>
      </c>
      <c r="N31">
        <v>41768083</v>
      </c>
      <c r="O31">
        <f>IFERROR(VLOOKUP($A31,Actual!$A:$D,4,FALSE),IFERROR(VLOOKUP($A31,FC!$A:$AD,29,FALSE),"Not Found"))</f>
        <v>0.7</v>
      </c>
      <c r="P31" s="5">
        <f>IFERROR(VLOOKUP($A31,Actual!$A:$D,3,FALSE),"0")</f>
        <v>3.5400000000000001E-2</v>
      </c>
    </row>
    <row r="32" spans="1:16" x14ac:dyDescent="0.2">
      <c r="A32" t="s">
        <v>85</v>
      </c>
      <c r="B32" t="s">
        <v>481</v>
      </c>
      <c r="C32" t="s">
        <v>7</v>
      </c>
      <c r="D32">
        <v>8500</v>
      </c>
      <c r="E32">
        <v>16.510306509850199</v>
      </c>
      <c r="F32">
        <v>13.98</v>
      </c>
      <c r="G32">
        <v>2.5303065098502802</v>
      </c>
      <c r="H32">
        <v>1.94238900115885</v>
      </c>
      <c r="I32">
        <v>3.30206130197005</v>
      </c>
      <c r="J32">
        <v>43.020613019700498</v>
      </c>
      <c r="K32">
        <v>9.5368104424345503</v>
      </c>
      <c r="L32" t="s">
        <v>479</v>
      </c>
      <c r="M32">
        <v>1.5669169147580799</v>
      </c>
      <c r="N32">
        <v>41768071</v>
      </c>
      <c r="O32">
        <f>IFERROR(VLOOKUP($A32,Actual!$A:$D,4,FALSE),IFERROR(VLOOKUP($A32,FC!$A:$AD,29,FALSE),"Not Found"))</f>
        <v>17.899999999999999</v>
      </c>
      <c r="P32" s="5">
        <f>IFERROR(VLOOKUP($A32,Actual!$A:$D,3,FALSE),"0")</f>
        <v>3.3700000000000001E-2</v>
      </c>
    </row>
    <row r="33" spans="1:16" x14ac:dyDescent="0.2">
      <c r="A33" t="s">
        <v>275</v>
      </c>
      <c r="B33" t="s">
        <v>480</v>
      </c>
      <c r="C33" t="s">
        <v>7</v>
      </c>
      <c r="D33">
        <v>8400</v>
      </c>
      <c r="E33">
        <v>11.196665319487</v>
      </c>
      <c r="F33">
        <v>12.22</v>
      </c>
      <c r="G33">
        <v>-1.0233346805129699</v>
      </c>
      <c r="H33">
        <v>1.3329363475579701</v>
      </c>
      <c r="I33">
        <v>2.2393330638974001</v>
      </c>
      <c r="J33">
        <v>32.393330638974</v>
      </c>
      <c r="K33">
        <v>4.9591414300659604</v>
      </c>
      <c r="L33" t="s">
        <v>482</v>
      </c>
      <c r="M33">
        <v>1.8789057871652199</v>
      </c>
      <c r="N33">
        <v>41768074</v>
      </c>
      <c r="O33">
        <f>IFERROR(VLOOKUP($A33,Actual!$A:$D,4,FALSE),IFERROR(VLOOKUP($A33,FC!$A:$AD,29,FALSE),"Not Found"))</f>
        <v>7.4</v>
      </c>
      <c r="P33" s="5">
        <f>IFERROR(VLOOKUP($A33,Actual!$A:$D,3,FALSE),"0")</f>
        <v>8.3999999999999995E-3</v>
      </c>
    </row>
    <row r="34" spans="1:16" x14ac:dyDescent="0.2">
      <c r="A34" t="s">
        <v>114</v>
      </c>
      <c r="B34" t="s">
        <v>498</v>
      </c>
      <c r="C34" t="s">
        <v>7</v>
      </c>
      <c r="D34">
        <v>8200</v>
      </c>
      <c r="E34">
        <v>14.638973405537101</v>
      </c>
      <c r="F34">
        <v>13.34</v>
      </c>
      <c r="G34">
        <v>1.29897340553715</v>
      </c>
      <c r="H34">
        <v>1.7852406592118399</v>
      </c>
      <c r="I34">
        <v>2.92779468110743</v>
      </c>
      <c r="J34">
        <v>39.277946811074301</v>
      </c>
      <c r="K34">
        <v>4.9591414300659604</v>
      </c>
      <c r="L34" t="s">
        <v>482</v>
      </c>
      <c r="M34">
        <v>2.45655747179927</v>
      </c>
      <c r="N34">
        <v>41768079</v>
      </c>
      <c r="O34">
        <f>IFERROR(VLOOKUP($A34,Actual!$A:$D,4,FALSE),IFERROR(VLOOKUP($A34,FC!$A:$AD,29,FALSE),"Not Found"))</f>
        <v>6.7</v>
      </c>
      <c r="P34" s="5">
        <f>IFERROR(VLOOKUP($A34,Actual!$A:$D,3,FALSE),"0")</f>
        <v>2.53E-2</v>
      </c>
    </row>
    <row r="35" spans="1:16" x14ac:dyDescent="0.2">
      <c r="A35" t="s">
        <v>339</v>
      </c>
      <c r="B35" t="s">
        <v>501</v>
      </c>
      <c r="C35" t="s">
        <v>7</v>
      </c>
      <c r="D35">
        <v>7600</v>
      </c>
      <c r="E35">
        <v>7.9582691681966402</v>
      </c>
      <c r="F35">
        <v>7.79</v>
      </c>
      <c r="G35">
        <v>0.168269168196648</v>
      </c>
      <c r="H35">
        <v>1.04714068002587</v>
      </c>
      <c r="I35">
        <v>1.59165383363932</v>
      </c>
      <c r="J35">
        <v>25.916538336393199</v>
      </c>
      <c r="K35">
        <v>2.9754848580395801</v>
      </c>
      <c r="L35" t="s">
        <v>482</v>
      </c>
      <c r="M35">
        <v>2.0018361161916398</v>
      </c>
      <c r="N35">
        <v>41768107</v>
      </c>
      <c r="O35">
        <f>IFERROR(VLOOKUP($A35,Actual!$A:$D,4,FALSE),IFERROR(VLOOKUP($A35,FC!$A:$AD,29,FALSE),"Not Found"))</f>
        <v>6.3</v>
      </c>
      <c r="P35" s="5">
        <f>IFERROR(VLOOKUP($A35,Actual!$A:$D,3,FALSE),"0")</f>
        <v>3.3999999999999998E-3</v>
      </c>
    </row>
    <row r="36" spans="1:16" x14ac:dyDescent="0.2">
      <c r="A36" t="s">
        <v>348</v>
      </c>
      <c r="B36" t="s">
        <v>490</v>
      </c>
      <c r="C36" t="s">
        <v>7</v>
      </c>
      <c r="D36">
        <v>7800</v>
      </c>
      <c r="E36">
        <v>8.2006929245239792</v>
      </c>
      <c r="F36">
        <v>8.06</v>
      </c>
      <c r="G36">
        <v>0.14069292452398399</v>
      </c>
      <c r="H36">
        <v>1.0513708877594801</v>
      </c>
      <c r="I36">
        <v>1.64013858490479</v>
      </c>
      <c r="J36">
        <v>26.401385849047902</v>
      </c>
      <c r="K36">
        <v>2.9754848580395801</v>
      </c>
      <c r="L36" t="s">
        <v>482</v>
      </c>
      <c r="M36">
        <v>2.06281578659262</v>
      </c>
      <c r="N36">
        <v>41768101</v>
      </c>
      <c r="O36">
        <f>IFERROR(VLOOKUP($A36,Actual!$A:$D,4,FALSE),IFERROR(VLOOKUP($A36,FC!$A:$AD,29,FALSE),"Not Found"))</f>
        <v>-2.1</v>
      </c>
      <c r="P36" s="5">
        <f>IFERROR(VLOOKUP($A36,Actual!$A:$D,3,FALSE),"0")</f>
        <v>3.3999999999999998E-3</v>
      </c>
    </row>
    <row r="37" spans="1:16" x14ac:dyDescent="0.2">
      <c r="A37" t="s">
        <v>112</v>
      </c>
      <c r="B37" t="s">
        <v>496</v>
      </c>
      <c r="C37" t="s">
        <v>7</v>
      </c>
      <c r="D37">
        <v>6900</v>
      </c>
      <c r="E37">
        <v>11.9707154222362</v>
      </c>
      <c r="F37">
        <v>10.64</v>
      </c>
      <c r="G37">
        <v>1.3307154222362101</v>
      </c>
      <c r="H37">
        <v>1.73488629307771</v>
      </c>
      <c r="I37">
        <v>2.39414308444724</v>
      </c>
      <c r="J37">
        <v>33.9414308444724</v>
      </c>
      <c r="K37">
        <v>4.1961965946711999</v>
      </c>
      <c r="L37" t="s">
        <v>482</v>
      </c>
      <c r="M37">
        <v>2.3037456732319099</v>
      </c>
      <c r="N37">
        <v>41768136</v>
      </c>
      <c r="O37">
        <f>IFERROR(VLOOKUP($A37,Actual!$A:$D,4,FALSE),IFERROR(VLOOKUP($A37,FC!$A:$AD,29,FALSE),"Not Found"))</f>
        <v>12.6</v>
      </c>
      <c r="P37" s="5">
        <f>IFERROR(VLOOKUP($A37,Actual!$A:$D,3,FALSE),"0")</f>
        <v>2.69E-2</v>
      </c>
    </row>
    <row r="38" spans="1:16" x14ac:dyDescent="0.2">
      <c r="A38" t="s">
        <v>47</v>
      </c>
      <c r="B38" t="s">
        <v>489</v>
      </c>
      <c r="C38" t="s">
        <v>7</v>
      </c>
      <c r="D38">
        <v>7900</v>
      </c>
      <c r="E38">
        <v>10.5017057689043</v>
      </c>
      <c r="F38">
        <v>10.54</v>
      </c>
      <c r="G38">
        <v>-3.8294231095662198E-2</v>
      </c>
      <c r="H38">
        <v>1.3293298441651</v>
      </c>
      <c r="I38">
        <v>2.1003411537808598</v>
      </c>
      <c r="J38">
        <v>31.003411537808599</v>
      </c>
      <c r="K38">
        <v>4.9591414300659604</v>
      </c>
      <c r="L38" t="s">
        <v>482</v>
      </c>
      <c r="M38">
        <v>1.76228503588109</v>
      </c>
      <c r="N38">
        <v>41768093</v>
      </c>
      <c r="O38">
        <f>IFERROR(VLOOKUP($A38,Actual!$A:$D,4,FALSE),IFERROR(VLOOKUP($A38,FC!$A:$AD,29,FALSE),"Not Found"))</f>
        <v>13.3</v>
      </c>
      <c r="P38" s="5">
        <f>IFERROR(VLOOKUP($A38,Actual!$A:$D,3,FALSE),"0")</f>
        <v>5.2200000000000003E-2</v>
      </c>
    </row>
    <row r="39" spans="1:16" x14ac:dyDescent="0.2">
      <c r="A39" t="s">
        <v>391</v>
      </c>
      <c r="B39" t="s">
        <v>509</v>
      </c>
      <c r="C39" t="s">
        <v>7</v>
      </c>
      <c r="D39">
        <v>7100</v>
      </c>
      <c r="E39">
        <v>5.7597723453284502</v>
      </c>
      <c r="F39">
        <v>5.3</v>
      </c>
      <c r="G39">
        <v>0.45977234532845201</v>
      </c>
      <c r="H39">
        <v>0.811235541595556</v>
      </c>
      <c r="I39">
        <v>1.15195446906569</v>
      </c>
      <c r="J39">
        <v>21.5195446906569</v>
      </c>
      <c r="K39">
        <v>2.5177179568027199</v>
      </c>
      <c r="L39" t="s">
        <v>482</v>
      </c>
      <c r="M39">
        <v>1.6373604751881601</v>
      </c>
      <c r="N39">
        <v>41768130</v>
      </c>
      <c r="O39">
        <f>IFERROR(VLOOKUP($A39,Actual!$A:$D,4,FALSE),IFERROR(VLOOKUP($A39,FC!$A:$AD,29,FALSE),"Not Found"))</f>
        <v>-7</v>
      </c>
      <c r="P39" s="5">
        <f>IFERROR(VLOOKUP($A39,Actual!$A:$D,3,FALSE),"0")</f>
        <v>1.6999999999999999E-3</v>
      </c>
    </row>
    <row r="40" spans="1:16" x14ac:dyDescent="0.2">
      <c r="A40" t="s">
        <v>56</v>
      </c>
      <c r="B40" t="s">
        <v>492</v>
      </c>
      <c r="C40" t="s">
        <v>17</v>
      </c>
      <c r="D40">
        <v>5600</v>
      </c>
      <c r="E40">
        <v>10.667356477328701</v>
      </c>
      <c r="F40">
        <v>11.39</v>
      </c>
      <c r="G40">
        <v>-0.72264352267126597</v>
      </c>
      <c r="H40">
        <v>1.9048850852372701</v>
      </c>
      <c r="I40">
        <v>2.6668391193321801</v>
      </c>
      <c r="J40">
        <v>31.668391193321799</v>
      </c>
      <c r="K40">
        <v>4.04801418226603</v>
      </c>
      <c r="L40" t="s">
        <v>482</v>
      </c>
      <c r="M40">
        <v>2.1131787851951298</v>
      </c>
      <c r="N40">
        <v>41767531</v>
      </c>
      <c r="O40">
        <f>IFERROR(VLOOKUP($A40,Actual!$A:$D,4,FALSE),IFERROR(VLOOKUP($A40,FC!$A:$AD,29,FALSE),"Not Found"))</f>
        <v>10.8</v>
      </c>
      <c r="P40" s="5">
        <f>IFERROR(VLOOKUP($A40,Actual!$A:$D,3,FALSE),"0")</f>
        <v>4.7100000000000003E-2</v>
      </c>
    </row>
    <row r="41" spans="1:16" x14ac:dyDescent="0.2">
      <c r="A41" t="s">
        <v>301</v>
      </c>
      <c r="B41" t="s">
        <v>506</v>
      </c>
      <c r="C41" t="s">
        <v>17</v>
      </c>
      <c r="D41">
        <v>3200</v>
      </c>
      <c r="E41">
        <v>6.8431657274925897</v>
      </c>
      <c r="F41">
        <v>5.36</v>
      </c>
      <c r="G41">
        <v>1.48316572749259</v>
      </c>
      <c r="H41">
        <v>2.1384892898414298</v>
      </c>
      <c r="I41">
        <v>1.7107914318731401</v>
      </c>
      <c r="J41">
        <v>22.1079143187314</v>
      </c>
      <c r="K41">
        <v>0.69196823628479198</v>
      </c>
      <c r="L41" t="s">
        <v>482</v>
      </c>
      <c r="M41">
        <v>4.0445001157461098</v>
      </c>
      <c r="N41">
        <v>41767669</v>
      </c>
      <c r="O41">
        <f>IFERROR(VLOOKUP($A41,Actual!$A:$D,4,FALSE),IFERROR(VLOOKUP($A41,FC!$A:$AD,29,FALSE),"Not Found"))</f>
        <v>0</v>
      </c>
      <c r="P41" s="5">
        <f>IFERROR(VLOOKUP($A41,Actual!$A:$D,3,FALSE),"0")</f>
        <v>6.7000000000000002E-3</v>
      </c>
    </row>
    <row r="42" spans="1:16" x14ac:dyDescent="0.2">
      <c r="A42" t="s">
        <v>69</v>
      </c>
      <c r="B42" t="s">
        <v>506</v>
      </c>
      <c r="C42" t="s">
        <v>17</v>
      </c>
      <c r="D42">
        <v>7000</v>
      </c>
      <c r="E42">
        <v>12.6545518508367</v>
      </c>
      <c r="F42">
        <v>11.48</v>
      </c>
      <c r="G42">
        <v>1.1745518508367101</v>
      </c>
      <c r="H42">
        <v>1.8077931215481</v>
      </c>
      <c r="I42">
        <v>3.1636379627091702</v>
      </c>
      <c r="J42">
        <v>36.636379627091699</v>
      </c>
      <c r="K42">
        <v>3.7106796670772</v>
      </c>
      <c r="L42" t="s">
        <v>482</v>
      </c>
      <c r="M42">
        <v>2.68635372073354</v>
      </c>
      <c r="N42">
        <v>41767511</v>
      </c>
      <c r="O42">
        <f>IFERROR(VLOOKUP($A42,Actual!$A:$D,4,FALSE),IFERROR(VLOOKUP($A42,FC!$A:$AD,29,FALSE),"Not Found"))</f>
        <v>11.4</v>
      </c>
      <c r="P42" s="5">
        <f>IFERROR(VLOOKUP($A42,Actual!$A:$D,3,FALSE),"0")</f>
        <v>3.8699999999999998E-2</v>
      </c>
    </row>
    <row r="43" spans="1:16" x14ac:dyDescent="0.2">
      <c r="A43" t="s">
        <v>451</v>
      </c>
      <c r="B43" t="s">
        <v>500</v>
      </c>
      <c r="C43" t="s">
        <v>17</v>
      </c>
      <c r="D43">
        <v>5400</v>
      </c>
      <c r="E43">
        <v>11.968494317417299</v>
      </c>
      <c r="F43">
        <v>10.77</v>
      </c>
      <c r="G43">
        <v>1.1984943174173199</v>
      </c>
      <c r="H43">
        <v>2.2163878365587601</v>
      </c>
      <c r="I43">
        <v>2.9921235793543302</v>
      </c>
      <c r="J43">
        <v>34.921235793543303</v>
      </c>
      <c r="K43">
        <v>3.6207237963601702</v>
      </c>
      <c r="L43" t="s">
        <v>482</v>
      </c>
      <c r="M43">
        <v>2.5901773931705399</v>
      </c>
      <c r="N43">
        <v>41767537</v>
      </c>
      <c r="O43">
        <f>IFERROR(VLOOKUP($A43,Actual!$A:$D,4,FALSE),IFERROR(VLOOKUP($A43,FC!$A:$AD,29,FALSE),"Not Found"))</f>
        <v>14</v>
      </c>
      <c r="P43" s="5">
        <f>IFERROR(VLOOKUP($A43,Actual!$A:$D,3,FALSE),"0")</f>
        <v>1.6999999999999999E-3</v>
      </c>
    </row>
    <row r="44" spans="1:16" x14ac:dyDescent="0.2">
      <c r="A44" t="s">
        <v>59</v>
      </c>
      <c r="B44" t="s">
        <v>510</v>
      </c>
      <c r="C44" t="s">
        <v>17</v>
      </c>
      <c r="D44">
        <v>4300</v>
      </c>
      <c r="E44">
        <v>9.2561293191021701</v>
      </c>
      <c r="F44">
        <v>7.63</v>
      </c>
      <c r="G44">
        <v>1.62612931910217</v>
      </c>
      <c r="H44">
        <v>2.1525882137446901</v>
      </c>
      <c r="I44">
        <v>2.3140323297755399</v>
      </c>
      <c r="J44">
        <v>28.140323297755401</v>
      </c>
      <c r="K44">
        <v>4.04801418226603</v>
      </c>
      <c r="L44" t="s">
        <v>482</v>
      </c>
      <c r="M44">
        <v>1.8336179307141101</v>
      </c>
      <c r="N44">
        <v>41767579</v>
      </c>
      <c r="O44">
        <f>IFERROR(VLOOKUP($A44,Actual!$A:$D,4,FALSE),IFERROR(VLOOKUP($A44,FC!$A:$AD,29,FALSE),"Not Found"))</f>
        <v>11.3</v>
      </c>
      <c r="P44" s="5">
        <f>IFERROR(VLOOKUP($A44,Actual!$A:$D,3,FALSE),"0")</f>
        <v>4.5499999999999999E-2</v>
      </c>
    </row>
    <row r="45" spans="1:16" x14ac:dyDescent="0.2">
      <c r="A45" t="s">
        <v>165</v>
      </c>
      <c r="B45" t="s">
        <v>500</v>
      </c>
      <c r="C45" t="s">
        <v>17</v>
      </c>
      <c r="D45">
        <v>6300</v>
      </c>
      <c r="E45">
        <v>14.3644830320069</v>
      </c>
      <c r="F45">
        <v>12.75</v>
      </c>
      <c r="G45">
        <v>1.6144830320069601</v>
      </c>
      <c r="H45">
        <v>2.2800766717471301</v>
      </c>
      <c r="I45">
        <v>3.5911207580017401</v>
      </c>
      <c r="J45">
        <v>40.911207580017397</v>
      </c>
      <c r="K45">
        <v>4.04801418226603</v>
      </c>
      <c r="L45" t="s">
        <v>482</v>
      </c>
      <c r="M45">
        <v>2.8455710529638001</v>
      </c>
      <c r="N45">
        <v>41767517</v>
      </c>
      <c r="O45">
        <f>IFERROR(VLOOKUP($A45,Actual!$A:$D,4,FALSE),IFERROR(VLOOKUP($A45,FC!$A:$AD,29,FALSE),"Not Found"))</f>
        <v>19.5</v>
      </c>
      <c r="P45" s="5">
        <f>IFERROR(VLOOKUP($A45,Actual!$A:$D,3,FALSE),"0")</f>
        <v>1.6799999999999999E-2</v>
      </c>
    </row>
    <row r="46" spans="1:16" x14ac:dyDescent="0.2">
      <c r="A46" t="s">
        <v>270</v>
      </c>
      <c r="B46" t="s">
        <v>493</v>
      </c>
      <c r="C46" t="s">
        <v>17</v>
      </c>
      <c r="D46">
        <v>3500</v>
      </c>
      <c r="E46">
        <v>7.2207181433343504</v>
      </c>
      <c r="F46">
        <v>5.52</v>
      </c>
      <c r="G46">
        <v>1.7007181433343499</v>
      </c>
      <c r="H46">
        <v>2.0630623266669499</v>
      </c>
      <c r="I46">
        <v>1.80517953583358</v>
      </c>
      <c r="J46">
        <v>23.051795358335799</v>
      </c>
      <c r="K46">
        <v>2.3872904151825298</v>
      </c>
      <c r="L46" t="s">
        <v>482</v>
      </c>
      <c r="M46">
        <v>2.13170920065477</v>
      </c>
      <c r="N46">
        <v>41767625</v>
      </c>
      <c r="O46">
        <f>IFERROR(VLOOKUP($A46,Actual!$A:$D,4,FALSE),IFERROR(VLOOKUP($A46,FC!$A:$AD,29,FALSE),"Not Found"))</f>
        <v>9.1</v>
      </c>
      <c r="P46" s="5">
        <f>IFERROR(VLOOKUP($A46,Actual!$A:$D,3,FALSE),"0")</f>
        <v>8.3999999999999995E-3</v>
      </c>
    </row>
    <row r="47" spans="1:16" x14ac:dyDescent="0.2">
      <c r="A47" t="s">
        <v>324</v>
      </c>
      <c r="B47" t="s">
        <v>501</v>
      </c>
      <c r="C47" t="s">
        <v>17</v>
      </c>
      <c r="D47">
        <v>4500</v>
      </c>
      <c r="E47">
        <v>8.0466544634425805</v>
      </c>
      <c r="F47">
        <v>7.1</v>
      </c>
      <c r="G47">
        <v>0.94665446344257997</v>
      </c>
      <c r="H47">
        <v>1.78814543632057</v>
      </c>
      <c r="I47">
        <v>2.0116636158606398</v>
      </c>
      <c r="J47">
        <v>25.116636158606401</v>
      </c>
      <c r="K47">
        <v>3.63283324049516</v>
      </c>
      <c r="L47" t="s">
        <v>482</v>
      </c>
      <c r="M47">
        <v>1.73687548110031</v>
      </c>
      <c r="N47">
        <v>41767571</v>
      </c>
      <c r="O47">
        <f>IFERROR(VLOOKUP($A47,Actual!$A:$D,4,FALSE),IFERROR(VLOOKUP($A47,FC!$A:$AD,29,FALSE),"Not Found"))</f>
        <v>9.3000000000000007</v>
      </c>
      <c r="P47" s="5">
        <f>IFERROR(VLOOKUP($A47,Actual!$A:$D,3,FALSE),"0")</f>
        <v>5.1000000000000004E-3</v>
      </c>
    </row>
    <row r="48" spans="1:16" x14ac:dyDescent="0.2">
      <c r="A48" t="s">
        <v>289</v>
      </c>
      <c r="B48" t="s">
        <v>488</v>
      </c>
      <c r="C48" t="s">
        <v>17</v>
      </c>
      <c r="D48">
        <v>5900</v>
      </c>
      <c r="E48">
        <v>10.999909087801999</v>
      </c>
      <c r="F48">
        <v>11.06</v>
      </c>
      <c r="G48">
        <v>-6.0090912197969297E-2</v>
      </c>
      <c r="H48">
        <v>1.8643913708138999</v>
      </c>
      <c r="I48">
        <v>2.7499772719504998</v>
      </c>
      <c r="J48">
        <v>32.499772719505003</v>
      </c>
      <c r="K48">
        <v>4.04801418226603</v>
      </c>
      <c r="L48" t="s">
        <v>482</v>
      </c>
      <c r="M48">
        <v>2.17905669251987</v>
      </c>
      <c r="N48">
        <v>41767525</v>
      </c>
      <c r="O48">
        <f>IFERROR(VLOOKUP($A48,Actual!$A:$D,4,FALSE),IFERROR(VLOOKUP($A48,FC!$A:$AD,29,FALSE),"Not Found"))</f>
        <v>1.3</v>
      </c>
      <c r="P48" s="5">
        <f>IFERROR(VLOOKUP($A48,Actual!$A:$D,3,FALSE),"0")</f>
        <v>6.7000000000000002E-3</v>
      </c>
    </row>
    <row r="49" spans="1:16" x14ac:dyDescent="0.2">
      <c r="A49" t="s">
        <v>319</v>
      </c>
      <c r="B49" t="s">
        <v>496</v>
      </c>
      <c r="C49" t="s">
        <v>17</v>
      </c>
      <c r="D49">
        <v>5700</v>
      </c>
      <c r="E49">
        <v>10.797383541000199</v>
      </c>
      <c r="F49">
        <v>10.76</v>
      </c>
      <c r="G49">
        <v>3.7383541000272302E-2</v>
      </c>
      <c r="H49">
        <v>1.8942778142105701</v>
      </c>
      <c r="I49">
        <v>2.69934588525006</v>
      </c>
      <c r="J49">
        <v>31.993458852500599</v>
      </c>
      <c r="K49">
        <v>4.04801418226603</v>
      </c>
      <c r="L49" t="s">
        <v>482</v>
      </c>
      <c r="M49">
        <v>2.1389368474700601</v>
      </c>
      <c r="N49">
        <v>41767529</v>
      </c>
      <c r="O49">
        <f>IFERROR(VLOOKUP($A49,Actual!$A:$D,4,FALSE),IFERROR(VLOOKUP($A49,FC!$A:$AD,29,FALSE),"Not Found"))</f>
        <v>2.8</v>
      </c>
      <c r="P49" s="5">
        <f>IFERROR(VLOOKUP($A49,Actual!$A:$D,3,FALSE),"0")</f>
        <v>5.1000000000000004E-3</v>
      </c>
    </row>
    <row r="50" spans="1:16" x14ac:dyDescent="0.2">
      <c r="A50" t="s">
        <v>234</v>
      </c>
      <c r="B50" t="s">
        <v>483</v>
      </c>
      <c r="C50" t="s">
        <v>17</v>
      </c>
      <c r="D50">
        <v>4900</v>
      </c>
      <c r="E50">
        <v>11.804319416829999</v>
      </c>
      <c r="F50">
        <v>9.86</v>
      </c>
      <c r="G50">
        <v>1.9443194168300599</v>
      </c>
      <c r="H50">
        <v>2.4090447789449101</v>
      </c>
      <c r="I50">
        <v>2.9510798542075101</v>
      </c>
      <c r="J50">
        <v>34.510798542075101</v>
      </c>
      <c r="K50">
        <v>3.6207237963601702</v>
      </c>
      <c r="L50" t="s">
        <v>482</v>
      </c>
      <c r="M50">
        <v>2.5546472667612199</v>
      </c>
      <c r="N50">
        <v>41767557</v>
      </c>
      <c r="O50">
        <f>IFERROR(VLOOKUP($A50,Actual!$A:$D,4,FALSE),IFERROR(VLOOKUP($A50,FC!$A:$AD,29,FALSE),"Not Found"))</f>
        <v>2.8</v>
      </c>
      <c r="P50" s="5">
        <f>IFERROR(VLOOKUP($A50,Actual!$A:$D,3,FALSE),"0")</f>
        <v>1.01E-2</v>
      </c>
    </row>
    <row r="51" spans="1:16" x14ac:dyDescent="0.2">
      <c r="A51" t="s">
        <v>211</v>
      </c>
      <c r="B51" t="s">
        <v>488</v>
      </c>
      <c r="C51" t="s">
        <v>17</v>
      </c>
      <c r="D51">
        <v>4700</v>
      </c>
      <c r="E51">
        <v>8.0598614292213195</v>
      </c>
      <c r="F51">
        <v>9.52</v>
      </c>
      <c r="G51">
        <v>-1.46013857077867</v>
      </c>
      <c r="H51">
        <v>1.71486413387687</v>
      </c>
      <c r="I51">
        <v>2.0149653573053299</v>
      </c>
      <c r="J51">
        <v>25.1496535730533</v>
      </c>
      <c r="K51">
        <v>2.7851721510462801</v>
      </c>
      <c r="L51" t="s">
        <v>482</v>
      </c>
      <c r="M51">
        <v>2.1293249309660598</v>
      </c>
      <c r="N51">
        <v>41767563</v>
      </c>
      <c r="O51">
        <f>IFERROR(VLOOKUP($A51,Actual!$A:$D,4,FALSE),IFERROR(VLOOKUP($A51,FC!$A:$AD,29,FALSE),"Not Found"))</f>
        <v>13.8</v>
      </c>
      <c r="P51" s="5">
        <f>IFERROR(VLOOKUP($A51,Actual!$A:$D,3,FALSE),"0")</f>
        <v>1.18E-2</v>
      </c>
    </row>
    <row r="52" spans="1:16" x14ac:dyDescent="0.2">
      <c r="A52" t="s">
        <v>8</v>
      </c>
      <c r="B52" t="s">
        <v>480</v>
      </c>
      <c r="C52" t="s">
        <v>5</v>
      </c>
      <c r="D52">
        <v>10500</v>
      </c>
      <c r="E52">
        <v>21.1341236739603</v>
      </c>
      <c r="F52">
        <v>18.739999999999998</v>
      </c>
      <c r="G52">
        <v>2.39412367396032</v>
      </c>
      <c r="H52">
        <v>2.0127736832343102</v>
      </c>
      <c r="I52">
        <v>5.2835309184900803</v>
      </c>
      <c r="J52">
        <v>57.835309184900801</v>
      </c>
      <c r="K52">
        <v>7.6753407538188601</v>
      </c>
      <c r="L52" t="s">
        <v>479</v>
      </c>
      <c r="M52">
        <v>2.43611453125424</v>
      </c>
      <c r="N52">
        <v>41766433</v>
      </c>
      <c r="O52">
        <f>IFERROR(VLOOKUP($A52,Actual!$A:$D,4,FALSE),IFERROR(VLOOKUP($A52,FC!$A:$AD,29,FALSE),"Not Found"))</f>
        <v>16.5</v>
      </c>
      <c r="P52" s="5">
        <f>IFERROR(VLOOKUP($A52,Actual!$A:$D,3,FALSE),"0")</f>
        <v>0.20030000000000001</v>
      </c>
    </row>
    <row r="53" spans="1:16" x14ac:dyDescent="0.2">
      <c r="A53" t="s">
        <v>96</v>
      </c>
      <c r="B53" t="s">
        <v>495</v>
      </c>
      <c r="C53" t="s">
        <v>5</v>
      </c>
      <c r="D53">
        <v>5900</v>
      </c>
      <c r="E53">
        <v>11.8073179138661</v>
      </c>
      <c r="F53">
        <v>10.64</v>
      </c>
      <c r="G53">
        <v>1.16731791386616</v>
      </c>
      <c r="H53">
        <v>2.0012403243840899</v>
      </c>
      <c r="I53">
        <v>2.9518294784665402</v>
      </c>
      <c r="J53">
        <v>34.5182947846654</v>
      </c>
      <c r="K53">
        <v>3.9911771919858099</v>
      </c>
      <c r="L53" t="s">
        <v>482</v>
      </c>
      <c r="M53">
        <v>2.36563789657174</v>
      </c>
      <c r="N53">
        <v>41766487</v>
      </c>
      <c r="O53">
        <f>IFERROR(VLOOKUP($A53,Actual!$A:$D,4,FALSE),IFERROR(VLOOKUP($A53,FC!$A:$AD,29,FALSE),"Not Found"))</f>
        <v>23.3</v>
      </c>
      <c r="P53" s="5">
        <f>IFERROR(VLOOKUP($A53,Actual!$A:$D,3,FALSE),"0")</f>
        <v>2.86E-2</v>
      </c>
    </row>
    <row r="54" spans="1:16" x14ac:dyDescent="0.2">
      <c r="A54" t="s">
        <v>103</v>
      </c>
      <c r="B54" t="s">
        <v>486</v>
      </c>
      <c r="C54" t="s">
        <v>17</v>
      </c>
      <c r="D54">
        <v>6900</v>
      </c>
      <c r="E54">
        <v>14.6602849349674</v>
      </c>
      <c r="F54">
        <v>12.13</v>
      </c>
      <c r="G54">
        <v>2.5302849349674399</v>
      </c>
      <c r="H54">
        <v>2.12467897608223</v>
      </c>
      <c r="I54">
        <v>3.6650712337418598</v>
      </c>
      <c r="J54">
        <v>41.650712337418597</v>
      </c>
      <c r="K54">
        <v>3.7106796670772</v>
      </c>
      <c r="L54" t="s">
        <v>482</v>
      </c>
      <c r="M54">
        <v>3.1121379442180501</v>
      </c>
      <c r="N54">
        <v>41767513</v>
      </c>
      <c r="O54">
        <f>IFERROR(VLOOKUP($A54,Actual!$A:$D,4,FALSE),IFERROR(VLOOKUP($A54,FC!$A:$AD,29,FALSE),"Not Found"))</f>
        <v>8</v>
      </c>
      <c r="P54" s="5">
        <f>IFERROR(VLOOKUP($A54,Actual!$A:$D,3,FALSE),"0")</f>
        <v>2.86E-2</v>
      </c>
    </row>
    <row r="55" spans="1:16" x14ac:dyDescent="0.2">
      <c r="A55" t="s">
        <v>41</v>
      </c>
      <c r="B55" t="s">
        <v>480</v>
      </c>
      <c r="C55" t="s">
        <v>5</v>
      </c>
      <c r="D55">
        <v>9500</v>
      </c>
      <c r="E55">
        <v>17.067493284815601</v>
      </c>
      <c r="F55">
        <v>14.61</v>
      </c>
      <c r="G55">
        <v>2.4574932848156101</v>
      </c>
      <c r="H55">
        <v>1.7965782405069</v>
      </c>
      <c r="I55">
        <v>4.2668733212039003</v>
      </c>
      <c r="J55">
        <v>47.668733212039001</v>
      </c>
      <c r="K55">
        <v>7.3171581853073198</v>
      </c>
      <c r="L55" t="s">
        <v>479</v>
      </c>
      <c r="M55">
        <v>2.0520823224170699</v>
      </c>
      <c r="N55">
        <v>41766443</v>
      </c>
      <c r="O55">
        <f>IFERROR(VLOOKUP($A55,Actual!$A:$D,4,FALSE),IFERROR(VLOOKUP($A55,FC!$A:$AD,29,FALSE),"Not Found"))</f>
        <v>24.5</v>
      </c>
      <c r="P55" s="5">
        <f>IFERROR(VLOOKUP($A55,Actual!$A:$D,3,FALSE),"0")</f>
        <v>5.7200000000000001E-2</v>
      </c>
    </row>
    <row r="56" spans="1:16" x14ac:dyDescent="0.2">
      <c r="A56" t="s">
        <v>195</v>
      </c>
      <c r="B56" t="s">
        <v>489</v>
      </c>
      <c r="C56" t="s">
        <v>17</v>
      </c>
      <c r="D56">
        <v>5300</v>
      </c>
      <c r="E56">
        <v>9.9920142275927404</v>
      </c>
      <c r="F56">
        <v>9.33</v>
      </c>
      <c r="G56">
        <v>0.66201422759274697</v>
      </c>
      <c r="H56">
        <v>1.8852857033193799</v>
      </c>
      <c r="I56">
        <v>2.4980035568981802</v>
      </c>
      <c r="J56">
        <v>29.980035568981801</v>
      </c>
      <c r="K56">
        <v>3.6207237963601702</v>
      </c>
      <c r="L56" t="s">
        <v>482</v>
      </c>
      <c r="M56">
        <v>2.1624348625779399</v>
      </c>
      <c r="N56">
        <v>41767541</v>
      </c>
      <c r="O56">
        <f>IFERROR(VLOOKUP($A56,Actual!$A:$D,4,FALSE),IFERROR(VLOOKUP($A56,FC!$A:$AD,29,FALSE),"Not Found"))</f>
        <v>9.9</v>
      </c>
      <c r="P56" s="5">
        <f>IFERROR(VLOOKUP($A56,Actual!$A:$D,3,FALSE),"0")</f>
        <v>1.35E-2</v>
      </c>
    </row>
    <row r="57" spans="1:16" x14ac:dyDescent="0.2">
      <c r="A57" t="s">
        <v>53</v>
      </c>
      <c r="B57" t="s">
        <v>504</v>
      </c>
      <c r="C57" t="s">
        <v>17</v>
      </c>
      <c r="D57">
        <v>3700</v>
      </c>
      <c r="E57">
        <v>9.4241362770777393</v>
      </c>
      <c r="F57">
        <v>9.27</v>
      </c>
      <c r="G57">
        <v>0.154136277077739</v>
      </c>
      <c r="H57">
        <v>2.5470638586696501</v>
      </c>
      <c r="I57">
        <v>2.3560340692694299</v>
      </c>
      <c r="J57">
        <v>28.5603406926943</v>
      </c>
      <c r="K57">
        <v>6.0720212733990504</v>
      </c>
      <c r="L57" t="s">
        <v>479</v>
      </c>
      <c r="M57">
        <v>1.33259444686995</v>
      </c>
      <c r="N57">
        <v>41767609</v>
      </c>
      <c r="O57">
        <f>IFERROR(VLOOKUP($A57,Actual!$A:$D,4,FALSE),IFERROR(VLOOKUP($A57,FC!$A:$AD,29,FALSE),"Not Found"))</f>
        <v>18.600000000000001</v>
      </c>
      <c r="P57" s="5">
        <f>IFERROR(VLOOKUP($A57,Actual!$A:$D,3,FALSE),"0")</f>
        <v>4.8800000000000003E-2</v>
      </c>
    </row>
    <row r="58" spans="1:16" x14ac:dyDescent="0.2">
      <c r="A58" t="s">
        <v>43</v>
      </c>
      <c r="B58" t="s">
        <v>489</v>
      </c>
      <c r="C58" t="s">
        <v>17</v>
      </c>
      <c r="D58">
        <v>5100</v>
      </c>
      <c r="E58">
        <v>11.1979023808032</v>
      </c>
      <c r="F58">
        <v>10.02</v>
      </c>
      <c r="G58">
        <v>1.1779023808032001</v>
      </c>
      <c r="H58">
        <v>2.19566713349082</v>
      </c>
      <c r="I58">
        <v>2.7994755952007999</v>
      </c>
      <c r="J58">
        <v>32.994755952007999</v>
      </c>
      <c r="K58">
        <v>4.7226832126436999</v>
      </c>
      <c r="L58" t="s">
        <v>482</v>
      </c>
      <c r="M58">
        <v>1.9567573399943801</v>
      </c>
      <c r="N58">
        <v>41767551</v>
      </c>
      <c r="O58">
        <f>IFERROR(VLOOKUP($A58,Actual!$A:$D,4,FALSE),IFERROR(VLOOKUP($A58,FC!$A:$AD,29,FALSE),"Not Found"))</f>
        <v>4.3</v>
      </c>
      <c r="P58" s="5">
        <f>IFERROR(VLOOKUP($A58,Actual!$A:$D,3,FALSE),"0")</f>
        <v>5.3900000000000003E-2</v>
      </c>
    </row>
    <row r="59" spans="1:16" x14ac:dyDescent="0.2">
      <c r="A59" t="s">
        <v>51</v>
      </c>
      <c r="B59" t="s">
        <v>480</v>
      </c>
      <c r="C59" t="s">
        <v>17</v>
      </c>
      <c r="D59">
        <v>7500</v>
      </c>
      <c r="E59">
        <v>14.611208350079799</v>
      </c>
      <c r="F59">
        <v>13.18</v>
      </c>
      <c r="G59">
        <v>1.4312083500798101</v>
      </c>
      <c r="H59">
        <v>1.94816111334397</v>
      </c>
      <c r="I59">
        <v>3.6528020875199498</v>
      </c>
      <c r="J59">
        <v>41.528020875199502</v>
      </c>
      <c r="K59">
        <v>4.3853486974548703</v>
      </c>
      <c r="L59" t="s">
        <v>482</v>
      </c>
      <c r="M59">
        <v>2.7131406285697102</v>
      </c>
      <c r="N59">
        <v>41767509</v>
      </c>
      <c r="O59">
        <f>IFERROR(VLOOKUP($A59,Actual!$A:$D,4,FALSE),IFERROR(VLOOKUP($A59,FC!$A:$AD,29,FALSE),"Not Found"))</f>
        <v>32</v>
      </c>
      <c r="P59" s="5">
        <f>IFERROR(VLOOKUP($A59,Actual!$A:$D,3,FALSE),"0")</f>
        <v>4.8800000000000003E-2</v>
      </c>
    </row>
    <row r="60" spans="1:16" x14ac:dyDescent="0.2">
      <c r="A60" t="s">
        <v>570</v>
      </c>
      <c r="B60" t="s">
        <v>484</v>
      </c>
      <c r="C60" t="s">
        <v>17</v>
      </c>
      <c r="D60">
        <v>3000</v>
      </c>
      <c r="E60">
        <v>5.1611258219043998</v>
      </c>
      <c r="F60">
        <v>5.67</v>
      </c>
      <c r="G60">
        <v>-0.50887417809559099</v>
      </c>
      <c r="H60">
        <v>1.7203752739681299</v>
      </c>
      <c r="I60">
        <v>1.2902814554761</v>
      </c>
      <c r="J60">
        <v>17.902814554761001</v>
      </c>
      <c r="K60">
        <v>0.69196823628479198</v>
      </c>
      <c r="L60" t="s">
        <v>482</v>
      </c>
      <c r="M60">
        <v>3.0503680336441499</v>
      </c>
      <c r="N60">
        <v>41767703</v>
      </c>
      <c r="O60">
        <f>IFERROR(VLOOKUP($A60,Actual!$A:$D,4,FALSE),IFERROR(VLOOKUP($A60,FC!$A:$AD,29,FALSE),"Not Found"))</f>
        <v>9.1</v>
      </c>
      <c r="P60" s="5" t="str">
        <f>IFERROR(VLOOKUP($A60,Actual!$A:$D,3,FALSE),"0")</f>
        <v>0</v>
      </c>
    </row>
    <row r="61" spans="1:16" x14ac:dyDescent="0.2">
      <c r="A61" t="s">
        <v>38</v>
      </c>
      <c r="B61" t="s">
        <v>492</v>
      </c>
      <c r="C61" t="s">
        <v>5</v>
      </c>
      <c r="D61">
        <v>6100</v>
      </c>
      <c r="E61">
        <v>13.325871481968999</v>
      </c>
      <c r="F61">
        <v>11.81</v>
      </c>
      <c r="G61">
        <v>1.51587148196905</v>
      </c>
      <c r="H61">
        <v>2.1845690954047599</v>
      </c>
      <c r="I61">
        <v>3.33146787049226</v>
      </c>
      <c r="J61">
        <v>38.314678704922599</v>
      </c>
      <c r="K61">
        <v>4.9889714899822604</v>
      </c>
      <c r="L61" t="s">
        <v>482</v>
      </c>
      <c r="M61">
        <v>2.2250684452679699</v>
      </c>
      <c r="N61">
        <v>41766479</v>
      </c>
      <c r="O61">
        <f>IFERROR(VLOOKUP($A61,Actual!$A:$D,4,FALSE),IFERROR(VLOOKUP($A61,FC!$A:$AD,29,FALSE),"Not Found"))</f>
        <v>6.5</v>
      </c>
      <c r="P61" s="5">
        <f>IFERROR(VLOOKUP($A61,Actual!$A:$D,3,FALSE),"0")</f>
        <v>6.0600000000000001E-2</v>
      </c>
    </row>
    <row r="62" spans="1:16" x14ac:dyDescent="0.2">
      <c r="A62" t="s">
        <v>297</v>
      </c>
      <c r="B62" t="s">
        <v>507</v>
      </c>
      <c r="C62" t="s">
        <v>17</v>
      </c>
      <c r="D62">
        <v>5800</v>
      </c>
      <c r="E62">
        <v>9.6347724346143</v>
      </c>
      <c r="F62">
        <v>10.69</v>
      </c>
      <c r="G62">
        <v>-1.05522756538569</v>
      </c>
      <c r="H62">
        <v>1.6611676611403901</v>
      </c>
      <c r="I62">
        <v>2.4086931086535701</v>
      </c>
      <c r="J62">
        <v>29.086931086535699</v>
      </c>
      <c r="K62">
        <v>4.04801418226603</v>
      </c>
      <c r="L62" t="s">
        <v>482</v>
      </c>
      <c r="M62">
        <v>1.9086262610873399</v>
      </c>
      <c r="N62">
        <v>41767527</v>
      </c>
      <c r="O62">
        <f>IFERROR(VLOOKUP($A62,Actual!$A:$D,4,FALSE),IFERROR(VLOOKUP($A62,FC!$A:$AD,29,FALSE),"Not Found"))</f>
        <v>3</v>
      </c>
      <c r="P62" s="5">
        <f>IFERROR(VLOOKUP($A62,Actual!$A:$D,3,FALSE),"0")</f>
        <v>6.7000000000000002E-3</v>
      </c>
    </row>
    <row r="63" spans="1:16" x14ac:dyDescent="0.2">
      <c r="A63" t="s">
        <v>104</v>
      </c>
      <c r="B63" t="s">
        <v>478</v>
      </c>
      <c r="C63" t="s">
        <v>17</v>
      </c>
      <c r="D63">
        <v>8300</v>
      </c>
      <c r="E63">
        <v>16.0335531637011</v>
      </c>
      <c r="F63">
        <v>14.23</v>
      </c>
      <c r="G63">
        <v>1.80355316370111</v>
      </c>
      <c r="H63">
        <v>1.9317533932169999</v>
      </c>
      <c r="I63">
        <v>4.0083882909252697</v>
      </c>
      <c r="J63">
        <v>45.083882909252701</v>
      </c>
      <c r="K63">
        <v>4.3853486974548703</v>
      </c>
      <c r="L63" t="s">
        <v>482</v>
      </c>
      <c r="M63">
        <v>2.9772544108942398</v>
      </c>
      <c r="N63">
        <v>41767505</v>
      </c>
      <c r="O63">
        <f>IFERROR(VLOOKUP($A63,Actual!$A:$D,4,FALSE),IFERROR(VLOOKUP($A63,FC!$A:$AD,29,FALSE),"Not Found"))</f>
        <v>4.5</v>
      </c>
      <c r="P63" s="5">
        <f>IFERROR(VLOOKUP($A63,Actual!$A:$D,3,FALSE),"0")</f>
        <v>2.69E-2</v>
      </c>
    </row>
    <row r="64" spans="1:16" x14ac:dyDescent="0.2">
      <c r="A64" t="s">
        <v>83</v>
      </c>
      <c r="B64" t="s">
        <v>487</v>
      </c>
      <c r="C64" t="s">
        <v>17</v>
      </c>
      <c r="D64">
        <v>5200</v>
      </c>
      <c r="E64">
        <v>10.7115132304439</v>
      </c>
      <c r="F64">
        <v>10.91</v>
      </c>
      <c r="G64">
        <v>-0.19848676955602801</v>
      </c>
      <c r="H64">
        <v>2.0599063904699899</v>
      </c>
      <c r="I64">
        <v>2.6778783076109902</v>
      </c>
      <c r="J64">
        <v>31.778783076109899</v>
      </c>
      <c r="K64">
        <v>3.6207237963601702</v>
      </c>
      <c r="L64" t="s">
        <v>482</v>
      </c>
      <c r="M64">
        <v>2.3181461828299699</v>
      </c>
      <c r="N64">
        <v>41767547</v>
      </c>
      <c r="O64">
        <f>IFERROR(VLOOKUP($A64,Actual!$A:$D,4,FALSE),IFERROR(VLOOKUP($A64,FC!$A:$AD,29,FALSE),"Not Found"))</f>
        <v>8</v>
      </c>
      <c r="P64" s="5">
        <f>IFERROR(VLOOKUP($A64,Actual!$A:$D,3,FALSE),"0")</f>
        <v>3.3700000000000001E-2</v>
      </c>
    </row>
    <row r="65" spans="1:16" x14ac:dyDescent="0.2">
      <c r="A65" t="s">
        <v>342</v>
      </c>
      <c r="B65" t="s">
        <v>510</v>
      </c>
      <c r="C65" t="s">
        <v>17</v>
      </c>
      <c r="D65">
        <v>3000</v>
      </c>
      <c r="E65">
        <v>5.42283886689368</v>
      </c>
      <c r="F65">
        <v>5.09</v>
      </c>
      <c r="G65">
        <v>0.33283886689368902</v>
      </c>
      <c r="H65">
        <v>1.8076129556312199</v>
      </c>
      <c r="I65">
        <v>1.35570971672342</v>
      </c>
      <c r="J65">
        <v>18.5570971672342</v>
      </c>
      <c r="K65">
        <v>0.69196823628479198</v>
      </c>
      <c r="L65" t="s">
        <v>482</v>
      </c>
      <c r="M65">
        <v>3.2050476779641501</v>
      </c>
      <c r="N65">
        <v>41767687</v>
      </c>
      <c r="O65">
        <f>IFERROR(VLOOKUP($A65,Actual!$A:$D,4,FALSE),IFERROR(VLOOKUP($A65,FC!$A:$AD,29,FALSE),"Not Found"))</f>
        <v>1.3</v>
      </c>
      <c r="P65" s="5">
        <f>IFERROR(VLOOKUP($A65,Actual!$A:$D,3,FALSE),"0")</f>
        <v>3.3999999999999998E-3</v>
      </c>
    </row>
    <row r="66" spans="1:16" x14ac:dyDescent="0.2">
      <c r="A66" t="s">
        <v>126</v>
      </c>
      <c r="B66" t="s">
        <v>488</v>
      </c>
      <c r="C66" t="s">
        <v>17</v>
      </c>
      <c r="D66">
        <v>3400</v>
      </c>
      <c r="E66">
        <v>6.6235741240306201</v>
      </c>
      <c r="F66">
        <v>7.75</v>
      </c>
      <c r="G66">
        <v>-1.1264258759693699</v>
      </c>
      <c r="H66">
        <v>1.94811003647959</v>
      </c>
      <c r="I66">
        <v>1.6558935310076499</v>
      </c>
      <c r="J66">
        <v>21.5589353100765</v>
      </c>
      <c r="K66">
        <v>0.79576347172751105</v>
      </c>
      <c r="L66" t="s">
        <v>482</v>
      </c>
      <c r="M66">
        <v>3.68844462442416</v>
      </c>
      <c r="N66">
        <v>41767641</v>
      </c>
      <c r="O66">
        <f>IFERROR(VLOOKUP($A66,Actual!$A:$D,4,FALSE),IFERROR(VLOOKUP($A66,FC!$A:$AD,29,FALSE),"Not Found"))</f>
        <v>11.4</v>
      </c>
      <c r="P66" s="5">
        <f>IFERROR(VLOOKUP($A66,Actual!$A:$D,3,FALSE),"0")</f>
        <v>2.3599999999999999E-2</v>
      </c>
    </row>
    <row r="67" spans="1:16" x14ac:dyDescent="0.2">
      <c r="A67" t="s">
        <v>337</v>
      </c>
      <c r="B67" t="s">
        <v>504</v>
      </c>
      <c r="C67" t="s">
        <v>17</v>
      </c>
      <c r="D67">
        <v>3500</v>
      </c>
      <c r="E67">
        <v>6.4718205895922098</v>
      </c>
      <c r="F67">
        <v>5.99</v>
      </c>
      <c r="G67">
        <v>0.48182058959221202</v>
      </c>
      <c r="H67">
        <v>1.84909159702634</v>
      </c>
      <c r="I67">
        <v>1.61795514739805</v>
      </c>
      <c r="J67">
        <v>21.179551473980499</v>
      </c>
      <c r="K67">
        <v>2.3872904151825298</v>
      </c>
      <c r="L67" t="s">
        <v>482</v>
      </c>
      <c r="M67">
        <v>1.9106187531438601</v>
      </c>
      <c r="N67">
        <v>41767619</v>
      </c>
      <c r="O67">
        <f>IFERROR(VLOOKUP($A67,Actual!$A:$D,4,FALSE),IFERROR(VLOOKUP($A67,FC!$A:$AD,29,FALSE),"Not Found"))</f>
        <v>10.6</v>
      </c>
      <c r="P67" s="5">
        <f>IFERROR(VLOOKUP($A67,Actual!$A:$D,3,FALSE),"0")</f>
        <v>3.3999999999999998E-3</v>
      </c>
    </row>
    <row r="68" spans="1:16" x14ac:dyDescent="0.2">
      <c r="A68" t="s">
        <v>145</v>
      </c>
      <c r="B68" t="s">
        <v>483</v>
      </c>
      <c r="C68" t="s">
        <v>17</v>
      </c>
      <c r="D68">
        <v>3900</v>
      </c>
      <c r="E68">
        <v>10.2320195575287</v>
      </c>
      <c r="F68">
        <v>8.9600000000000009</v>
      </c>
      <c r="G68">
        <v>1.27201955752879</v>
      </c>
      <c r="H68">
        <v>2.62359475834071</v>
      </c>
      <c r="I68">
        <v>2.5580048893821901</v>
      </c>
      <c r="J68">
        <v>30.5800488938219</v>
      </c>
      <c r="K68">
        <v>4.04801418226603</v>
      </c>
      <c r="L68" t="s">
        <v>482</v>
      </c>
      <c r="M68">
        <v>2.02693954257784</v>
      </c>
      <c r="N68">
        <v>41767597</v>
      </c>
      <c r="O68">
        <f>IFERROR(VLOOKUP($A68,Actual!$A:$D,4,FALSE),IFERROR(VLOOKUP($A68,FC!$A:$AD,29,FALSE),"Not Found"))</f>
        <v>4.3</v>
      </c>
      <c r="P68" s="5">
        <f>IFERROR(VLOOKUP($A68,Actual!$A:$D,3,FALSE),"0")</f>
        <v>1.8499999999999999E-2</v>
      </c>
    </row>
    <row r="69" spans="1:16" x14ac:dyDescent="0.2">
      <c r="A69" t="s">
        <v>266</v>
      </c>
      <c r="B69" t="s">
        <v>501</v>
      </c>
      <c r="C69" t="s">
        <v>5</v>
      </c>
      <c r="D69">
        <v>7000</v>
      </c>
      <c r="E69">
        <v>14.1014633096382</v>
      </c>
      <c r="F69">
        <v>12.09</v>
      </c>
      <c r="G69">
        <v>2.0114633096382</v>
      </c>
      <c r="H69">
        <v>2.0144947585197399</v>
      </c>
      <c r="I69">
        <v>3.5253658274095501</v>
      </c>
      <c r="J69">
        <v>40.2536582740955</v>
      </c>
      <c r="K69">
        <v>4.5732238658170701</v>
      </c>
      <c r="L69" t="s">
        <v>482</v>
      </c>
      <c r="M69">
        <v>2.5302165585216101</v>
      </c>
      <c r="N69">
        <v>41766455</v>
      </c>
      <c r="O69">
        <f>IFERROR(VLOOKUP($A69,Actual!$A:$D,4,FALSE),IFERROR(VLOOKUP($A69,FC!$A:$AD,29,FALSE),"Not Found"))</f>
        <v>19</v>
      </c>
      <c r="P69" s="5">
        <f>IFERROR(VLOOKUP($A69,Actual!$A:$D,3,FALSE),"0")</f>
        <v>8.3999999999999995E-3</v>
      </c>
    </row>
    <row r="70" spans="1:16" x14ac:dyDescent="0.2">
      <c r="A70" t="s">
        <v>174</v>
      </c>
      <c r="B70" t="s">
        <v>484</v>
      </c>
      <c r="C70" t="s">
        <v>17</v>
      </c>
      <c r="D70">
        <v>2800</v>
      </c>
      <c r="E70">
        <v>6.3603513539180296</v>
      </c>
      <c r="F70">
        <v>6.81</v>
      </c>
      <c r="G70">
        <v>-0.44964864608196597</v>
      </c>
      <c r="H70">
        <v>2.27155405497072</v>
      </c>
      <c r="I70">
        <v>1.5900878384795001</v>
      </c>
      <c r="J70">
        <v>20.900878384795</v>
      </c>
      <c r="K70">
        <v>0.69196823628479198</v>
      </c>
      <c r="L70" t="s">
        <v>482</v>
      </c>
      <c r="M70">
        <v>3.7591434741612102</v>
      </c>
      <c r="N70">
        <v>41767743</v>
      </c>
      <c r="O70">
        <f>IFERROR(VLOOKUP($A70,Actual!$A:$D,4,FALSE),IFERROR(VLOOKUP($A70,FC!$A:$AD,29,FALSE),"Not Found"))</f>
        <v>1.3</v>
      </c>
      <c r="P70" s="5">
        <f>IFERROR(VLOOKUP($A70,Actual!$A:$D,3,FALSE),"0")</f>
        <v>1.52E-2</v>
      </c>
    </row>
    <row r="71" spans="1:16" x14ac:dyDescent="0.2">
      <c r="A71" t="s">
        <v>48</v>
      </c>
      <c r="B71" t="s">
        <v>481</v>
      </c>
      <c r="C71" t="s">
        <v>17</v>
      </c>
      <c r="D71">
        <v>6200</v>
      </c>
      <c r="E71">
        <v>14.865047681942199</v>
      </c>
      <c r="F71">
        <v>12.14</v>
      </c>
      <c r="G71">
        <v>2.7250476819422702</v>
      </c>
      <c r="H71">
        <v>2.3975883357971401</v>
      </c>
      <c r="I71">
        <v>3.71626192048556</v>
      </c>
      <c r="J71">
        <v>42.162619204855602</v>
      </c>
      <c r="K71">
        <v>4.04801418226603</v>
      </c>
      <c r="L71" t="s">
        <v>482</v>
      </c>
      <c r="M71">
        <v>2.94473175890908</v>
      </c>
      <c r="N71">
        <v>41767519</v>
      </c>
      <c r="O71">
        <f>IFERROR(VLOOKUP($A71,Actual!$A:$D,4,FALSE),IFERROR(VLOOKUP($A71,FC!$A:$AD,29,FALSE),"Not Found"))</f>
        <v>32</v>
      </c>
      <c r="P71" s="5">
        <f>IFERROR(VLOOKUP($A71,Actual!$A:$D,3,FALSE),"0")</f>
        <v>5.0500000000000003E-2</v>
      </c>
    </row>
    <row r="72" spans="1:16" x14ac:dyDescent="0.2">
      <c r="A72" t="s">
        <v>80</v>
      </c>
      <c r="B72" t="s">
        <v>493</v>
      </c>
      <c r="C72" t="s">
        <v>10</v>
      </c>
      <c r="D72">
        <v>6500</v>
      </c>
      <c r="E72">
        <v>8.9628092313703895</v>
      </c>
      <c r="F72">
        <v>6.56</v>
      </c>
      <c r="G72">
        <v>2.4028092313703899</v>
      </c>
      <c r="H72">
        <v>1.3788937279031299</v>
      </c>
      <c r="I72">
        <v>2.2407023078425898</v>
      </c>
      <c r="J72">
        <v>27.407023078425901</v>
      </c>
      <c r="K72">
        <v>0.43889794935661702</v>
      </c>
      <c r="L72" t="s">
        <v>482</v>
      </c>
      <c r="M72">
        <v>6.2289401658943104</v>
      </c>
      <c r="N72">
        <v>41766841</v>
      </c>
      <c r="O72">
        <f>IFERROR(VLOOKUP($A72,Actual!$A:$D,4,FALSE),IFERROR(VLOOKUP($A72,FC!$A:$AD,29,FALSE),"Not Found"))</f>
        <v>35.5</v>
      </c>
      <c r="P72" s="5">
        <f>IFERROR(VLOOKUP($A72,Actual!$A:$D,3,FALSE),"0")</f>
        <v>3.5400000000000001E-2</v>
      </c>
    </row>
    <row r="73" spans="1:16" x14ac:dyDescent="0.2">
      <c r="A73" t="s">
        <v>160</v>
      </c>
      <c r="B73" t="s">
        <v>494</v>
      </c>
      <c r="C73" t="s">
        <v>17</v>
      </c>
      <c r="D73">
        <v>6000</v>
      </c>
      <c r="E73">
        <v>12.4037718350926</v>
      </c>
      <c r="F73">
        <v>10.18</v>
      </c>
      <c r="G73">
        <v>2.2237718350926201</v>
      </c>
      <c r="H73">
        <v>2.06729530584877</v>
      </c>
      <c r="I73">
        <v>3.1009429587731501</v>
      </c>
      <c r="J73">
        <v>36.009429587731503</v>
      </c>
      <c r="K73">
        <v>3.1034775397372898</v>
      </c>
      <c r="L73" t="s">
        <v>482</v>
      </c>
      <c r="M73">
        <v>3.0227463693847101</v>
      </c>
      <c r="N73">
        <v>41767523</v>
      </c>
      <c r="O73">
        <f>IFERROR(VLOOKUP($A73,Actual!$A:$D,4,FALSE),IFERROR(VLOOKUP($A73,FC!$A:$AD,29,FALSE),"Not Found"))</f>
        <v>11.5</v>
      </c>
      <c r="P73" s="5">
        <f>IFERROR(VLOOKUP($A73,Actual!$A:$D,3,FALSE),"0")</f>
        <v>1.6799999999999999E-2</v>
      </c>
    </row>
    <row r="74" spans="1:16" x14ac:dyDescent="0.2">
      <c r="A74" t="s">
        <v>16</v>
      </c>
      <c r="B74" t="s">
        <v>486</v>
      </c>
      <c r="C74" t="s">
        <v>17</v>
      </c>
      <c r="D74">
        <v>3800</v>
      </c>
      <c r="E74">
        <v>9.9027723292515404</v>
      </c>
      <c r="F74">
        <v>9.69</v>
      </c>
      <c r="G74">
        <v>0.21277232925154399</v>
      </c>
      <c r="H74">
        <v>2.6059927182240901</v>
      </c>
      <c r="I74">
        <v>2.4756930823128802</v>
      </c>
      <c r="J74">
        <v>29.756930823128801</v>
      </c>
      <c r="K74">
        <v>4.04801418226603</v>
      </c>
      <c r="L74" t="s">
        <v>482</v>
      </c>
      <c r="M74">
        <v>1.9617164238643601</v>
      </c>
      <c r="N74">
        <v>41767605</v>
      </c>
      <c r="O74">
        <f>IFERROR(VLOOKUP($A74,Actual!$A:$D,4,FALSE),IFERROR(VLOOKUP($A74,FC!$A:$AD,29,FALSE),"Not Found"))</f>
        <v>11.3</v>
      </c>
      <c r="P74" s="5">
        <f>IFERROR(VLOOKUP($A74,Actual!$A:$D,3,FALSE),"0")</f>
        <v>0.1162</v>
      </c>
    </row>
    <row r="75" spans="1:16" x14ac:dyDescent="0.2">
      <c r="A75" t="s">
        <v>249</v>
      </c>
      <c r="B75" t="s">
        <v>493</v>
      </c>
      <c r="C75" t="s">
        <v>17</v>
      </c>
      <c r="D75">
        <v>3900</v>
      </c>
      <c r="E75">
        <v>7.9527501092861401</v>
      </c>
      <c r="F75">
        <v>7.16</v>
      </c>
      <c r="G75">
        <v>0.79275010928614298</v>
      </c>
      <c r="H75">
        <v>2.0391666946887499</v>
      </c>
      <c r="I75">
        <v>1.9881875273215299</v>
      </c>
      <c r="J75">
        <v>24.8818752732153</v>
      </c>
      <c r="K75">
        <v>2.0759047088543698</v>
      </c>
      <c r="L75" t="s">
        <v>482</v>
      </c>
      <c r="M75">
        <v>2.5854995073134499</v>
      </c>
      <c r="N75">
        <v>41767601</v>
      </c>
      <c r="O75">
        <f>IFERROR(VLOOKUP($A75,Actual!$A:$D,4,FALSE),IFERROR(VLOOKUP($A75,FC!$A:$AD,29,FALSE),"Not Found"))</f>
        <v>1.3</v>
      </c>
      <c r="P75" s="5">
        <f>IFERROR(VLOOKUP($A75,Actual!$A:$D,3,FALSE),"0")</f>
        <v>1.01E-2</v>
      </c>
    </row>
    <row r="76" spans="1:16" x14ac:dyDescent="0.2">
      <c r="A76" t="s">
        <v>410</v>
      </c>
      <c r="B76" t="s">
        <v>502</v>
      </c>
      <c r="C76" t="s">
        <v>17</v>
      </c>
      <c r="D76">
        <v>3000</v>
      </c>
      <c r="E76">
        <v>5.7684247652329796</v>
      </c>
      <c r="F76">
        <v>5.09</v>
      </c>
      <c r="G76">
        <v>0.678424765232987</v>
      </c>
      <c r="H76">
        <v>1.92280825507766</v>
      </c>
      <c r="I76">
        <v>1.44210619130824</v>
      </c>
      <c r="J76">
        <v>19.421061913082401</v>
      </c>
      <c r="K76">
        <v>0.69196823628479198</v>
      </c>
      <c r="L76" t="s">
        <v>482</v>
      </c>
      <c r="M76">
        <v>3.4092984971746501</v>
      </c>
      <c r="N76">
        <v>41767693</v>
      </c>
      <c r="O76">
        <f>IFERROR(VLOOKUP($A76,Actual!$A:$D,4,FALSE),IFERROR(VLOOKUP($A76,FC!$A:$AD,29,FALSE),"Not Found"))</f>
        <v>2.6</v>
      </c>
      <c r="P76" s="5">
        <f>IFERROR(VLOOKUP($A76,Actual!$A:$D,3,FALSE),"0")</f>
        <v>1.6999999999999999E-3</v>
      </c>
    </row>
    <row r="77" spans="1:16" x14ac:dyDescent="0.2">
      <c r="A77" t="s">
        <v>254</v>
      </c>
      <c r="B77" t="s">
        <v>509</v>
      </c>
      <c r="C77" t="s">
        <v>17</v>
      </c>
      <c r="D77">
        <v>3400</v>
      </c>
      <c r="E77">
        <v>7.1366134148466998</v>
      </c>
      <c r="F77">
        <v>5.88</v>
      </c>
      <c r="G77">
        <v>1.2566134148467001</v>
      </c>
      <c r="H77">
        <v>2.09900394554314</v>
      </c>
      <c r="I77">
        <v>1.7841533537116701</v>
      </c>
      <c r="J77">
        <v>22.8415335371167</v>
      </c>
      <c r="K77">
        <v>1.03795235442718</v>
      </c>
      <c r="L77" t="s">
        <v>482</v>
      </c>
      <c r="M77">
        <v>3.5018548884832001</v>
      </c>
      <c r="N77">
        <v>41767635</v>
      </c>
      <c r="O77">
        <f>IFERROR(VLOOKUP($A77,Actual!$A:$D,4,FALSE),IFERROR(VLOOKUP($A77,FC!$A:$AD,29,FALSE),"Not Found"))</f>
        <v>1.3</v>
      </c>
      <c r="P77" s="5">
        <f>IFERROR(VLOOKUP($A77,Actual!$A:$D,3,FALSE),"0")</f>
        <v>8.3999999999999995E-3</v>
      </c>
    </row>
    <row r="78" spans="1:16" x14ac:dyDescent="0.2">
      <c r="A78" t="s">
        <v>293</v>
      </c>
      <c r="B78" t="s">
        <v>497</v>
      </c>
      <c r="C78" t="s">
        <v>17</v>
      </c>
      <c r="D78">
        <v>2500</v>
      </c>
      <c r="E78">
        <v>5.8154077528073502</v>
      </c>
      <c r="F78">
        <v>4.87</v>
      </c>
      <c r="G78">
        <v>0.945407752807359</v>
      </c>
      <c r="H78">
        <v>2.32616310112294</v>
      </c>
      <c r="I78">
        <v>1.45385193820183</v>
      </c>
      <c r="J78">
        <v>19.5385193820184</v>
      </c>
      <c r="K78">
        <v>0.69196823628479198</v>
      </c>
      <c r="L78" t="s">
        <v>482</v>
      </c>
      <c r="M78">
        <v>3.43706674161731</v>
      </c>
      <c r="N78">
        <v>41767823</v>
      </c>
      <c r="O78">
        <f>IFERROR(VLOOKUP($A78,Actual!$A:$D,4,FALSE),IFERROR(VLOOKUP($A78,FC!$A:$AD,29,FALSE),"Not Found"))</f>
        <v>6.5</v>
      </c>
      <c r="P78" s="5">
        <f>IFERROR(VLOOKUP($A78,Actual!$A:$D,3,FALSE),"0")</f>
        <v>6.7000000000000002E-3</v>
      </c>
    </row>
    <row r="79" spans="1:16" x14ac:dyDescent="0.2">
      <c r="A79" t="s">
        <v>207</v>
      </c>
      <c r="B79" t="s">
        <v>490</v>
      </c>
      <c r="C79" t="s">
        <v>17</v>
      </c>
      <c r="D79">
        <v>3500</v>
      </c>
      <c r="E79">
        <v>5.9483711237924499</v>
      </c>
      <c r="F79">
        <v>7.48</v>
      </c>
      <c r="G79">
        <v>-1.5316288762075401</v>
      </c>
      <c r="H79">
        <v>1.6995346067978401</v>
      </c>
      <c r="I79">
        <v>1.48709278094811</v>
      </c>
      <c r="J79">
        <v>19.870927809481099</v>
      </c>
      <c r="K79">
        <v>2.0759047088543698</v>
      </c>
      <c r="L79" t="s">
        <v>482</v>
      </c>
      <c r="M79">
        <v>1.9338606643662599</v>
      </c>
      <c r="N79">
        <v>41767623</v>
      </c>
      <c r="O79">
        <f>IFERROR(VLOOKUP($A79,Actual!$A:$D,4,FALSE),IFERROR(VLOOKUP($A79,FC!$A:$AD,29,FALSE),"Not Found"))</f>
        <v>11.8</v>
      </c>
      <c r="P79" s="5">
        <f>IFERROR(VLOOKUP($A79,Actual!$A:$D,3,FALSE),"0")</f>
        <v>1.18E-2</v>
      </c>
    </row>
    <row r="80" spans="1:16" x14ac:dyDescent="0.2">
      <c r="A80" t="s">
        <v>129</v>
      </c>
      <c r="B80" t="s">
        <v>490</v>
      </c>
      <c r="C80" t="s">
        <v>17</v>
      </c>
      <c r="D80">
        <v>4400</v>
      </c>
      <c r="E80">
        <v>9.9329545042494392</v>
      </c>
      <c r="F80">
        <v>8.84</v>
      </c>
      <c r="G80">
        <v>1.09295450424943</v>
      </c>
      <c r="H80">
        <v>2.2574896600566898</v>
      </c>
      <c r="I80">
        <v>2.4832386260623598</v>
      </c>
      <c r="J80">
        <v>29.832386260623501</v>
      </c>
      <c r="K80">
        <v>4.04801418226603</v>
      </c>
      <c r="L80" t="s">
        <v>482</v>
      </c>
      <c r="M80">
        <v>1.9676954433179801</v>
      </c>
      <c r="N80">
        <v>41767575</v>
      </c>
      <c r="O80">
        <f>IFERROR(VLOOKUP($A80,Actual!$A:$D,4,FALSE),IFERROR(VLOOKUP($A80,FC!$A:$AD,29,FALSE),"Not Found"))</f>
        <v>15.6</v>
      </c>
      <c r="P80" s="5">
        <f>IFERROR(VLOOKUP($A80,Actual!$A:$D,3,FALSE),"0")</f>
        <v>2.1899999999999999E-2</v>
      </c>
    </row>
    <row r="81" spans="1:16" x14ac:dyDescent="0.2">
      <c r="A81" t="s">
        <v>164</v>
      </c>
      <c r="B81" t="s">
        <v>493</v>
      </c>
      <c r="C81" t="s">
        <v>5</v>
      </c>
      <c r="D81">
        <v>6900</v>
      </c>
      <c r="E81">
        <v>14.381923495976601</v>
      </c>
      <c r="F81">
        <v>12.15</v>
      </c>
      <c r="G81">
        <v>2.2319234959766199</v>
      </c>
      <c r="H81">
        <v>2.0843367385473299</v>
      </c>
      <c r="I81">
        <v>3.5954808739941502</v>
      </c>
      <c r="J81">
        <v>40.954808739941498</v>
      </c>
      <c r="K81">
        <v>1.18868194617417</v>
      </c>
      <c r="L81" t="s">
        <v>482</v>
      </c>
      <c r="M81">
        <v>6.5710431436218002</v>
      </c>
      <c r="N81">
        <v>41766825</v>
      </c>
      <c r="O81">
        <f>IFERROR(VLOOKUP($A81,Actual!$A:$D,4,FALSE),IFERROR(VLOOKUP($A81,FC!$A:$AD,29,FALSE),"Not Found"))</f>
        <v>20.6</v>
      </c>
      <c r="P81" s="5">
        <f>IFERROR(VLOOKUP($A81,Actual!$A:$D,3,FALSE),"0")</f>
        <v>1.6799999999999999E-2</v>
      </c>
    </row>
    <row r="82" spans="1:16" x14ac:dyDescent="0.2">
      <c r="A82" t="s">
        <v>14</v>
      </c>
      <c r="B82" t="s">
        <v>484</v>
      </c>
      <c r="C82" t="s">
        <v>5</v>
      </c>
      <c r="D82">
        <v>9800</v>
      </c>
      <c r="E82">
        <v>19.312622448477001</v>
      </c>
      <c r="F82">
        <v>17.38</v>
      </c>
      <c r="G82">
        <v>1.93262244847704</v>
      </c>
      <c r="H82">
        <v>1.97067576004867</v>
      </c>
      <c r="I82">
        <v>4.8281556121192599</v>
      </c>
      <c r="J82">
        <v>53.281556121192601</v>
      </c>
      <c r="K82">
        <v>7.6753407538188601</v>
      </c>
      <c r="L82" t="s">
        <v>479</v>
      </c>
      <c r="M82">
        <v>2.2261514557771802</v>
      </c>
      <c r="N82">
        <v>41766437</v>
      </c>
      <c r="O82">
        <f>IFERROR(VLOOKUP($A82,Actual!$A:$D,4,FALSE),IFERROR(VLOOKUP($A82,FC!$A:$AD,29,FALSE),"Not Found"))</f>
        <v>6.5</v>
      </c>
      <c r="P82" s="5">
        <f>IFERROR(VLOOKUP($A82,Actual!$A:$D,3,FALSE),"0")</f>
        <v>0.1178</v>
      </c>
    </row>
    <row r="83" spans="1:16" x14ac:dyDescent="0.2">
      <c r="A83" t="s">
        <v>265</v>
      </c>
      <c r="B83" t="s">
        <v>508</v>
      </c>
      <c r="C83" t="s">
        <v>17</v>
      </c>
      <c r="D83">
        <v>3400</v>
      </c>
      <c r="E83">
        <v>7.1325786418568899</v>
      </c>
      <c r="F83">
        <v>6.04</v>
      </c>
      <c r="G83">
        <v>1.0925786418568899</v>
      </c>
      <c r="H83">
        <v>2.0978172476049601</v>
      </c>
      <c r="I83">
        <v>1.78314466046422</v>
      </c>
      <c r="J83">
        <v>22.831446604642199</v>
      </c>
      <c r="K83">
        <v>0.79576347172751105</v>
      </c>
      <c r="L83" t="s">
        <v>482</v>
      </c>
      <c r="M83">
        <v>3.9718920415478798</v>
      </c>
      <c r="N83">
        <v>41767637</v>
      </c>
      <c r="O83">
        <f>IFERROR(VLOOKUP($A83,Actual!$A:$D,4,FALSE),IFERROR(VLOOKUP($A83,FC!$A:$AD,29,FALSE),"Not Found"))</f>
        <v>2.8</v>
      </c>
      <c r="P83" s="5">
        <f>IFERROR(VLOOKUP($A83,Actual!$A:$D,3,FALSE),"0")</f>
        <v>8.3999999999999995E-3</v>
      </c>
    </row>
    <row r="84" spans="1:16" x14ac:dyDescent="0.2">
      <c r="A84" t="s">
        <v>213</v>
      </c>
      <c r="B84" t="s">
        <v>483</v>
      </c>
      <c r="C84" t="s">
        <v>5</v>
      </c>
      <c r="D84">
        <v>9600</v>
      </c>
      <c r="E84">
        <v>19.583611735661002</v>
      </c>
      <c r="F84">
        <v>16.04</v>
      </c>
      <c r="G84">
        <v>3.543611735661</v>
      </c>
      <c r="H84">
        <v>2.0399595557980201</v>
      </c>
      <c r="I84">
        <v>4.8959029339152504</v>
      </c>
      <c r="J84">
        <v>53.959029339152501</v>
      </c>
      <c r="K84">
        <v>7.6753407538188601</v>
      </c>
      <c r="L84" t="s">
        <v>479</v>
      </c>
      <c r="M84">
        <v>2.2573881869758599</v>
      </c>
      <c r="N84">
        <v>41766441</v>
      </c>
      <c r="O84">
        <f>IFERROR(VLOOKUP($A84,Actual!$A:$D,4,FALSE),IFERROR(VLOOKUP($A84,FC!$A:$AD,29,FALSE),"Not Found"))</f>
        <v>0</v>
      </c>
      <c r="P84" s="5">
        <f>IFERROR(VLOOKUP($A84,Actual!$A:$D,3,FALSE),"0")</f>
        <v>1.18E-2</v>
      </c>
    </row>
    <row r="85" spans="1:16" x14ac:dyDescent="0.2">
      <c r="A85" t="s">
        <v>18</v>
      </c>
      <c r="B85" t="s">
        <v>485</v>
      </c>
      <c r="C85" t="s">
        <v>10</v>
      </c>
      <c r="D85">
        <v>9300</v>
      </c>
      <c r="E85">
        <v>18.3719977823608</v>
      </c>
      <c r="F85">
        <v>15.94</v>
      </c>
      <c r="G85">
        <v>2.4319977823608601</v>
      </c>
      <c r="H85">
        <v>1.9754836325119201</v>
      </c>
      <c r="I85">
        <v>4.5929994455902099</v>
      </c>
      <c r="J85">
        <v>50.929994455902097</v>
      </c>
      <c r="K85">
        <v>1.72899192170788</v>
      </c>
      <c r="L85" t="s">
        <v>482</v>
      </c>
      <c r="M85">
        <v>6.7321554293436998</v>
      </c>
      <c r="N85">
        <v>41766797</v>
      </c>
      <c r="O85">
        <f>IFERROR(VLOOKUP($A85,Actual!$A:$D,4,FALSE),IFERROR(VLOOKUP($A85,FC!$A:$AD,29,FALSE),"Not Found"))</f>
        <v>1.5</v>
      </c>
      <c r="P85" s="5">
        <f>IFERROR(VLOOKUP($A85,Actual!$A:$D,3,FALSE),"0")</f>
        <v>0.1128</v>
      </c>
    </row>
    <row r="86" spans="1:16" x14ac:dyDescent="0.2">
      <c r="A86" t="s">
        <v>186</v>
      </c>
      <c r="B86" t="s">
        <v>490</v>
      </c>
      <c r="C86" t="s">
        <v>17</v>
      </c>
      <c r="D86">
        <v>3000</v>
      </c>
      <c r="E86">
        <v>9.0131177475186206</v>
      </c>
      <c r="F86">
        <v>7.26</v>
      </c>
      <c r="G86">
        <v>1.7531177475186199</v>
      </c>
      <c r="H86">
        <v>3.0043725825062002</v>
      </c>
      <c r="I86">
        <v>2.2532794368796498</v>
      </c>
      <c r="J86">
        <v>27.532794368796502</v>
      </c>
      <c r="K86">
        <v>1.55173876986864</v>
      </c>
      <c r="L86" t="s">
        <v>482</v>
      </c>
      <c r="M86">
        <v>3.5321475120992001</v>
      </c>
      <c r="N86">
        <v>41767695</v>
      </c>
      <c r="O86">
        <f>IFERROR(VLOOKUP($A86,Actual!$A:$D,4,FALSE),IFERROR(VLOOKUP($A86,FC!$A:$AD,29,FALSE),"Not Found"))</f>
        <v>1.5</v>
      </c>
      <c r="P86" s="5">
        <f>IFERROR(VLOOKUP($A86,Actual!$A:$D,3,FALSE),"0")</f>
        <v>1.52E-2</v>
      </c>
    </row>
    <row r="87" spans="1:16" x14ac:dyDescent="0.2">
      <c r="A87" t="s">
        <v>4</v>
      </c>
      <c r="B87" t="s">
        <v>489</v>
      </c>
      <c r="C87" t="s">
        <v>5</v>
      </c>
      <c r="D87">
        <v>5000</v>
      </c>
      <c r="E87">
        <v>11.1952912132984</v>
      </c>
      <c r="F87">
        <v>9.6300000000000008</v>
      </c>
      <c r="G87">
        <v>1.56529121329842</v>
      </c>
      <c r="H87">
        <v>2.2390582426596799</v>
      </c>
      <c r="I87">
        <v>2.7988228033246001</v>
      </c>
      <c r="J87">
        <v>32.988228033246003</v>
      </c>
      <c r="K87">
        <v>7.6753407538188601</v>
      </c>
      <c r="L87" t="s">
        <v>479</v>
      </c>
      <c r="M87">
        <v>1.2904727930566</v>
      </c>
      <c r="N87">
        <v>41766509</v>
      </c>
      <c r="O87">
        <f>IFERROR(VLOOKUP($A87,Actual!$A:$D,4,FALSE),IFERROR(VLOOKUP($A87,FC!$A:$AD,29,FALSE),"Not Found"))</f>
        <v>3</v>
      </c>
      <c r="P87" s="5">
        <f>IFERROR(VLOOKUP($A87,Actual!$A:$D,3,FALSE),"0")</f>
        <v>0.25590000000000002</v>
      </c>
    </row>
    <row r="88" spans="1:16" x14ac:dyDescent="0.2">
      <c r="A88" t="s">
        <v>244</v>
      </c>
      <c r="B88" t="s">
        <v>496</v>
      </c>
      <c r="C88" t="s">
        <v>10</v>
      </c>
      <c r="D88">
        <v>6900</v>
      </c>
      <c r="E88">
        <v>15.268415470751201</v>
      </c>
      <c r="F88">
        <v>13.43</v>
      </c>
      <c r="G88">
        <v>1.8384154707512801</v>
      </c>
      <c r="H88">
        <v>2.2128138363407599</v>
      </c>
      <c r="I88">
        <v>3.8171038676878202</v>
      </c>
      <c r="J88">
        <v>43.171038676878197</v>
      </c>
      <c r="K88">
        <v>1.18868194617417</v>
      </c>
      <c r="L88" t="s">
        <v>482</v>
      </c>
      <c r="M88">
        <v>6.9760777702034504</v>
      </c>
      <c r="N88">
        <v>41766823</v>
      </c>
      <c r="O88">
        <f>IFERROR(VLOOKUP($A88,Actual!$A:$D,4,FALSE),IFERROR(VLOOKUP($A88,FC!$A:$AD,29,FALSE),"Not Found"))</f>
        <v>19</v>
      </c>
      <c r="P88" s="5">
        <f>IFERROR(VLOOKUP($A88,Actual!$A:$D,3,FALSE),"0")</f>
        <v>1.01E-2</v>
      </c>
    </row>
    <row r="89" spans="1:16" x14ac:dyDescent="0.2">
      <c r="A89" t="s">
        <v>46</v>
      </c>
      <c r="B89" t="s">
        <v>480</v>
      </c>
      <c r="C89" t="s">
        <v>17</v>
      </c>
      <c r="D89">
        <v>4500</v>
      </c>
      <c r="E89">
        <v>8.8375860146471297</v>
      </c>
      <c r="F89">
        <v>9.49</v>
      </c>
      <c r="G89">
        <v>-0.65241398535286999</v>
      </c>
      <c r="H89">
        <v>1.9639080032549101</v>
      </c>
      <c r="I89">
        <v>2.2093965036617802</v>
      </c>
      <c r="J89">
        <v>27.093965036617799</v>
      </c>
      <c r="K89">
        <v>3.1484554750957998</v>
      </c>
      <c r="L89" t="s">
        <v>482</v>
      </c>
      <c r="M89">
        <v>2.1303316542027</v>
      </c>
      <c r="N89">
        <v>41767569</v>
      </c>
      <c r="O89">
        <f>IFERROR(VLOOKUP($A89,Actual!$A:$D,4,FALSE),IFERROR(VLOOKUP($A89,FC!$A:$AD,29,FALSE),"Not Found"))</f>
        <v>5.8</v>
      </c>
      <c r="P89" s="5">
        <f>IFERROR(VLOOKUP($A89,Actual!$A:$D,3,FALSE),"0")</f>
        <v>5.2200000000000003E-2</v>
      </c>
    </row>
    <row r="90" spans="1:16" x14ac:dyDescent="0.2">
      <c r="A90" t="s">
        <v>279</v>
      </c>
      <c r="B90" t="s">
        <v>486</v>
      </c>
      <c r="C90" t="s">
        <v>17</v>
      </c>
      <c r="D90">
        <v>3100</v>
      </c>
      <c r="E90">
        <v>7.6731174221715204</v>
      </c>
      <c r="F90">
        <v>5.48</v>
      </c>
      <c r="G90">
        <v>2.1931174221715199</v>
      </c>
      <c r="H90">
        <v>2.4751991684424199</v>
      </c>
      <c r="I90">
        <v>1.9182793555428801</v>
      </c>
      <c r="J90">
        <v>24.182793555428798</v>
      </c>
      <c r="K90">
        <v>0.69196823628479198</v>
      </c>
      <c r="L90" t="s">
        <v>482</v>
      </c>
      <c r="M90">
        <v>4.5350245102828097</v>
      </c>
      <c r="N90">
        <v>41767681</v>
      </c>
      <c r="O90">
        <f>IFERROR(VLOOKUP($A90,Actual!$A:$D,4,FALSE),IFERROR(VLOOKUP($A90,FC!$A:$AD,29,FALSE),"Not Found"))</f>
        <v>4.5</v>
      </c>
      <c r="P90" s="5">
        <f>IFERROR(VLOOKUP($A90,Actual!$A:$D,3,FALSE),"0")</f>
        <v>8.3999999999999995E-3</v>
      </c>
    </row>
    <row r="91" spans="1:16" x14ac:dyDescent="0.2">
      <c r="A91" t="s">
        <v>463</v>
      </c>
      <c r="B91" t="s">
        <v>484</v>
      </c>
      <c r="C91" t="s">
        <v>17</v>
      </c>
      <c r="D91">
        <v>3300</v>
      </c>
      <c r="E91">
        <v>6.8351456755389997</v>
      </c>
      <c r="F91">
        <v>5.3</v>
      </c>
      <c r="G91">
        <v>1.5351456755390001</v>
      </c>
      <c r="H91">
        <v>2.0712562653148399</v>
      </c>
      <c r="I91">
        <v>1.7087864188847499</v>
      </c>
      <c r="J91">
        <v>22.087864188847501</v>
      </c>
      <c r="K91">
        <v>0.79576347172751105</v>
      </c>
      <c r="L91" t="s">
        <v>482</v>
      </c>
      <c r="M91">
        <v>3.8062616726264298</v>
      </c>
      <c r="N91">
        <v>41767653</v>
      </c>
      <c r="O91">
        <f>IFERROR(VLOOKUP($A91,Actual!$A:$D,4,FALSE),IFERROR(VLOOKUP($A91,FC!$A:$AD,29,FALSE),"Not Found"))</f>
        <v>2.6</v>
      </c>
      <c r="P91" s="5">
        <f>IFERROR(VLOOKUP($A91,Actual!$A:$D,3,FALSE),"0")</f>
        <v>1.6999999999999999E-3</v>
      </c>
    </row>
    <row r="92" spans="1:16" x14ac:dyDescent="0.2">
      <c r="A92" t="s">
        <v>223</v>
      </c>
      <c r="B92" t="s">
        <v>488</v>
      </c>
      <c r="C92" t="s">
        <v>10</v>
      </c>
      <c r="D92">
        <v>7400</v>
      </c>
      <c r="E92">
        <v>14.7038279419384</v>
      </c>
      <c r="F92">
        <v>12.82</v>
      </c>
      <c r="G92">
        <v>1.8838279419384201</v>
      </c>
      <c r="H92">
        <v>1.98700377593762</v>
      </c>
      <c r="I92">
        <v>3.6759569854845999</v>
      </c>
      <c r="J92">
        <v>41.759569854845999</v>
      </c>
      <c r="K92">
        <v>1.18868194617417</v>
      </c>
      <c r="L92" t="s">
        <v>482</v>
      </c>
      <c r="M92">
        <v>6.7181199934694797</v>
      </c>
      <c r="N92">
        <v>41766811</v>
      </c>
      <c r="O92">
        <f>IFERROR(VLOOKUP($A92,Actual!$A:$D,4,FALSE),IFERROR(VLOOKUP($A92,FC!$A:$AD,29,FALSE),"Not Found"))</f>
        <v>9.3000000000000007</v>
      </c>
      <c r="P92" s="5">
        <f>IFERROR(VLOOKUP($A92,Actual!$A:$D,3,FALSE),"0")</f>
        <v>1.18E-2</v>
      </c>
    </row>
    <row r="93" spans="1:16" x14ac:dyDescent="0.2">
      <c r="A93" t="s">
        <v>44</v>
      </c>
      <c r="B93" t="s">
        <v>493</v>
      </c>
      <c r="C93" t="s">
        <v>5</v>
      </c>
      <c r="D93">
        <v>6400</v>
      </c>
      <c r="E93">
        <v>12.866425573575199</v>
      </c>
      <c r="F93">
        <v>10.210000000000001</v>
      </c>
      <c r="G93">
        <v>2.65642557357523</v>
      </c>
      <c r="H93">
        <v>2.0103789958711298</v>
      </c>
      <c r="I93">
        <v>3.2166063933937998</v>
      </c>
      <c r="J93">
        <v>37.166063933937998</v>
      </c>
      <c r="K93">
        <v>3.9911771919858099</v>
      </c>
      <c r="L93" t="s">
        <v>482</v>
      </c>
      <c r="M93">
        <v>2.5778338613653</v>
      </c>
      <c r="N93">
        <v>41766467</v>
      </c>
      <c r="O93">
        <f>IFERROR(VLOOKUP($A93,Actual!$A:$D,4,FALSE),IFERROR(VLOOKUP($A93,FC!$A:$AD,29,FALSE),"Not Found"))</f>
        <v>5</v>
      </c>
      <c r="P93" s="5">
        <f>IFERROR(VLOOKUP($A93,Actual!$A:$D,3,FALSE),"0")</f>
        <v>5.3900000000000003E-2</v>
      </c>
    </row>
    <row r="94" spans="1:16" x14ac:dyDescent="0.2">
      <c r="A94" t="s">
        <v>176</v>
      </c>
      <c r="B94" t="s">
        <v>501</v>
      </c>
      <c r="C94" t="s">
        <v>5</v>
      </c>
      <c r="D94">
        <v>5800</v>
      </c>
      <c r="E94">
        <v>11.2793229096741</v>
      </c>
      <c r="F94">
        <v>9.16</v>
      </c>
      <c r="G94">
        <v>2.1193229096741102</v>
      </c>
      <c r="H94">
        <v>1.9447108464955301</v>
      </c>
      <c r="I94">
        <v>2.8198307274185201</v>
      </c>
      <c r="J94">
        <v>33.198307274185296</v>
      </c>
      <c r="K94">
        <v>1.2967439412809101</v>
      </c>
      <c r="L94" t="s">
        <v>482</v>
      </c>
      <c r="M94">
        <v>4.9110058404610504</v>
      </c>
      <c r="N94">
        <v>41766867</v>
      </c>
      <c r="O94">
        <f>IFERROR(VLOOKUP($A94,Actual!$A:$D,4,FALSE),IFERROR(VLOOKUP($A94,FC!$A:$AD,29,FALSE),"Not Found"))</f>
        <v>9.3000000000000007</v>
      </c>
      <c r="P94" s="5">
        <f>IFERROR(VLOOKUP($A94,Actual!$A:$D,3,FALSE),"0")</f>
        <v>1.52E-2</v>
      </c>
    </row>
    <row r="95" spans="1:16" x14ac:dyDescent="0.2">
      <c r="A95" t="s">
        <v>65</v>
      </c>
      <c r="B95" t="s">
        <v>506</v>
      </c>
      <c r="C95" t="s">
        <v>5</v>
      </c>
      <c r="D95">
        <v>5300</v>
      </c>
      <c r="E95">
        <v>10.9933374063854</v>
      </c>
      <c r="F95">
        <v>10.48</v>
      </c>
      <c r="G95">
        <v>0.51333740638547898</v>
      </c>
      <c r="H95">
        <v>2.0742146049783901</v>
      </c>
      <c r="I95">
        <v>2.7483343515963701</v>
      </c>
      <c r="J95">
        <v>32.483343515963597</v>
      </c>
      <c r="K95">
        <v>5.8204667383126401</v>
      </c>
      <c r="L95" t="s">
        <v>479</v>
      </c>
      <c r="M95">
        <v>1.6118159985492699</v>
      </c>
      <c r="N95">
        <v>41766503</v>
      </c>
      <c r="O95">
        <f>IFERROR(VLOOKUP($A95,Actual!$A:$D,4,FALSE),IFERROR(VLOOKUP($A95,FC!$A:$AD,29,FALSE),"Not Found"))</f>
        <v>3</v>
      </c>
      <c r="P95" s="5">
        <f>IFERROR(VLOOKUP($A95,Actual!$A:$D,3,FALSE),"0")</f>
        <v>4.0399999999999998E-2</v>
      </c>
    </row>
    <row r="96" spans="1:16" x14ac:dyDescent="0.2">
      <c r="A96" t="s">
        <v>147</v>
      </c>
      <c r="B96" t="s">
        <v>481</v>
      </c>
      <c r="C96" t="s">
        <v>17</v>
      </c>
      <c r="D96">
        <v>3200</v>
      </c>
      <c r="E96">
        <v>7.8926799375978902</v>
      </c>
      <c r="F96">
        <v>6.52</v>
      </c>
      <c r="G96">
        <v>1.37267993759789</v>
      </c>
      <c r="H96">
        <v>2.4664624804993398</v>
      </c>
      <c r="I96">
        <v>1.9731699843994699</v>
      </c>
      <c r="J96">
        <v>24.731699843994701</v>
      </c>
      <c r="K96">
        <v>0.79576347172751105</v>
      </c>
      <c r="L96" t="s">
        <v>482</v>
      </c>
      <c r="M96">
        <v>4.3951667699339003</v>
      </c>
      <c r="N96">
        <v>41767667</v>
      </c>
      <c r="O96">
        <f>IFERROR(VLOOKUP($A96,Actual!$A:$D,4,FALSE),IFERROR(VLOOKUP($A96,FC!$A:$AD,29,FALSE),"Not Found"))</f>
        <v>9.5</v>
      </c>
      <c r="P96" s="5">
        <f>IFERROR(VLOOKUP($A96,Actual!$A:$D,3,FALSE),"0")</f>
        <v>1.8499999999999999E-2</v>
      </c>
    </row>
    <row r="97" spans="1:16" x14ac:dyDescent="0.2">
      <c r="A97" t="s">
        <v>152</v>
      </c>
      <c r="B97" t="s">
        <v>504</v>
      </c>
      <c r="C97" t="s">
        <v>10</v>
      </c>
      <c r="D97">
        <v>3800</v>
      </c>
      <c r="E97">
        <v>7.600969171239</v>
      </c>
      <c r="F97">
        <v>6.46</v>
      </c>
      <c r="G97">
        <v>1.140969171239</v>
      </c>
      <c r="H97">
        <v>2.00025504506289</v>
      </c>
      <c r="I97">
        <v>1.90024229280975</v>
      </c>
      <c r="J97">
        <v>24.002422928097499</v>
      </c>
      <c r="K97">
        <v>3.07013630152754</v>
      </c>
      <c r="L97" t="s">
        <v>482</v>
      </c>
      <c r="M97">
        <v>1.86749745171588</v>
      </c>
      <c r="N97">
        <v>41766551</v>
      </c>
      <c r="O97">
        <f>IFERROR(VLOOKUP($A97,Actual!$A:$D,4,FALSE),IFERROR(VLOOKUP($A97,FC!$A:$AD,29,FALSE),"Not Found"))</f>
        <v>13</v>
      </c>
      <c r="P97" s="5">
        <f>IFERROR(VLOOKUP($A97,Actual!$A:$D,3,FALSE),"0")</f>
        <v>1.8499999999999999E-2</v>
      </c>
    </row>
    <row r="98" spans="1:16" x14ac:dyDescent="0.2">
      <c r="A98" t="s">
        <v>415</v>
      </c>
      <c r="B98" t="s">
        <v>507</v>
      </c>
      <c r="C98" t="s">
        <v>17</v>
      </c>
      <c r="D98">
        <v>2800</v>
      </c>
      <c r="E98">
        <v>5.9890910826171204</v>
      </c>
      <c r="F98">
        <v>5.22</v>
      </c>
      <c r="G98">
        <v>0.769091082617122</v>
      </c>
      <c r="H98">
        <v>2.1389611009346798</v>
      </c>
      <c r="I98">
        <v>1.4972727706542801</v>
      </c>
      <c r="J98">
        <v>19.972727706542798</v>
      </c>
      <c r="K98">
        <v>0.69196823628479198</v>
      </c>
      <c r="L98" t="s">
        <v>482</v>
      </c>
      <c r="M98">
        <v>3.5397183907943202</v>
      </c>
      <c r="N98">
        <v>41767739</v>
      </c>
      <c r="O98">
        <f>IFERROR(VLOOKUP($A98,Actual!$A:$D,4,FALSE),IFERROR(VLOOKUP($A98,FC!$A:$AD,29,FALSE),"Not Found"))</f>
        <v>2.6</v>
      </c>
      <c r="P98" s="5">
        <f>IFERROR(VLOOKUP($A98,Actual!$A:$D,3,FALSE),"0")</f>
        <v>1.6999999999999999E-3</v>
      </c>
    </row>
    <row r="99" spans="1:16" x14ac:dyDescent="0.2">
      <c r="A99" t="s">
        <v>116</v>
      </c>
      <c r="B99" t="s">
        <v>504</v>
      </c>
      <c r="C99" t="s">
        <v>17</v>
      </c>
      <c r="D99">
        <v>3600</v>
      </c>
      <c r="E99">
        <v>5.9805387785336901</v>
      </c>
      <c r="F99">
        <v>7.91</v>
      </c>
      <c r="G99">
        <v>-1.9294612214663101</v>
      </c>
      <c r="H99">
        <v>1.6612607718149099</v>
      </c>
      <c r="I99">
        <v>1.4951346946334201</v>
      </c>
      <c r="J99">
        <v>19.951346946334201</v>
      </c>
      <c r="K99">
        <v>2.0759047088543698</v>
      </c>
      <c r="L99" t="s">
        <v>482</v>
      </c>
      <c r="M99">
        <v>1.9443186134206101</v>
      </c>
      <c r="N99">
        <v>41767613</v>
      </c>
      <c r="O99">
        <f>IFERROR(VLOOKUP($A99,Actual!$A:$D,4,FALSE),IFERROR(VLOOKUP($A99,FC!$A:$AD,29,FALSE),"Not Found"))</f>
        <v>9.9</v>
      </c>
      <c r="P99" s="5">
        <f>IFERROR(VLOOKUP($A99,Actual!$A:$D,3,FALSE),"0")</f>
        <v>2.53E-2</v>
      </c>
    </row>
    <row r="100" spans="1:16" x14ac:dyDescent="0.2">
      <c r="A100" t="s">
        <v>102</v>
      </c>
      <c r="B100" t="s">
        <v>509</v>
      </c>
      <c r="C100" t="s">
        <v>17</v>
      </c>
      <c r="D100">
        <v>3600</v>
      </c>
      <c r="E100">
        <v>7.47679264686374</v>
      </c>
      <c r="F100">
        <v>7.67</v>
      </c>
      <c r="G100">
        <v>-0.19320735313625401</v>
      </c>
      <c r="H100">
        <v>2.0768868463510399</v>
      </c>
      <c r="I100">
        <v>1.8691981617159299</v>
      </c>
      <c r="J100">
        <v>23.6919816171593</v>
      </c>
      <c r="K100">
        <v>2.0759047088543698</v>
      </c>
      <c r="L100" t="s">
        <v>482</v>
      </c>
      <c r="M100">
        <v>2.4307621186510899</v>
      </c>
      <c r="N100">
        <v>41767617</v>
      </c>
      <c r="O100">
        <f>IFERROR(VLOOKUP($A100,Actual!$A:$D,4,FALSE),IFERROR(VLOOKUP($A100,FC!$A:$AD,29,FALSE),"Not Found"))</f>
        <v>2.8</v>
      </c>
      <c r="P100" s="5">
        <f>IFERROR(VLOOKUP($A100,Actual!$A:$D,3,FALSE),"0")</f>
        <v>2.86E-2</v>
      </c>
    </row>
    <row r="101" spans="1:16" x14ac:dyDescent="0.2">
      <c r="A101" t="s">
        <v>63</v>
      </c>
      <c r="B101" t="s">
        <v>499</v>
      </c>
      <c r="C101" t="s">
        <v>17</v>
      </c>
      <c r="D101">
        <v>4800</v>
      </c>
      <c r="E101">
        <v>11.423191128327501</v>
      </c>
      <c r="F101">
        <v>8.67</v>
      </c>
      <c r="G101">
        <v>2.7531911283275599</v>
      </c>
      <c r="H101">
        <v>2.37983148506824</v>
      </c>
      <c r="I101">
        <v>2.8557977820818898</v>
      </c>
      <c r="J101">
        <v>33.557977820818898</v>
      </c>
      <c r="K101">
        <v>4.7226832126436999</v>
      </c>
      <c r="L101" t="s">
        <v>482</v>
      </c>
      <c r="M101">
        <v>1.99612501755979</v>
      </c>
      <c r="N101">
        <v>41767559</v>
      </c>
      <c r="O101">
        <f>IFERROR(VLOOKUP($A101,Actual!$A:$D,4,FALSE),IFERROR(VLOOKUP($A101,FC!$A:$AD,29,FALSE),"Not Found"))</f>
        <v>4.3</v>
      </c>
      <c r="P101" s="5">
        <f>IFERROR(VLOOKUP($A101,Actual!$A:$D,3,FALSE),"0")</f>
        <v>4.3799999999999999E-2</v>
      </c>
    </row>
    <row r="102" spans="1:16" x14ac:dyDescent="0.2">
      <c r="A102" t="s">
        <v>201</v>
      </c>
      <c r="B102" t="s">
        <v>505</v>
      </c>
      <c r="C102" t="s">
        <v>17</v>
      </c>
      <c r="D102">
        <v>5200</v>
      </c>
      <c r="E102">
        <v>11.392208605602001</v>
      </c>
      <c r="F102">
        <v>9.8000000000000007</v>
      </c>
      <c r="G102">
        <v>1.5922086056020901</v>
      </c>
      <c r="H102">
        <v>2.1908093472311698</v>
      </c>
      <c r="I102">
        <v>2.8480521514005201</v>
      </c>
      <c r="J102">
        <v>33.480521514005197</v>
      </c>
      <c r="K102">
        <v>3.6207237963601702</v>
      </c>
      <c r="L102" t="s">
        <v>482</v>
      </c>
      <c r="M102">
        <v>2.4654597651077799</v>
      </c>
      <c r="N102">
        <v>41767545</v>
      </c>
      <c r="O102">
        <f>IFERROR(VLOOKUP($A102,Actual!$A:$D,4,FALSE),IFERROR(VLOOKUP($A102,FC!$A:$AD,29,FALSE),"Not Found"))</f>
        <v>19.100000000000001</v>
      </c>
      <c r="P102" s="5">
        <f>IFERROR(VLOOKUP($A102,Actual!$A:$D,3,FALSE),"0")</f>
        <v>1.35E-2</v>
      </c>
    </row>
    <row r="103" spans="1:16" x14ac:dyDescent="0.2">
      <c r="A103" t="s">
        <v>306</v>
      </c>
      <c r="B103" t="s">
        <v>500</v>
      </c>
      <c r="C103" t="s">
        <v>17</v>
      </c>
      <c r="D103">
        <v>3100</v>
      </c>
      <c r="E103">
        <v>6.5101419938766396</v>
      </c>
      <c r="F103">
        <v>7.26</v>
      </c>
      <c r="G103">
        <v>-0.74985800612335496</v>
      </c>
      <c r="H103">
        <v>2.1000458044763302</v>
      </c>
      <c r="I103">
        <v>1.6275354984691599</v>
      </c>
      <c r="J103">
        <v>21.275354984691599</v>
      </c>
      <c r="K103">
        <v>0.69196823628479198</v>
      </c>
      <c r="L103" t="s">
        <v>482</v>
      </c>
      <c r="M103">
        <v>3.8476738831525199</v>
      </c>
      <c r="N103">
        <v>41767671</v>
      </c>
      <c r="O103">
        <f>IFERROR(VLOOKUP($A103,Actual!$A:$D,4,FALSE),IFERROR(VLOOKUP($A103,FC!$A:$AD,29,FALSE),"Not Found"))</f>
        <v>9.6999999999999993</v>
      </c>
      <c r="P103" s="5">
        <f>IFERROR(VLOOKUP($A103,Actual!$A:$D,3,FALSE),"0")</f>
        <v>6.7000000000000002E-3</v>
      </c>
    </row>
    <row r="104" spans="1:16" x14ac:dyDescent="0.2">
      <c r="A104" t="s">
        <v>120</v>
      </c>
      <c r="B104" t="s">
        <v>478</v>
      </c>
      <c r="C104" t="s">
        <v>17</v>
      </c>
      <c r="D104">
        <v>4300</v>
      </c>
      <c r="E104">
        <v>10.4676910658282</v>
      </c>
      <c r="F104">
        <v>8.2200000000000006</v>
      </c>
      <c r="G104">
        <v>2.2476910658282701</v>
      </c>
      <c r="H104">
        <v>2.4343467594949399</v>
      </c>
      <c r="I104">
        <v>2.6169227664570598</v>
      </c>
      <c r="J104">
        <v>31.169227664570599</v>
      </c>
      <c r="K104">
        <v>3.1034775397372898</v>
      </c>
      <c r="L104" t="s">
        <v>482</v>
      </c>
      <c r="M104">
        <v>2.5509317315523501</v>
      </c>
      <c r="N104">
        <v>41767577</v>
      </c>
      <c r="O104">
        <f>IFERROR(VLOOKUP($A104,Actual!$A:$D,4,FALSE),IFERROR(VLOOKUP($A104,FC!$A:$AD,29,FALSE),"Not Found"))</f>
        <v>4.0999999999999996</v>
      </c>
      <c r="P104" s="5">
        <f>IFERROR(VLOOKUP($A104,Actual!$A:$D,3,FALSE),"0")</f>
        <v>2.3599999999999999E-2</v>
      </c>
    </row>
    <row r="105" spans="1:16" x14ac:dyDescent="0.2">
      <c r="A105" t="s">
        <v>21</v>
      </c>
      <c r="B105" t="s">
        <v>492</v>
      </c>
      <c r="C105" t="s">
        <v>10</v>
      </c>
      <c r="D105">
        <v>6600</v>
      </c>
      <c r="E105">
        <v>16.117704940269299</v>
      </c>
      <c r="F105">
        <v>13.89</v>
      </c>
      <c r="G105">
        <v>2.2277049402693598</v>
      </c>
      <c r="H105">
        <v>2.4420765061014098</v>
      </c>
      <c r="I105">
        <v>4.0294262350673398</v>
      </c>
      <c r="J105">
        <v>45.294262350673399</v>
      </c>
      <c r="K105">
        <v>1.4264183354090001</v>
      </c>
      <c r="L105" t="s">
        <v>482</v>
      </c>
      <c r="M105">
        <v>6.6425911414622103</v>
      </c>
      <c r="N105">
        <v>41766837</v>
      </c>
      <c r="O105">
        <f>IFERROR(VLOOKUP($A105,Actual!$A:$D,4,FALSE),IFERROR(VLOOKUP($A105,FC!$A:$AD,29,FALSE),"Not Found"))</f>
        <v>36.799999999999997</v>
      </c>
      <c r="P105" s="5">
        <f>IFERROR(VLOOKUP($A105,Actual!$A:$D,3,FALSE),"0")</f>
        <v>8.5900000000000004E-2</v>
      </c>
    </row>
    <row r="106" spans="1:16" x14ac:dyDescent="0.2">
      <c r="A106" t="s">
        <v>541</v>
      </c>
      <c r="B106" t="s">
        <v>496</v>
      </c>
      <c r="C106" t="s">
        <v>17</v>
      </c>
      <c r="D106">
        <v>2900</v>
      </c>
      <c r="E106">
        <v>5.8372897272943796</v>
      </c>
      <c r="F106">
        <v>5.9</v>
      </c>
      <c r="G106">
        <v>-6.2710272705616299E-2</v>
      </c>
      <c r="H106">
        <v>2.01285852665323</v>
      </c>
      <c r="I106">
        <v>1.45932243182359</v>
      </c>
      <c r="J106">
        <v>19.593224318235901</v>
      </c>
      <c r="K106">
        <v>0.69196823628479198</v>
      </c>
      <c r="L106" t="s">
        <v>482</v>
      </c>
      <c r="M106">
        <v>3.4499995934390801</v>
      </c>
      <c r="N106">
        <v>41767719</v>
      </c>
      <c r="O106">
        <f>IFERROR(VLOOKUP($A106,Actual!$A:$D,4,FALSE),IFERROR(VLOOKUP($A106,FC!$A:$AD,29,FALSE),"Not Found"))</f>
        <v>6.5</v>
      </c>
      <c r="P106" s="5" t="str">
        <f>IFERROR(VLOOKUP($A106,Actual!$A:$D,3,FALSE),"0")</f>
        <v>0</v>
      </c>
    </row>
    <row r="107" spans="1:16" x14ac:dyDescent="0.2">
      <c r="A107" t="s">
        <v>251</v>
      </c>
      <c r="B107" t="s">
        <v>495</v>
      </c>
      <c r="C107" t="s">
        <v>17</v>
      </c>
      <c r="D107">
        <v>2500</v>
      </c>
      <c r="E107">
        <v>6.0452410509385501</v>
      </c>
      <c r="F107">
        <v>5.64</v>
      </c>
      <c r="G107">
        <v>0.405241050938555</v>
      </c>
      <c r="H107">
        <v>2.4180964203754201</v>
      </c>
      <c r="I107">
        <v>1.51131026273463</v>
      </c>
      <c r="J107">
        <v>20.113102627346301</v>
      </c>
      <c r="K107">
        <v>0.69196823628479198</v>
      </c>
      <c r="L107" t="s">
        <v>482</v>
      </c>
      <c r="M107">
        <v>3.5729045742682701</v>
      </c>
      <c r="N107">
        <v>41767847</v>
      </c>
      <c r="O107">
        <f>IFERROR(VLOOKUP($A107,Actual!$A:$D,4,FALSE),IFERROR(VLOOKUP($A107,FC!$A:$AD,29,FALSE),"Not Found"))</f>
        <v>2.8</v>
      </c>
      <c r="P107" s="5">
        <f>IFERROR(VLOOKUP($A107,Actual!$A:$D,3,FALSE),"0")</f>
        <v>8.3999999999999995E-3</v>
      </c>
    </row>
    <row r="108" spans="1:16" x14ac:dyDescent="0.2">
      <c r="A108" t="s">
        <v>444</v>
      </c>
      <c r="B108" t="s">
        <v>495</v>
      </c>
      <c r="C108" t="s">
        <v>17</v>
      </c>
      <c r="D108">
        <v>2700</v>
      </c>
      <c r="E108">
        <v>4.9126907272657796</v>
      </c>
      <c r="F108">
        <v>4.84</v>
      </c>
      <c r="G108">
        <v>7.26907272657841E-2</v>
      </c>
      <c r="H108">
        <v>1.8195150841725101</v>
      </c>
      <c r="I108">
        <v>1.22817268181644</v>
      </c>
      <c r="J108">
        <v>17.281726818164401</v>
      </c>
      <c r="K108">
        <v>0.69196823628479198</v>
      </c>
      <c r="L108" t="s">
        <v>482</v>
      </c>
      <c r="M108">
        <v>2.90353602503379</v>
      </c>
      <c r="N108">
        <v>41767749</v>
      </c>
      <c r="O108">
        <f>IFERROR(VLOOKUP($A108,Actual!$A:$D,4,FALSE),IFERROR(VLOOKUP($A108,FC!$A:$AD,29,FALSE),"Not Found"))</f>
        <v>6.9</v>
      </c>
      <c r="P108" s="5">
        <f>IFERROR(VLOOKUP($A108,Actual!$A:$D,3,FALSE),"0")</f>
        <v>1.6999999999999999E-3</v>
      </c>
    </row>
    <row r="109" spans="1:16" x14ac:dyDescent="0.2">
      <c r="A109" t="s">
        <v>233</v>
      </c>
      <c r="B109" t="s">
        <v>496</v>
      </c>
      <c r="C109" t="s">
        <v>5</v>
      </c>
      <c r="D109">
        <v>6600</v>
      </c>
      <c r="E109">
        <v>13.5461125290593</v>
      </c>
      <c r="F109">
        <v>12.21</v>
      </c>
      <c r="G109">
        <v>1.3361125290593301</v>
      </c>
      <c r="H109">
        <v>2.0524412922817099</v>
      </c>
      <c r="I109">
        <v>3.38652813226483</v>
      </c>
      <c r="J109">
        <v>38.8652813226483</v>
      </c>
      <c r="K109">
        <v>4.5732238658170701</v>
      </c>
      <c r="L109" t="s">
        <v>482</v>
      </c>
      <c r="M109">
        <v>2.4305703225279198</v>
      </c>
      <c r="N109">
        <v>41766463</v>
      </c>
      <c r="O109">
        <f>IFERROR(VLOOKUP($A109,Actual!$A:$D,4,FALSE),IFERROR(VLOOKUP($A109,FC!$A:$AD,29,FALSE),"Not Found"))</f>
        <v>6.3</v>
      </c>
      <c r="P109" s="5">
        <f>IFERROR(VLOOKUP($A109,Actual!$A:$D,3,FALSE),"0")</f>
        <v>1.01E-2</v>
      </c>
    </row>
    <row r="110" spans="1:16" x14ac:dyDescent="0.2">
      <c r="A110" t="s">
        <v>357</v>
      </c>
      <c r="B110" t="s">
        <v>494</v>
      </c>
      <c r="C110" t="s">
        <v>17</v>
      </c>
      <c r="D110">
        <v>3300</v>
      </c>
      <c r="E110">
        <v>6.6787373856265901</v>
      </c>
      <c r="F110">
        <v>6.54</v>
      </c>
      <c r="G110">
        <v>0.13873738562659799</v>
      </c>
      <c r="H110">
        <v>2.02385981382624</v>
      </c>
      <c r="I110">
        <v>1.66968434640664</v>
      </c>
      <c r="J110">
        <v>21.696843464066401</v>
      </c>
      <c r="K110">
        <v>0.69196823628479198</v>
      </c>
      <c r="L110" t="s">
        <v>482</v>
      </c>
      <c r="M110">
        <v>3.9473184202864799</v>
      </c>
      <c r="N110">
        <v>41767649</v>
      </c>
      <c r="O110">
        <f>IFERROR(VLOOKUP($A110,Actual!$A:$D,4,FALSE),IFERROR(VLOOKUP($A110,FC!$A:$AD,29,FALSE),"Not Found"))</f>
        <v>9.5</v>
      </c>
      <c r="P110" s="5">
        <f>IFERROR(VLOOKUP($A110,Actual!$A:$D,3,FALSE),"0")</f>
        <v>3.3999999999999998E-3</v>
      </c>
    </row>
    <row r="111" spans="1:16" x14ac:dyDescent="0.2">
      <c r="A111" t="s">
        <v>354</v>
      </c>
      <c r="B111" t="s">
        <v>494</v>
      </c>
      <c r="C111" t="s">
        <v>17</v>
      </c>
      <c r="D111">
        <v>3700</v>
      </c>
      <c r="E111">
        <v>7.4762380781592199</v>
      </c>
      <c r="F111">
        <v>7.16</v>
      </c>
      <c r="G111">
        <v>0.316238078159219</v>
      </c>
      <c r="H111">
        <v>2.0206048859889698</v>
      </c>
      <c r="I111">
        <v>1.8690595195398001</v>
      </c>
      <c r="J111">
        <v>23.690595195398</v>
      </c>
      <c r="K111">
        <v>2.0759047088543698</v>
      </c>
      <c r="L111" t="s">
        <v>482</v>
      </c>
      <c r="M111">
        <v>2.4305818241501198</v>
      </c>
      <c r="N111">
        <v>41767611</v>
      </c>
      <c r="O111">
        <f>IFERROR(VLOOKUP($A111,Actual!$A:$D,4,FALSE),IFERROR(VLOOKUP($A111,FC!$A:$AD,29,FALSE),"Not Found"))</f>
        <v>9.6999999999999993</v>
      </c>
      <c r="P111" s="5">
        <f>IFERROR(VLOOKUP($A111,Actual!$A:$D,3,FALSE),"0")</f>
        <v>3.3999999999999998E-3</v>
      </c>
    </row>
    <row r="112" spans="1:16" x14ac:dyDescent="0.2">
      <c r="A112" t="s">
        <v>117</v>
      </c>
      <c r="B112" t="s">
        <v>499</v>
      </c>
      <c r="C112" t="s">
        <v>17</v>
      </c>
      <c r="D112">
        <v>4000</v>
      </c>
      <c r="E112">
        <v>9.0079834757761397</v>
      </c>
      <c r="F112">
        <v>7.04</v>
      </c>
      <c r="G112">
        <v>1.9679834757761401</v>
      </c>
      <c r="H112">
        <v>2.25199586894403</v>
      </c>
      <c r="I112">
        <v>2.25199586894403</v>
      </c>
      <c r="J112">
        <v>27.519958689440301</v>
      </c>
      <c r="K112">
        <v>3.1034775397372898</v>
      </c>
      <c r="L112" t="s">
        <v>482</v>
      </c>
      <c r="M112">
        <v>2.1952072086527901</v>
      </c>
      <c r="N112">
        <v>41767595</v>
      </c>
      <c r="O112">
        <f>IFERROR(VLOOKUP($A112,Actual!$A:$D,4,FALSE),IFERROR(VLOOKUP($A112,FC!$A:$AD,29,FALSE),"Not Found"))</f>
        <v>7.1</v>
      </c>
      <c r="P112" s="5">
        <f>IFERROR(VLOOKUP($A112,Actual!$A:$D,3,FALSE),"0")</f>
        <v>2.53E-2</v>
      </c>
    </row>
    <row r="113" spans="1:16" x14ac:dyDescent="0.2">
      <c r="A113" t="s">
        <v>71</v>
      </c>
      <c r="B113" t="s">
        <v>498</v>
      </c>
      <c r="C113" t="s">
        <v>5</v>
      </c>
      <c r="D113">
        <v>6700</v>
      </c>
      <c r="E113">
        <v>12.7582502361987</v>
      </c>
      <c r="F113">
        <v>10.52</v>
      </c>
      <c r="G113">
        <v>2.2382502361987102</v>
      </c>
      <c r="H113">
        <v>1.90421645316398</v>
      </c>
      <c r="I113">
        <v>3.1895625590496701</v>
      </c>
      <c r="J113">
        <v>36.895625590496699</v>
      </c>
      <c r="K113">
        <v>4.5732238658170701</v>
      </c>
      <c r="L113" t="s">
        <v>482</v>
      </c>
      <c r="M113">
        <v>2.2892046943332698</v>
      </c>
      <c r="N113">
        <v>41766461</v>
      </c>
      <c r="O113">
        <f>IFERROR(VLOOKUP($A113,Actual!$A:$D,4,FALSE),IFERROR(VLOOKUP($A113,FC!$A:$AD,29,FALSE),"Not Found"))</f>
        <v>4.5</v>
      </c>
      <c r="P113" s="5">
        <f>IFERROR(VLOOKUP($A113,Actual!$A:$D,3,FALSE),"0")</f>
        <v>3.8699999999999998E-2</v>
      </c>
    </row>
    <row r="114" spans="1:16" x14ac:dyDescent="0.2">
      <c r="A114" t="s">
        <v>325</v>
      </c>
      <c r="B114" t="s">
        <v>500</v>
      </c>
      <c r="C114" t="s">
        <v>10</v>
      </c>
      <c r="D114">
        <v>6200</v>
      </c>
      <c r="E114">
        <v>13.488001035526599</v>
      </c>
      <c r="F114">
        <v>11.74</v>
      </c>
      <c r="G114">
        <v>1.74800103552666</v>
      </c>
      <c r="H114">
        <v>2.1754840379881699</v>
      </c>
      <c r="I114">
        <v>3.37200025888166</v>
      </c>
      <c r="J114">
        <v>38.720002588816598</v>
      </c>
      <c r="K114">
        <v>1.0373951530247301</v>
      </c>
      <c r="L114" t="s">
        <v>482</v>
      </c>
      <c r="M114">
        <v>6.6202184762745997</v>
      </c>
      <c r="N114">
        <v>41766851</v>
      </c>
      <c r="O114">
        <f>IFERROR(VLOOKUP($A114,Actual!$A:$D,4,FALSE),IFERROR(VLOOKUP($A114,FC!$A:$AD,29,FALSE),"Not Found"))</f>
        <v>2.6</v>
      </c>
      <c r="P114" s="5">
        <f>IFERROR(VLOOKUP($A114,Actual!$A:$D,3,FALSE),"0")</f>
        <v>5.1000000000000004E-3</v>
      </c>
    </row>
    <row r="115" spans="1:16" x14ac:dyDescent="0.2">
      <c r="A115" t="s">
        <v>137</v>
      </c>
      <c r="B115" t="s">
        <v>500</v>
      </c>
      <c r="C115" t="s">
        <v>5</v>
      </c>
      <c r="D115">
        <v>5100</v>
      </c>
      <c r="E115">
        <v>10.3571172520648</v>
      </c>
      <c r="F115">
        <v>9.17</v>
      </c>
      <c r="G115">
        <v>1.1871172520648601</v>
      </c>
      <c r="H115">
        <v>2.0308073043264399</v>
      </c>
      <c r="I115">
        <v>2.5892793130162102</v>
      </c>
      <c r="J115">
        <v>30.892793130162101</v>
      </c>
      <c r="K115">
        <v>0.80686289679701395</v>
      </c>
      <c r="L115" t="s">
        <v>482</v>
      </c>
      <c r="M115">
        <v>5.7320991373638197</v>
      </c>
      <c r="N115">
        <v>41766901</v>
      </c>
      <c r="O115">
        <f>IFERROR(VLOOKUP($A115,Actual!$A:$D,4,FALSE),IFERROR(VLOOKUP($A115,FC!$A:$AD,29,FALSE),"Not Found"))</f>
        <v>4.3</v>
      </c>
      <c r="P115" s="5">
        <f>IFERROR(VLOOKUP($A115,Actual!$A:$D,3,FALSE),"0")</f>
        <v>2.0199999999999999E-2</v>
      </c>
    </row>
    <row r="116" spans="1:16" x14ac:dyDescent="0.2">
      <c r="A116" t="s">
        <v>23</v>
      </c>
      <c r="B116" t="s">
        <v>478</v>
      </c>
      <c r="C116" t="s">
        <v>5</v>
      </c>
      <c r="D116">
        <v>10300</v>
      </c>
      <c r="E116">
        <v>24.114868029832799</v>
      </c>
      <c r="F116">
        <v>20.98</v>
      </c>
      <c r="G116">
        <v>3.1348680298328602</v>
      </c>
      <c r="H116">
        <v>2.3412493232847398</v>
      </c>
      <c r="I116">
        <v>6.0287170074582104</v>
      </c>
      <c r="J116">
        <v>65.287170074582093</v>
      </c>
      <c r="K116">
        <v>7.6753407538188601</v>
      </c>
      <c r="L116" t="s">
        <v>479</v>
      </c>
      <c r="M116">
        <v>2.7797026899741701</v>
      </c>
      <c r="N116">
        <v>41766435</v>
      </c>
      <c r="O116">
        <f>IFERROR(VLOOKUP($A116,Actual!$A:$D,4,FALSE),IFERROR(VLOOKUP($A116,FC!$A:$AD,29,FALSE),"Not Found"))</f>
        <v>3</v>
      </c>
      <c r="P116" s="5">
        <f>IFERROR(VLOOKUP($A116,Actual!$A:$D,3,FALSE),"0")</f>
        <v>8.4199999999999997E-2</v>
      </c>
    </row>
    <row r="117" spans="1:16" x14ac:dyDescent="0.2">
      <c r="A117" t="s">
        <v>42</v>
      </c>
      <c r="B117" t="s">
        <v>508</v>
      </c>
      <c r="C117" t="s">
        <v>17</v>
      </c>
      <c r="D117">
        <v>4400</v>
      </c>
      <c r="E117">
        <v>9.3254940163793503</v>
      </c>
      <c r="F117">
        <v>9.43</v>
      </c>
      <c r="G117">
        <v>-0.104505983620645</v>
      </c>
      <c r="H117">
        <v>2.1194304582680301</v>
      </c>
      <c r="I117">
        <v>2.33137350409483</v>
      </c>
      <c r="J117">
        <v>28.313735040948298</v>
      </c>
      <c r="K117">
        <v>4.04801418226603</v>
      </c>
      <c r="L117" t="s">
        <v>482</v>
      </c>
      <c r="M117">
        <v>1.84735891771864</v>
      </c>
      <c r="N117">
        <v>41767573</v>
      </c>
      <c r="O117">
        <f>IFERROR(VLOOKUP($A117,Actual!$A:$D,4,FALSE),IFERROR(VLOOKUP($A117,FC!$A:$AD,29,FALSE),"Not Found"))</f>
        <v>14.9</v>
      </c>
      <c r="P117" s="5">
        <f>IFERROR(VLOOKUP($A117,Actual!$A:$D,3,FALSE),"0")</f>
        <v>5.5599999999999997E-2</v>
      </c>
    </row>
    <row r="118" spans="1:16" x14ac:dyDescent="0.2">
      <c r="A118" t="s">
        <v>226</v>
      </c>
      <c r="B118" t="s">
        <v>478</v>
      </c>
      <c r="C118" t="s">
        <v>17</v>
      </c>
      <c r="D118">
        <v>4000</v>
      </c>
      <c r="E118">
        <v>9.4137112100188602</v>
      </c>
      <c r="F118">
        <v>7.6</v>
      </c>
      <c r="G118">
        <v>1.8137112100188599</v>
      </c>
      <c r="H118">
        <v>2.3534278025047102</v>
      </c>
      <c r="I118">
        <v>2.3534278025047102</v>
      </c>
      <c r="J118">
        <v>28.534278025047101</v>
      </c>
      <c r="K118">
        <v>3.1034775397372898</v>
      </c>
      <c r="L118" t="s">
        <v>482</v>
      </c>
      <c r="M118">
        <v>2.2940813295206901</v>
      </c>
      <c r="N118">
        <v>41767591</v>
      </c>
      <c r="O118">
        <f>IFERROR(VLOOKUP($A118,Actual!$A:$D,4,FALSE),IFERROR(VLOOKUP($A118,FC!$A:$AD,29,FALSE),"Not Found"))</f>
        <v>11</v>
      </c>
      <c r="P118" s="5">
        <f>IFERROR(VLOOKUP($A118,Actual!$A:$D,3,FALSE),"0")</f>
        <v>1.01E-2</v>
      </c>
    </row>
    <row r="119" spans="1:16" x14ac:dyDescent="0.2">
      <c r="A119" t="s">
        <v>9</v>
      </c>
      <c r="B119" t="s">
        <v>489</v>
      </c>
      <c r="C119" t="s">
        <v>10</v>
      </c>
      <c r="D119">
        <v>5700</v>
      </c>
      <c r="E119">
        <v>12.4656808476789</v>
      </c>
      <c r="F119">
        <v>9.7200000000000006</v>
      </c>
      <c r="G119">
        <v>2.74568084767896</v>
      </c>
      <c r="H119">
        <v>2.1869615522243699</v>
      </c>
      <c r="I119">
        <v>3.1164202119197402</v>
      </c>
      <c r="J119">
        <v>36.164202119197398</v>
      </c>
      <c r="K119">
        <v>1.2967439412809101</v>
      </c>
      <c r="L119" t="s">
        <v>482</v>
      </c>
      <c r="M119">
        <v>5.4275448924126604</v>
      </c>
      <c r="N119">
        <v>41766871</v>
      </c>
      <c r="O119">
        <f>IFERROR(VLOOKUP($A119,Actual!$A:$D,4,FALSE),IFERROR(VLOOKUP($A119,FC!$A:$AD,29,FALSE),"Not Found"))</f>
        <v>4.5</v>
      </c>
      <c r="P119" s="5">
        <f>IFERROR(VLOOKUP($A119,Actual!$A:$D,3,FALSE),"0")</f>
        <v>0.19869999999999999</v>
      </c>
    </row>
    <row r="120" spans="1:16" x14ac:dyDescent="0.2">
      <c r="A120" t="s">
        <v>110</v>
      </c>
      <c r="B120" t="s">
        <v>490</v>
      </c>
      <c r="C120" t="s">
        <v>5</v>
      </c>
      <c r="D120">
        <v>9700</v>
      </c>
      <c r="E120">
        <v>16.213531612544902</v>
      </c>
      <c r="F120">
        <v>16.239999999999998</v>
      </c>
      <c r="G120">
        <v>-2.64683874550222E-2</v>
      </c>
      <c r="H120">
        <v>1.6714981043860799</v>
      </c>
      <c r="I120">
        <v>4.0533829031362396</v>
      </c>
      <c r="J120">
        <v>45.533829031362401</v>
      </c>
      <c r="K120">
        <v>7.6753407538188601</v>
      </c>
      <c r="L120" t="s">
        <v>479</v>
      </c>
      <c r="M120">
        <v>1.86892158736333</v>
      </c>
      <c r="N120">
        <v>41766439</v>
      </c>
      <c r="O120">
        <f>IFERROR(VLOOKUP($A120,Actual!$A:$D,4,FALSE),IFERROR(VLOOKUP($A120,FC!$A:$AD,29,FALSE),"Not Found"))</f>
        <v>6</v>
      </c>
      <c r="P120" s="5">
        <f>IFERROR(VLOOKUP($A120,Actual!$A:$D,3,FALSE),"0")</f>
        <v>2.69E-2</v>
      </c>
    </row>
    <row r="121" spans="1:16" x14ac:dyDescent="0.2">
      <c r="A121" t="s">
        <v>92</v>
      </c>
      <c r="B121" t="s">
        <v>478</v>
      </c>
      <c r="C121" t="s">
        <v>5</v>
      </c>
      <c r="D121">
        <v>7000</v>
      </c>
      <c r="E121">
        <v>14.826183609903801</v>
      </c>
      <c r="F121">
        <v>12.34</v>
      </c>
      <c r="G121">
        <v>2.4861836099038301</v>
      </c>
      <c r="H121">
        <v>2.1180262299862598</v>
      </c>
      <c r="I121">
        <v>3.7065459024759502</v>
      </c>
      <c r="J121">
        <v>42.065459024759498</v>
      </c>
      <c r="K121">
        <v>1.18868194617417</v>
      </c>
      <c r="L121" t="s">
        <v>482</v>
      </c>
      <c r="M121">
        <v>6.7740238072599199</v>
      </c>
      <c r="N121">
        <v>41766819</v>
      </c>
      <c r="O121">
        <f>IFERROR(VLOOKUP($A121,Actual!$A:$D,4,FALSE),IFERROR(VLOOKUP($A121,FC!$A:$AD,29,FALSE),"Not Found"))</f>
        <v>4.5</v>
      </c>
      <c r="P121" s="5">
        <f>IFERROR(VLOOKUP($A121,Actual!$A:$D,3,FALSE),"0")</f>
        <v>3.0300000000000001E-2</v>
      </c>
    </row>
    <row r="122" spans="1:16" x14ac:dyDescent="0.2">
      <c r="A122" t="s">
        <v>39</v>
      </c>
      <c r="B122" t="s">
        <v>485</v>
      </c>
      <c r="C122" t="s">
        <v>17</v>
      </c>
      <c r="D122">
        <v>5500</v>
      </c>
      <c r="E122">
        <v>9.9346372333587603</v>
      </c>
      <c r="F122">
        <v>10.27</v>
      </c>
      <c r="G122">
        <v>-0.33536276664123199</v>
      </c>
      <c r="H122">
        <v>1.8062976787925</v>
      </c>
      <c r="I122">
        <v>2.4836593083396901</v>
      </c>
      <c r="J122">
        <v>29.836593083396899</v>
      </c>
      <c r="K122">
        <v>4.04801418226603</v>
      </c>
      <c r="L122" t="s">
        <v>482</v>
      </c>
      <c r="M122">
        <v>1.9680287880845699</v>
      </c>
      <c r="N122">
        <v>41767533</v>
      </c>
      <c r="O122">
        <f>IFERROR(VLOOKUP($A122,Actual!$A:$D,4,FALSE),IFERROR(VLOOKUP($A122,FC!$A:$AD,29,FALSE),"Not Found"))</f>
        <v>9.3000000000000007</v>
      </c>
      <c r="P122" s="5">
        <f>IFERROR(VLOOKUP($A122,Actual!$A:$D,3,FALSE),"0")</f>
        <v>6.0600000000000001E-2</v>
      </c>
    </row>
    <row r="123" spans="1:16" x14ac:dyDescent="0.2">
      <c r="A123" t="s">
        <v>60</v>
      </c>
      <c r="B123" t="s">
        <v>495</v>
      </c>
      <c r="C123" t="s">
        <v>10</v>
      </c>
      <c r="D123">
        <v>4900</v>
      </c>
      <c r="E123">
        <v>10.5003103002656</v>
      </c>
      <c r="F123">
        <v>8.7100000000000009</v>
      </c>
      <c r="G123">
        <v>1.79031030026566</v>
      </c>
      <c r="H123">
        <v>2.1429204694419699</v>
      </c>
      <c r="I123">
        <v>2.6250775750664102</v>
      </c>
      <c r="J123">
        <v>31.250775750664101</v>
      </c>
      <c r="K123">
        <v>1.5128679314944</v>
      </c>
      <c r="L123" t="s">
        <v>482</v>
      </c>
      <c r="M123">
        <v>4.1786160620152897</v>
      </c>
      <c r="N123">
        <v>41766911</v>
      </c>
      <c r="O123">
        <f>IFERROR(VLOOKUP($A123,Actual!$A:$D,4,FALSE),IFERROR(VLOOKUP($A123,FC!$A:$AD,29,FALSE),"Not Found"))</f>
        <v>11.3</v>
      </c>
      <c r="P123" s="5">
        <f>IFERROR(VLOOKUP($A123,Actual!$A:$D,3,FALSE),"0")</f>
        <v>4.5499999999999999E-2</v>
      </c>
    </row>
    <row r="124" spans="1:16" x14ac:dyDescent="0.2">
      <c r="A124" t="s">
        <v>89</v>
      </c>
      <c r="B124" t="s">
        <v>481</v>
      </c>
      <c r="C124" t="s">
        <v>10</v>
      </c>
      <c r="D124">
        <v>7200</v>
      </c>
      <c r="E124">
        <v>15.710748063409</v>
      </c>
      <c r="F124">
        <v>13.39</v>
      </c>
      <c r="G124">
        <v>2.3207480634090398</v>
      </c>
      <c r="H124">
        <v>2.1820483421401402</v>
      </c>
      <c r="I124">
        <v>3.9276870158522601</v>
      </c>
      <c r="J124">
        <v>44.276870158522598</v>
      </c>
      <c r="K124">
        <v>1.18868194617417</v>
      </c>
      <c r="L124" t="s">
        <v>482</v>
      </c>
      <c r="M124">
        <v>7.17817775710696</v>
      </c>
      <c r="N124">
        <v>41766815</v>
      </c>
      <c r="O124">
        <f>IFERROR(VLOOKUP($A124,Actual!$A:$D,4,FALSE),IFERROR(VLOOKUP($A124,FC!$A:$AD,29,FALSE),"Not Found"))</f>
        <v>2.8</v>
      </c>
      <c r="P124" s="5">
        <f>IFERROR(VLOOKUP($A124,Actual!$A:$D,3,FALSE),"0")</f>
        <v>3.2000000000000001E-2</v>
      </c>
    </row>
    <row r="125" spans="1:16" x14ac:dyDescent="0.2">
      <c r="A125" t="s">
        <v>242</v>
      </c>
      <c r="B125" t="s">
        <v>491</v>
      </c>
      <c r="C125" t="s">
        <v>17</v>
      </c>
      <c r="D125">
        <v>3300</v>
      </c>
      <c r="E125">
        <v>6.9449680390414201</v>
      </c>
      <c r="F125">
        <v>5.65</v>
      </c>
      <c r="G125">
        <v>1.29496803904142</v>
      </c>
      <c r="H125">
        <v>2.1045357694064899</v>
      </c>
      <c r="I125">
        <v>1.7362420097603499</v>
      </c>
      <c r="J125">
        <v>22.362420097603501</v>
      </c>
      <c r="K125">
        <v>1.03795235442718</v>
      </c>
      <c r="L125" t="s">
        <v>482</v>
      </c>
      <c r="M125">
        <v>3.4078166861724601</v>
      </c>
      <c r="N125">
        <v>41767643</v>
      </c>
      <c r="O125">
        <f>IFERROR(VLOOKUP($A125,Actual!$A:$D,4,FALSE),IFERROR(VLOOKUP($A125,FC!$A:$AD,29,FALSE),"Not Found"))</f>
        <v>1.3</v>
      </c>
      <c r="P125" s="5">
        <f>IFERROR(VLOOKUP($A125,Actual!$A:$D,3,FALSE),"0")</f>
        <v>1.01E-2</v>
      </c>
    </row>
    <row r="126" spans="1:16" x14ac:dyDescent="0.2">
      <c r="A126" t="s">
        <v>381</v>
      </c>
      <c r="B126" t="s">
        <v>485</v>
      </c>
      <c r="C126" t="s">
        <v>17</v>
      </c>
      <c r="D126">
        <v>2900</v>
      </c>
      <c r="E126">
        <v>6.34916349412239</v>
      </c>
      <c r="F126">
        <v>6.05</v>
      </c>
      <c r="G126">
        <v>0.29916349412239002</v>
      </c>
      <c r="H126">
        <v>2.1893667221111599</v>
      </c>
      <c r="I126">
        <v>1.58729087353059</v>
      </c>
      <c r="J126">
        <v>20.872908735305899</v>
      </c>
      <c r="K126">
        <v>0.69196823628479198</v>
      </c>
      <c r="L126" t="s">
        <v>482</v>
      </c>
      <c r="M126">
        <v>3.7525311397475201</v>
      </c>
      <c r="N126">
        <v>41767709</v>
      </c>
      <c r="O126">
        <f>IFERROR(VLOOKUP($A126,Actual!$A:$D,4,FALSE),IFERROR(VLOOKUP($A126,FC!$A:$AD,29,FALSE),"Not Found"))</f>
        <v>0</v>
      </c>
      <c r="P126" s="5">
        <f>IFERROR(VLOOKUP($A126,Actual!$A:$D,3,FALSE),"0")</f>
        <v>3.3999999999999998E-3</v>
      </c>
    </row>
    <row r="127" spans="1:16" x14ac:dyDescent="0.2">
      <c r="A127" t="s">
        <v>428</v>
      </c>
      <c r="B127" t="s">
        <v>507</v>
      </c>
      <c r="C127" t="s">
        <v>17</v>
      </c>
      <c r="D127">
        <v>2600</v>
      </c>
      <c r="E127">
        <v>5.8299534106574402</v>
      </c>
      <c r="F127">
        <v>5.34</v>
      </c>
      <c r="G127">
        <v>0.48995341065744902</v>
      </c>
      <c r="H127">
        <v>2.2422897733297802</v>
      </c>
      <c r="I127">
        <v>1.4574883526643601</v>
      </c>
      <c r="J127">
        <v>19.5748835266436</v>
      </c>
      <c r="K127">
        <v>0.69196823628479198</v>
      </c>
      <c r="L127" t="s">
        <v>482</v>
      </c>
      <c r="M127">
        <v>3.4456636275033099</v>
      </c>
      <c r="N127">
        <v>41767775</v>
      </c>
      <c r="O127">
        <f>IFERROR(VLOOKUP($A127,Actual!$A:$D,4,FALSE),IFERROR(VLOOKUP($A127,FC!$A:$AD,29,FALSE),"Not Found"))</f>
        <v>6.9</v>
      </c>
      <c r="P127" s="5">
        <f>IFERROR(VLOOKUP($A127,Actual!$A:$D,3,FALSE),"0")</f>
        <v>1.6999999999999999E-3</v>
      </c>
    </row>
    <row r="128" spans="1:16" x14ac:dyDescent="0.2">
      <c r="A128" t="s">
        <v>75</v>
      </c>
      <c r="B128" t="s">
        <v>495</v>
      </c>
      <c r="C128" t="s">
        <v>17</v>
      </c>
      <c r="D128">
        <v>5100</v>
      </c>
      <c r="E128">
        <v>10.8899795740752</v>
      </c>
      <c r="F128">
        <v>8.5399999999999991</v>
      </c>
      <c r="G128">
        <v>2.3499795740752298</v>
      </c>
      <c r="H128">
        <v>2.1352901125637702</v>
      </c>
      <c r="I128">
        <v>2.7224948935188</v>
      </c>
      <c r="J128">
        <v>32.224948935188003</v>
      </c>
      <c r="K128">
        <v>4.7226832126436999</v>
      </c>
      <c r="L128" t="s">
        <v>482</v>
      </c>
      <c r="M128">
        <v>1.9029499221649799</v>
      </c>
      <c r="N128">
        <v>41767549</v>
      </c>
      <c r="O128">
        <f>IFERROR(VLOOKUP($A128,Actual!$A:$D,4,FALSE),IFERROR(VLOOKUP($A128,FC!$A:$AD,29,FALSE),"Not Found"))</f>
        <v>19</v>
      </c>
      <c r="P128" s="5">
        <f>IFERROR(VLOOKUP($A128,Actual!$A:$D,3,FALSE),"0")</f>
        <v>3.6999999999999998E-2</v>
      </c>
    </row>
    <row r="129" spans="1:16" x14ac:dyDescent="0.2">
      <c r="A129" t="s">
        <v>172</v>
      </c>
      <c r="B129" t="s">
        <v>493</v>
      </c>
      <c r="C129" t="s">
        <v>17</v>
      </c>
      <c r="D129">
        <v>3000</v>
      </c>
      <c r="E129">
        <v>6.1669333744696901</v>
      </c>
      <c r="F129">
        <v>4.08</v>
      </c>
      <c r="G129">
        <v>2.0869333744696901</v>
      </c>
      <c r="H129">
        <v>2.0556444581565598</v>
      </c>
      <c r="I129">
        <v>1.5417333436174201</v>
      </c>
      <c r="J129">
        <v>20.4173334361742</v>
      </c>
      <c r="K129">
        <v>1.03795235442718</v>
      </c>
      <c r="L129" t="s">
        <v>482</v>
      </c>
      <c r="M129">
        <v>3.0260439411514302</v>
      </c>
      <c r="N129">
        <v>41767697</v>
      </c>
      <c r="O129">
        <f>IFERROR(VLOOKUP($A129,Actual!$A:$D,4,FALSE),IFERROR(VLOOKUP($A129,FC!$A:$AD,29,FALSE),"Not Found"))</f>
        <v>10.8</v>
      </c>
      <c r="P129" s="5">
        <f>IFERROR(VLOOKUP($A129,Actual!$A:$D,3,FALSE),"0")</f>
        <v>1.52E-2</v>
      </c>
    </row>
    <row r="130" spans="1:16" x14ac:dyDescent="0.2">
      <c r="A130" t="s">
        <v>72</v>
      </c>
      <c r="B130" t="s">
        <v>509</v>
      </c>
      <c r="C130" t="s">
        <v>17</v>
      </c>
      <c r="D130">
        <v>4100</v>
      </c>
      <c r="E130">
        <v>8.0422513108085791</v>
      </c>
      <c r="F130">
        <v>8.65</v>
      </c>
      <c r="G130">
        <v>-0.607748689191419</v>
      </c>
      <c r="H130">
        <v>1.96152470995331</v>
      </c>
      <c r="I130">
        <v>2.0105628277021399</v>
      </c>
      <c r="J130">
        <v>25.105628277021399</v>
      </c>
      <c r="K130">
        <v>2.3872904151825298</v>
      </c>
      <c r="L130" t="s">
        <v>482</v>
      </c>
      <c r="M130">
        <v>2.3742432224770398</v>
      </c>
      <c r="N130">
        <v>41767587</v>
      </c>
      <c r="O130">
        <f>IFERROR(VLOOKUP($A130,Actual!$A:$D,4,FALSE),IFERROR(VLOOKUP($A130,FC!$A:$AD,29,FALSE),"Not Found"))</f>
        <v>2.6</v>
      </c>
      <c r="P130" s="5">
        <f>IFERROR(VLOOKUP($A130,Actual!$A:$D,3,FALSE),"0")</f>
        <v>3.8699999999999998E-2</v>
      </c>
    </row>
    <row r="131" spans="1:16" x14ac:dyDescent="0.2">
      <c r="A131" t="s">
        <v>57</v>
      </c>
      <c r="B131" t="s">
        <v>492</v>
      </c>
      <c r="C131" t="s">
        <v>10</v>
      </c>
      <c r="D131">
        <v>5600</v>
      </c>
      <c r="E131">
        <v>12.252882434375501</v>
      </c>
      <c r="F131">
        <v>11.08</v>
      </c>
      <c r="G131">
        <v>1.17288243437553</v>
      </c>
      <c r="H131">
        <v>2.1880147204242002</v>
      </c>
      <c r="I131">
        <v>3.06322060859388</v>
      </c>
      <c r="J131">
        <v>35.632206085938797</v>
      </c>
      <c r="K131">
        <v>1.2967439412809101</v>
      </c>
      <c r="L131" t="s">
        <v>482</v>
      </c>
      <c r="M131">
        <v>5.3348926774753904</v>
      </c>
      <c r="N131">
        <v>41766877</v>
      </c>
      <c r="O131">
        <f>IFERROR(VLOOKUP($A131,Actual!$A:$D,4,FALSE),IFERROR(VLOOKUP($A131,FC!$A:$AD,29,FALSE),"Not Found"))</f>
        <v>4.5</v>
      </c>
      <c r="P131" s="5">
        <f>IFERROR(VLOOKUP($A131,Actual!$A:$D,3,FALSE),"0")</f>
        <v>4.7100000000000003E-2</v>
      </c>
    </row>
    <row r="132" spans="1:16" x14ac:dyDescent="0.2">
      <c r="A132" t="s">
        <v>231</v>
      </c>
      <c r="B132" t="s">
        <v>492</v>
      </c>
      <c r="C132" t="s">
        <v>17</v>
      </c>
      <c r="D132">
        <v>3100</v>
      </c>
      <c r="E132">
        <v>5.9106268053267099</v>
      </c>
      <c r="F132">
        <v>6.89</v>
      </c>
      <c r="G132">
        <v>-0.97937319467328598</v>
      </c>
      <c r="H132">
        <v>1.9066538081699</v>
      </c>
      <c r="I132">
        <v>1.4776567013316699</v>
      </c>
      <c r="J132">
        <v>19.776567013316701</v>
      </c>
      <c r="K132">
        <v>0.69196823628479198</v>
      </c>
      <c r="L132" t="s">
        <v>482</v>
      </c>
      <c r="M132">
        <v>3.49334383386842</v>
      </c>
      <c r="N132">
        <v>41767679</v>
      </c>
      <c r="O132">
        <f>IFERROR(VLOOKUP($A132,Actual!$A:$D,4,FALSE),IFERROR(VLOOKUP($A132,FC!$A:$AD,29,FALSE),"Not Found"))</f>
        <v>12.8</v>
      </c>
      <c r="P132" s="5">
        <f>IFERROR(VLOOKUP($A132,Actual!$A:$D,3,FALSE),"0")</f>
        <v>1.01E-2</v>
      </c>
    </row>
    <row r="133" spans="1:16" x14ac:dyDescent="0.2">
      <c r="A133" t="s">
        <v>184</v>
      </c>
      <c r="B133" t="s">
        <v>486</v>
      </c>
      <c r="C133" t="s">
        <v>17</v>
      </c>
      <c r="D133">
        <v>3400</v>
      </c>
      <c r="E133">
        <v>8.9084955499171805</v>
      </c>
      <c r="F133">
        <v>6.96</v>
      </c>
      <c r="G133">
        <v>1.9484955499171801</v>
      </c>
      <c r="H133">
        <v>2.6201457499756402</v>
      </c>
      <c r="I133">
        <v>2.2271238874792898</v>
      </c>
      <c r="J133">
        <v>27.2712388747929</v>
      </c>
      <c r="K133">
        <v>1.55173876986864</v>
      </c>
      <c r="L133" t="s">
        <v>482</v>
      </c>
      <c r="M133">
        <v>3.49114715624897</v>
      </c>
      <c r="N133">
        <v>41767639</v>
      </c>
      <c r="O133">
        <f>IFERROR(VLOOKUP($A133,Actual!$A:$D,4,FALSE),IFERROR(VLOOKUP($A133,FC!$A:$AD,29,FALSE),"Not Found"))</f>
        <v>9.1</v>
      </c>
      <c r="P133" s="5">
        <f>IFERROR(VLOOKUP($A133,Actual!$A:$D,3,FALSE),"0")</f>
        <v>1.52E-2</v>
      </c>
    </row>
    <row r="134" spans="1:16" x14ac:dyDescent="0.2">
      <c r="A134" t="s">
        <v>136</v>
      </c>
      <c r="B134" t="s">
        <v>488</v>
      </c>
      <c r="C134" t="s">
        <v>5</v>
      </c>
      <c r="D134">
        <v>6800</v>
      </c>
      <c r="E134">
        <v>13.717602699042301</v>
      </c>
      <c r="F134">
        <v>12.76</v>
      </c>
      <c r="G134">
        <v>0.95760269904237705</v>
      </c>
      <c r="H134">
        <v>2.0172945145650498</v>
      </c>
      <c r="I134">
        <v>3.4294006747605899</v>
      </c>
      <c r="J134">
        <v>39.294006747605899</v>
      </c>
      <c r="K134">
        <v>4.5732238658170701</v>
      </c>
      <c r="L134" t="s">
        <v>482</v>
      </c>
      <c r="M134">
        <v>2.4613406942395</v>
      </c>
      <c r="N134">
        <v>41766459</v>
      </c>
      <c r="O134">
        <f>IFERROR(VLOOKUP($A134,Actual!$A:$D,4,FALSE),IFERROR(VLOOKUP($A134,FC!$A:$AD,29,FALSE),"Not Found"))</f>
        <v>15.8</v>
      </c>
      <c r="P134" s="5">
        <f>IFERROR(VLOOKUP($A134,Actual!$A:$D,3,FALSE),"0")</f>
        <v>2.0199999999999999E-2</v>
      </c>
    </row>
    <row r="135" spans="1:16" x14ac:dyDescent="0.2">
      <c r="A135" t="s">
        <v>443</v>
      </c>
      <c r="B135" t="s">
        <v>501</v>
      </c>
      <c r="C135" t="s">
        <v>17</v>
      </c>
      <c r="D135">
        <v>3500</v>
      </c>
      <c r="E135">
        <v>6.2833367057816201</v>
      </c>
      <c r="F135">
        <v>5.87</v>
      </c>
      <c r="G135">
        <v>0.41333670578162501</v>
      </c>
      <c r="H135">
        <v>1.79523905879475</v>
      </c>
      <c r="I135">
        <v>1.5708341764453999</v>
      </c>
      <c r="J135">
        <v>20.708341764454001</v>
      </c>
      <c r="K135">
        <v>2.0759047088543698</v>
      </c>
      <c r="L135" t="s">
        <v>482</v>
      </c>
      <c r="M135">
        <v>2.04276052105718</v>
      </c>
      <c r="N135">
        <v>41767627</v>
      </c>
      <c r="O135">
        <f>IFERROR(VLOOKUP($A135,Actual!$A:$D,4,FALSE),IFERROR(VLOOKUP($A135,FC!$A:$AD,29,FALSE),"Not Found"))</f>
        <v>6</v>
      </c>
      <c r="P135" s="5">
        <f>IFERROR(VLOOKUP($A135,Actual!$A:$D,3,FALSE),"0")</f>
        <v>1.6999999999999999E-3</v>
      </c>
    </row>
    <row r="136" spans="1:16" x14ac:dyDescent="0.2">
      <c r="A136" t="s">
        <v>125</v>
      </c>
      <c r="B136" t="s">
        <v>481</v>
      </c>
      <c r="C136" t="s">
        <v>17</v>
      </c>
      <c r="D136">
        <v>3300</v>
      </c>
      <c r="E136">
        <v>7.8545290514116104</v>
      </c>
      <c r="F136">
        <v>7.01</v>
      </c>
      <c r="G136">
        <v>0.84452905141161105</v>
      </c>
      <c r="H136">
        <v>2.3801603186095699</v>
      </c>
      <c r="I136">
        <v>1.9636322628528999</v>
      </c>
      <c r="J136">
        <v>24.636322628529001</v>
      </c>
      <c r="K136">
        <v>0.69196823628479198</v>
      </c>
      <c r="L136" t="s">
        <v>482</v>
      </c>
      <c r="M136">
        <v>4.6422437980623696</v>
      </c>
      <c r="N136">
        <v>41767651</v>
      </c>
      <c r="O136">
        <f>IFERROR(VLOOKUP($A136,Actual!$A:$D,4,FALSE),IFERROR(VLOOKUP($A136,FC!$A:$AD,29,FALSE),"Not Found"))</f>
        <v>11.4</v>
      </c>
      <c r="P136" s="5">
        <f>IFERROR(VLOOKUP($A136,Actual!$A:$D,3,FALSE),"0")</f>
        <v>2.3599999999999999E-2</v>
      </c>
    </row>
    <row r="137" spans="1:16" x14ac:dyDescent="0.2">
      <c r="A137" t="s">
        <v>74</v>
      </c>
      <c r="B137" t="s">
        <v>485</v>
      </c>
      <c r="C137" t="s">
        <v>17</v>
      </c>
      <c r="D137">
        <v>2700</v>
      </c>
      <c r="E137">
        <v>7.1056243599082096</v>
      </c>
      <c r="F137">
        <v>6.44</v>
      </c>
      <c r="G137">
        <v>0.66562435990821101</v>
      </c>
      <c r="H137">
        <v>2.6317127258919299</v>
      </c>
      <c r="I137">
        <v>1.77640608997705</v>
      </c>
      <c r="J137">
        <v>22.764060899770499</v>
      </c>
      <c r="K137">
        <v>1.19364520759126</v>
      </c>
      <c r="L137" t="s">
        <v>482</v>
      </c>
      <c r="M137">
        <v>3.2391857786841198</v>
      </c>
      <c r="N137">
        <v>41767745</v>
      </c>
      <c r="O137">
        <f>IFERROR(VLOOKUP($A137,Actual!$A:$D,4,FALSE),IFERROR(VLOOKUP($A137,FC!$A:$AD,29,FALSE),"Not Found"))</f>
        <v>4.0999999999999996</v>
      </c>
      <c r="P137" s="5">
        <f>IFERROR(VLOOKUP($A137,Actual!$A:$D,3,FALSE),"0")</f>
        <v>3.6999999999999998E-2</v>
      </c>
    </row>
    <row r="138" spans="1:16" x14ac:dyDescent="0.2">
      <c r="A138" t="s">
        <v>305</v>
      </c>
      <c r="B138" t="s">
        <v>502</v>
      </c>
      <c r="C138" t="s">
        <v>5</v>
      </c>
      <c r="D138">
        <v>4700</v>
      </c>
      <c r="E138">
        <v>10.529705224368699</v>
      </c>
      <c r="F138">
        <v>8.5500000000000007</v>
      </c>
      <c r="G138">
        <v>1.9797052243687701</v>
      </c>
      <c r="H138">
        <v>2.2403628136954801</v>
      </c>
      <c r="I138">
        <v>2.63242630609219</v>
      </c>
      <c r="J138">
        <v>31.324263060921901</v>
      </c>
      <c r="K138">
        <v>6.6935367490595299</v>
      </c>
      <c r="L138" t="s">
        <v>479</v>
      </c>
      <c r="M138">
        <v>1.36864300097818</v>
      </c>
      <c r="N138">
        <v>41766519</v>
      </c>
      <c r="O138">
        <f>IFERROR(VLOOKUP($A138,Actual!$A:$D,4,FALSE),IFERROR(VLOOKUP($A138,FC!$A:$AD,29,FALSE),"Not Found"))</f>
        <v>3</v>
      </c>
      <c r="P138" s="5">
        <f>IFERROR(VLOOKUP($A138,Actual!$A:$D,3,FALSE),"0")</f>
        <v>6.7000000000000002E-3</v>
      </c>
    </row>
    <row r="139" spans="1:16" x14ac:dyDescent="0.2">
      <c r="A139" t="s">
        <v>118</v>
      </c>
      <c r="B139" t="s">
        <v>489</v>
      </c>
      <c r="C139" t="s">
        <v>17</v>
      </c>
      <c r="D139">
        <v>3400</v>
      </c>
      <c r="E139">
        <v>6.8340108856507102</v>
      </c>
      <c r="F139">
        <v>6.06</v>
      </c>
      <c r="G139">
        <v>0.77401088565071297</v>
      </c>
      <c r="H139">
        <v>2.01000320166197</v>
      </c>
      <c r="I139">
        <v>1.70850272141267</v>
      </c>
      <c r="J139">
        <v>22.085027214126701</v>
      </c>
      <c r="K139">
        <v>0.79576347172751105</v>
      </c>
      <c r="L139" t="s">
        <v>482</v>
      </c>
      <c r="M139">
        <v>3.8056297464812801</v>
      </c>
      <c r="N139">
        <v>41767633</v>
      </c>
      <c r="O139">
        <f>IFERROR(VLOOKUP($A139,Actual!$A:$D,4,FALSE),IFERROR(VLOOKUP($A139,FC!$A:$AD,29,FALSE),"Not Found"))</f>
        <v>1.3</v>
      </c>
      <c r="P139" s="5">
        <f>IFERROR(VLOOKUP($A139,Actual!$A:$D,3,FALSE),"0")</f>
        <v>2.3599999999999999E-2</v>
      </c>
    </row>
    <row r="140" spans="1:16" x14ac:dyDescent="0.2">
      <c r="A140" t="s">
        <v>90</v>
      </c>
      <c r="B140" t="s">
        <v>498</v>
      </c>
      <c r="C140" t="s">
        <v>17</v>
      </c>
      <c r="D140">
        <v>5300</v>
      </c>
      <c r="E140">
        <v>12.737059026821999</v>
      </c>
      <c r="F140">
        <v>10.97</v>
      </c>
      <c r="G140">
        <v>1.7670590268219999</v>
      </c>
      <c r="H140">
        <v>2.4032186843060299</v>
      </c>
      <c r="I140">
        <v>3.1842647567054998</v>
      </c>
      <c r="J140">
        <v>36.842647567055003</v>
      </c>
      <c r="K140">
        <v>4.7226832126436999</v>
      </c>
      <c r="L140" t="s">
        <v>482</v>
      </c>
      <c r="M140">
        <v>2.22571450376297</v>
      </c>
      <c r="N140">
        <v>41767543</v>
      </c>
      <c r="O140">
        <f>IFERROR(VLOOKUP($A140,Actual!$A:$D,4,FALSE),IFERROR(VLOOKUP($A140,FC!$A:$AD,29,FALSE),"Not Found"))</f>
        <v>29.5</v>
      </c>
      <c r="P140" s="5">
        <f>IFERROR(VLOOKUP($A140,Actual!$A:$D,3,FALSE),"0")</f>
        <v>3.2000000000000001E-2</v>
      </c>
    </row>
    <row r="141" spans="1:16" x14ac:dyDescent="0.2">
      <c r="A141" t="s">
        <v>199</v>
      </c>
      <c r="B141" t="s">
        <v>499</v>
      </c>
      <c r="C141" t="s">
        <v>17</v>
      </c>
      <c r="D141">
        <v>2600</v>
      </c>
      <c r="E141">
        <v>6.4708764621408301</v>
      </c>
      <c r="F141">
        <v>6.11</v>
      </c>
      <c r="G141">
        <v>0.36087646214083602</v>
      </c>
      <c r="H141">
        <v>2.4887986392849299</v>
      </c>
      <c r="I141">
        <v>1.6177191155352</v>
      </c>
      <c r="J141">
        <v>21.177191155351998</v>
      </c>
      <c r="K141">
        <v>1.03795235442718</v>
      </c>
      <c r="L141" t="s">
        <v>482</v>
      </c>
      <c r="M141">
        <v>3.1751853511607799</v>
      </c>
      <c r="N141">
        <v>41767777</v>
      </c>
      <c r="O141">
        <f>IFERROR(VLOOKUP($A141,Actual!$A:$D,4,FALSE),IFERROR(VLOOKUP($A141,FC!$A:$AD,29,FALSE),"Not Found"))</f>
        <v>6.5</v>
      </c>
      <c r="P141" s="5">
        <f>IFERROR(VLOOKUP($A141,Actual!$A:$D,3,FALSE),"0")</f>
        <v>1.35E-2</v>
      </c>
    </row>
    <row r="142" spans="1:16" x14ac:dyDescent="0.2">
      <c r="A142" t="s">
        <v>320</v>
      </c>
      <c r="B142" t="s">
        <v>497</v>
      </c>
      <c r="C142" t="s">
        <v>17</v>
      </c>
      <c r="D142">
        <v>6100</v>
      </c>
      <c r="E142">
        <v>11.526875175872</v>
      </c>
      <c r="F142">
        <v>11.13</v>
      </c>
      <c r="G142">
        <v>0.39687517587205201</v>
      </c>
      <c r="H142">
        <v>1.88965166817574</v>
      </c>
      <c r="I142">
        <v>2.8817187939680098</v>
      </c>
      <c r="J142">
        <v>33.817187939680103</v>
      </c>
      <c r="K142">
        <v>4.04801418226603</v>
      </c>
      <c r="L142" t="s">
        <v>482</v>
      </c>
      <c r="M142">
        <v>2.28344746264117</v>
      </c>
      <c r="N142">
        <v>41767521</v>
      </c>
      <c r="O142">
        <f>IFERROR(VLOOKUP($A142,Actual!$A:$D,4,FALSE),IFERROR(VLOOKUP($A142,FC!$A:$AD,29,FALSE),"Not Found"))</f>
        <v>12.6</v>
      </c>
      <c r="P142" s="5">
        <f>IFERROR(VLOOKUP($A142,Actual!$A:$D,3,FALSE),"0")</f>
        <v>5.1000000000000004E-3</v>
      </c>
    </row>
    <row r="143" spans="1:16" x14ac:dyDescent="0.2">
      <c r="A143" t="s">
        <v>210</v>
      </c>
      <c r="B143" t="s">
        <v>484</v>
      </c>
      <c r="C143" t="s">
        <v>10</v>
      </c>
      <c r="D143">
        <v>3800</v>
      </c>
      <c r="E143">
        <v>7.7174817850820396</v>
      </c>
      <c r="F143">
        <v>6.74</v>
      </c>
      <c r="G143">
        <v>0.97748178508204597</v>
      </c>
      <c r="H143">
        <v>2.0309162592321099</v>
      </c>
      <c r="I143">
        <v>1.9293704462705099</v>
      </c>
      <c r="J143">
        <v>24.293704462705101</v>
      </c>
      <c r="K143">
        <v>0.76474642690925798</v>
      </c>
      <c r="L143" t="s">
        <v>482</v>
      </c>
      <c r="M143">
        <v>4.3731392042528601</v>
      </c>
      <c r="N143">
        <v>41767001</v>
      </c>
      <c r="O143">
        <f>IFERROR(VLOOKUP($A143,Actual!$A:$D,4,FALSE),IFERROR(VLOOKUP($A143,FC!$A:$AD,29,FALSE),"Not Found"))</f>
        <v>15.6</v>
      </c>
      <c r="P143" s="5">
        <f>IFERROR(VLOOKUP($A143,Actual!$A:$D,3,FALSE),"0")</f>
        <v>1.18E-2</v>
      </c>
    </row>
    <row r="144" spans="1:16" x14ac:dyDescent="0.2">
      <c r="A144" t="s">
        <v>364</v>
      </c>
      <c r="B144" t="s">
        <v>501</v>
      </c>
      <c r="C144" t="s">
        <v>5</v>
      </c>
      <c r="D144">
        <v>6000</v>
      </c>
      <c r="E144">
        <v>10.672232510376601</v>
      </c>
      <c r="F144">
        <v>9.35</v>
      </c>
      <c r="G144">
        <v>1.3222325103766199</v>
      </c>
      <c r="H144">
        <v>1.7787054183961</v>
      </c>
      <c r="I144">
        <v>2.6680581275941502</v>
      </c>
      <c r="J144">
        <v>31.680581275941499</v>
      </c>
      <c r="K144">
        <v>3.9911771919858099</v>
      </c>
      <c r="L144" t="s">
        <v>482</v>
      </c>
      <c r="M144">
        <v>2.13821952214253</v>
      </c>
      <c r="N144">
        <v>41766481</v>
      </c>
      <c r="O144">
        <f>IFERROR(VLOOKUP($A144,Actual!$A:$D,4,FALSE),IFERROR(VLOOKUP($A144,FC!$A:$AD,29,FALSE),"Not Found"))</f>
        <v>0</v>
      </c>
      <c r="P144" s="5">
        <f>IFERROR(VLOOKUP($A144,Actual!$A:$D,3,FALSE),"0")</f>
        <v>3.3999999999999998E-3</v>
      </c>
    </row>
    <row r="145" spans="1:16" x14ac:dyDescent="0.2">
      <c r="A145" t="s">
        <v>50</v>
      </c>
      <c r="B145" t="s">
        <v>494</v>
      </c>
      <c r="C145" t="s">
        <v>17</v>
      </c>
      <c r="D145">
        <v>4100</v>
      </c>
      <c r="E145">
        <v>9.3378463596657397</v>
      </c>
      <c r="F145">
        <v>7.05</v>
      </c>
      <c r="G145">
        <v>2.2878463596657399</v>
      </c>
      <c r="H145">
        <v>2.2775235023574898</v>
      </c>
      <c r="I145">
        <v>2.33446158991643</v>
      </c>
      <c r="J145">
        <v>28.3446158991643</v>
      </c>
      <c r="K145">
        <v>4.04801418226603</v>
      </c>
      <c r="L145" t="s">
        <v>482</v>
      </c>
      <c r="M145">
        <v>1.8498058885155499</v>
      </c>
      <c r="N145">
        <v>41767589</v>
      </c>
      <c r="O145">
        <f>IFERROR(VLOOKUP($A145,Actual!$A:$D,4,FALSE),IFERROR(VLOOKUP($A145,FC!$A:$AD,29,FALSE),"Not Found"))</f>
        <v>8.6</v>
      </c>
      <c r="P145" s="5">
        <f>IFERROR(VLOOKUP($A145,Actual!$A:$D,3,FALSE),"0")</f>
        <v>4.8800000000000003E-2</v>
      </c>
    </row>
    <row r="146" spans="1:16" x14ac:dyDescent="0.2">
      <c r="A146" t="s">
        <v>264</v>
      </c>
      <c r="B146" t="s">
        <v>483</v>
      </c>
      <c r="C146" t="s">
        <v>10</v>
      </c>
      <c r="D146">
        <v>7600</v>
      </c>
      <c r="E146">
        <v>18.501156636936699</v>
      </c>
      <c r="F146">
        <v>14.81</v>
      </c>
      <c r="G146">
        <v>3.6911566369367499</v>
      </c>
      <c r="H146">
        <v>2.4343627153864098</v>
      </c>
      <c r="I146">
        <v>4.62528915923418</v>
      </c>
      <c r="J146">
        <v>51.252891592341797</v>
      </c>
      <c r="K146">
        <v>1.99499067889371</v>
      </c>
      <c r="L146" t="s">
        <v>482</v>
      </c>
      <c r="M146">
        <v>6.1773670173059303</v>
      </c>
      <c r="N146">
        <v>41766807</v>
      </c>
      <c r="O146">
        <f>IFERROR(VLOOKUP($A146,Actual!$A:$D,4,FALSE),IFERROR(VLOOKUP($A146,FC!$A:$AD,29,FALSE),"Not Found"))</f>
        <v>6.3</v>
      </c>
      <c r="P146" s="5">
        <f>IFERROR(VLOOKUP($A146,Actual!$A:$D,3,FALSE),"0")</f>
        <v>8.3999999999999995E-3</v>
      </c>
    </row>
    <row r="147" spans="1:16" x14ac:dyDescent="0.2">
      <c r="A147" t="s">
        <v>286</v>
      </c>
      <c r="B147" t="s">
        <v>496</v>
      </c>
      <c r="C147" t="s">
        <v>5</v>
      </c>
      <c r="D147">
        <v>4600</v>
      </c>
      <c r="E147">
        <v>10.8754449200071</v>
      </c>
      <c r="F147">
        <v>9.67</v>
      </c>
      <c r="G147">
        <v>1.20544492000711</v>
      </c>
      <c r="H147">
        <v>2.3642271565232802</v>
      </c>
      <c r="I147">
        <v>2.71886123000177</v>
      </c>
      <c r="J147">
        <v>32.188612300017702</v>
      </c>
      <c r="K147">
        <v>1.99499067889371</v>
      </c>
      <c r="L147" t="s">
        <v>482</v>
      </c>
      <c r="M147">
        <v>3.6312116083193402</v>
      </c>
      <c r="N147">
        <v>41766931</v>
      </c>
      <c r="O147">
        <f>IFERROR(VLOOKUP($A147,Actual!$A:$D,4,FALSE),IFERROR(VLOOKUP($A147,FC!$A:$AD,29,FALSE),"Not Found"))</f>
        <v>0</v>
      </c>
      <c r="P147" s="5">
        <f>IFERROR(VLOOKUP($A147,Actual!$A:$D,3,FALSE),"0")</f>
        <v>6.7000000000000002E-3</v>
      </c>
    </row>
    <row r="148" spans="1:16" x14ac:dyDescent="0.2">
      <c r="A148" t="s">
        <v>384</v>
      </c>
      <c r="B148" t="s">
        <v>505</v>
      </c>
      <c r="C148" t="s">
        <v>17</v>
      </c>
      <c r="D148">
        <v>2800</v>
      </c>
      <c r="E148">
        <v>4.8683098957309303</v>
      </c>
      <c r="F148">
        <v>4.99</v>
      </c>
      <c r="G148">
        <v>-0.121690104269065</v>
      </c>
      <c r="H148">
        <v>1.73868210561819</v>
      </c>
      <c r="I148">
        <v>1.2170774739327299</v>
      </c>
      <c r="J148">
        <v>17.1707747393273</v>
      </c>
      <c r="K148">
        <v>0.69196823628479198</v>
      </c>
      <c r="L148" t="s">
        <v>482</v>
      </c>
      <c r="M148">
        <v>2.8773057267438502</v>
      </c>
      <c r="N148">
        <v>41767735</v>
      </c>
      <c r="O148">
        <f>IFERROR(VLOOKUP($A148,Actual!$A:$D,4,FALSE),IFERROR(VLOOKUP($A148,FC!$A:$AD,29,FALSE),"Not Found"))</f>
        <v>2.6</v>
      </c>
      <c r="P148" s="5">
        <f>IFERROR(VLOOKUP($A148,Actual!$A:$D,3,FALSE),"0")</f>
        <v>1.6999999999999999E-3</v>
      </c>
    </row>
    <row r="149" spans="1:16" x14ac:dyDescent="0.2">
      <c r="A149" t="s">
        <v>94</v>
      </c>
      <c r="B149" t="s">
        <v>485</v>
      </c>
      <c r="C149" t="s">
        <v>17</v>
      </c>
      <c r="D149">
        <v>3400</v>
      </c>
      <c r="E149">
        <v>8.0707440943114896</v>
      </c>
      <c r="F149">
        <v>8.09</v>
      </c>
      <c r="G149">
        <v>-1.9255905688506599E-2</v>
      </c>
      <c r="H149">
        <v>2.3737482630327902</v>
      </c>
      <c r="I149">
        <v>2.0176860235778702</v>
      </c>
      <c r="J149">
        <v>25.176860235778701</v>
      </c>
      <c r="K149">
        <v>0.79576347172751105</v>
      </c>
      <c r="L149" t="s">
        <v>482</v>
      </c>
      <c r="M149">
        <v>4.4943246821629002</v>
      </c>
      <c r="N149">
        <v>41767631</v>
      </c>
      <c r="O149">
        <f>IFERROR(VLOOKUP($A149,Actual!$A:$D,4,FALSE),IFERROR(VLOOKUP($A149,FC!$A:$AD,29,FALSE),"Not Found"))</f>
        <v>6.9</v>
      </c>
      <c r="P149" s="5">
        <f>IFERROR(VLOOKUP($A149,Actual!$A:$D,3,FALSE),"0")</f>
        <v>3.0300000000000001E-2</v>
      </c>
    </row>
    <row r="150" spans="1:16" x14ac:dyDescent="0.2">
      <c r="A150" t="s">
        <v>344</v>
      </c>
      <c r="B150" t="s">
        <v>485</v>
      </c>
      <c r="C150" t="s">
        <v>17</v>
      </c>
      <c r="D150">
        <v>2500</v>
      </c>
      <c r="E150">
        <v>5.5127466926666298</v>
      </c>
      <c r="F150">
        <v>5.9</v>
      </c>
      <c r="G150">
        <v>-0.387253307333361</v>
      </c>
      <c r="H150">
        <v>2.2050986770666499</v>
      </c>
      <c r="I150">
        <v>1.3781866731666499</v>
      </c>
      <c r="J150">
        <v>18.781866731666501</v>
      </c>
      <c r="K150">
        <v>0.69196823628479198</v>
      </c>
      <c r="L150" t="s">
        <v>482</v>
      </c>
      <c r="M150">
        <v>3.2581856883858902</v>
      </c>
      <c r="N150">
        <v>41767813</v>
      </c>
      <c r="O150">
        <f>IFERROR(VLOOKUP($A150,Actual!$A:$D,4,FALSE),IFERROR(VLOOKUP($A150,FC!$A:$AD,29,FALSE),"Not Found"))</f>
        <v>11.5</v>
      </c>
      <c r="P150" s="5">
        <f>IFERROR(VLOOKUP($A150,Actual!$A:$D,3,FALSE),"0")</f>
        <v>3.3999999999999998E-3</v>
      </c>
    </row>
    <row r="151" spans="1:16" x14ac:dyDescent="0.2">
      <c r="A151" t="s">
        <v>287</v>
      </c>
      <c r="B151" t="s">
        <v>502</v>
      </c>
      <c r="C151" t="s">
        <v>17</v>
      </c>
      <c r="D151">
        <v>5400</v>
      </c>
      <c r="E151">
        <v>9.1985565476048397</v>
      </c>
      <c r="F151">
        <v>9.65</v>
      </c>
      <c r="G151">
        <v>-0.45144345239515099</v>
      </c>
      <c r="H151">
        <v>1.7034363977046001</v>
      </c>
      <c r="I151">
        <v>2.2996391369012099</v>
      </c>
      <c r="J151">
        <v>27.996391369012098</v>
      </c>
      <c r="K151">
        <v>4.7226832126436999</v>
      </c>
      <c r="L151" t="s">
        <v>482</v>
      </c>
      <c r="M151">
        <v>1.6073852432162401</v>
      </c>
      <c r="N151">
        <v>41767539</v>
      </c>
      <c r="O151">
        <f>IFERROR(VLOOKUP($A151,Actual!$A:$D,4,FALSE),IFERROR(VLOOKUP($A151,FC!$A:$AD,29,FALSE),"Not Found"))</f>
        <v>13.6</v>
      </c>
      <c r="P151" s="5">
        <f>IFERROR(VLOOKUP($A151,Actual!$A:$D,3,FALSE),"0")</f>
        <v>6.7000000000000002E-3</v>
      </c>
    </row>
    <row r="152" spans="1:16" x14ac:dyDescent="0.2">
      <c r="A152" t="s">
        <v>25</v>
      </c>
      <c r="B152" t="s">
        <v>489</v>
      </c>
      <c r="C152" t="s">
        <v>10</v>
      </c>
      <c r="D152">
        <v>6800</v>
      </c>
      <c r="E152">
        <v>16.220599875242399</v>
      </c>
      <c r="F152">
        <v>13.3</v>
      </c>
      <c r="G152">
        <v>2.9205998752424498</v>
      </c>
      <c r="H152">
        <v>2.3853823345944698</v>
      </c>
      <c r="I152">
        <v>4.0551499688106096</v>
      </c>
      <c r="J152">
        <v>45.551499688106098</v>
      </c>
      <c r="K152">
        <v>1.4264183354090001</v>
      </c>
      <c r="L152" t="s">
        <v>482</v>
      </c>
      <c r="M152">
        <v>6.6849972399785003</v>
      </c>
      <c r="N152">
        <v>41766829</v>
      </c>
      <c r="O152">
        <f>IFERROR(VLOOKUP($A152,Actual!$A:$D,4,FALSE),IFERROR(VLOOKUP($A152,FC!$A:$AD,29,FALSE),"Not Found"))</f>
        <v>6</v>
      </c>
      <c r="P152" s="5">
        <f>IFERROR(VLOOKUP($A152,Actual!$A:$D,3,FALSE),"0")</f>
        <v>8.2500000000000004E-2</v>
      </c>
    </row>
    <row r="153" spans="1:16" x14ac:dyDescent="0.2">
      <c r="A153" t="s">
        <v>560</v>
      </c>
      <c r="B153" t="s">
        <v>505</v>
      </c>
      <c r="C153" t="s">
        <v>17</v>
      </c>
      <c r="D153">
        <v>2500</v>
      </c>
      <c r="E153">
        <v>5.3010996480439703</v>
      </c>
      <c r="F153">
        <v>5.15</v>
      </c>
      <c r="G153">
        <v>0.151099648043969</v>
      </c>
      <c r="H153">
        <v>2.1204398592175799</v>
      </c>
      <c r="I153">
        <v>1.3252749120109899</v>
      </c>
      <c r="J153">
        <v>18.2527491201099</v>
      </c>
      <c r="K153">
        <v>0.69196823628479198</v>
      </c>
      <c r="L153" t="s">
        <v>482</v>
      </c>
      <c r="M153">
        <v>3.13309643429481</v>
      </c>
      <c r="N153">
        <v>41767931</v>
      </c>
      <c r="O153">
        <f>IFERROR(VLOOKUP($A153,Actual!$A:$D,4,FALSE),IFERROR(VLOOKUP($A153,FC!$A:$AD,29,FALSE),"Not Found"))</f>
        <v>2.6</v>
      </c>
      <c r="P153" s="5" t="str">
        <f>IFERROR(VLOOKUP($A153,Actual!$A:$D,3,FALSE),"0")</f>
        <v>0</v>
      </c>
    </row>
    <row r="154" spans="1:16" x14ac:dyDescent="0.2">
      <c r="A154" t="s">
        <v>115</v>
      </c>
      <c r="B154" t="s">
        <v>498</v>
      </c>
      <c r="C154" t="s">
        <v>10</v>
      </c>
      <c r="D154">
        <v>6400</v>
      </c>
      <c r="E154">
        <v>13.2487447331124</v>
      </c>
      <c r="F154">
        <v>10.47</v>
      </c>
      <c r="G154">
        <v>2.77874473311243</v>
      </c>
      <c r="H154">
        <v>2.0701163645488099</v>
      </c>
      <c r="I154">
        <v>3.3121861832780999</v>
      </c>
      <c r="J154">
        <v>38.121861832781001</v>
      </c>
      <c r="K154">
        <v>1.2967439412809101</v>
      </c>
      <c r="L154" t="s">
        <v>482</v>
      </c>
      <c r="M154">
        <v>5.7684901198535297</v>
      </c>
      <c r="N154">
        <v>41766843</v>
      </c>
      <c r="O154">
        <f>IFERROR(VLOOKUP($A154,Actual!$A:$D,4,FALSE),IFERROR(VLOOKUP($A154,FC!$A:$AD,29,FALSE),"Not Found"))</f>
        <v>31</v>
      </c>
      <c r="P154" s="5">
        <f>IFERROR(VLOOKUP($A154,Actual!$A:$D,3,FALSE),"0")</f>
        <v>2.53E-2</v>
      </c>
    </row>
    <row r="155" spans="1:16" x14ac:dyDescent="0.2">
      <c r="A155" t="s">
        <v>373</v>
      </c>
      <c r="B155" t="s">
        <v>496</v>
      </c>
      <c r="C155" t="s">
        <v>17</v>
      </c>
      <c r="D155">
        <v>2700</v>
      </c>
      <c r="E155">
        <v>5.9222837366602601</v>
      </c>
      <c r="F155">
        <v>5.92</v>
      </c>
      <c r="G155">
        <v>2.2837366602690401E-3</v>
      </c>
      <c r="H155">
        <v>2.19343842098528</v>
      </c>
      <c r="I155">
        <v>1.4805709341650599</v>
      </c>
      <c r="J155">
        <v>19.805709341650601</v>
      </c>
      <c r="K155">
        <v>0.69196823628479198</v>
      </c>
      <c r="L155" t="s">
        <v>482</v>
      </c>
      <c r="M155">
        <v>3.5002334025279098</v>
      </c>
      <c r="N155">
        <v>41767755</v>
      </c>
      <c r="O155">
        <f>IFERROR(VLOOKUP($A155,Actual!$A:$D,4,FALSE),IFERROR(VLOOKUP($A155,FC!$A:$AD,29,FALSE),"Not Found"))</f>
        <v>1.3</v>
      </c>
      <c r="P155" s="5">
        <f>IFERROR(VLOOKUP($A155,Actual!$A:$D,3,FALSE),"0")</f>
        <v>3.3999999999999998E-3</v>
      </c>
    </row>
    <row r="156" spans="1:16" x14ac:dyDescent="0.2">
      <c r="A156" t="s">
        <v>414</v>
      </c>
      <c r="B156" t="s">
        <v>491</v>
      </c>
      <c r="C156" t="s">
        <v>17</v>
      </c>
      <c r="D156">
        <v>2500</v>
      </c>
      <c r="E156">
        <v>5.2298070941906198</v>
      </c>
      <c r="F156">
        <v>3.51</v>
      </c>
      <c r="G156">
        <v>1.7198070941906201</v>
      </c>
      <c r="H156">
        <v>2.09192283767625</v>
      </c>
      <c r="I156">
        <v>1.3074517735476501</v>
      </c>
      <c r="J156">
        <v>18.074517735476501</v>
      </c>
      <c r="K156">
        <v>0.79576347172751105</v>
      </c>
      <c r="L156" t="s">
        <v>482</v>
      </c>
      <c r="M156">
        <v>2.9123028597745</v>
      </c>
      <c r="N156">
        <v>41767795</v>
      </c>
      <c r="O156">
        <f>IFERROR(VLOOKUP($A156,Actual!$A:$D,4,FALSE),IFERROR(VLOOKUP($A156,FC!$A:$AD,29,FALSE),"Not Found"))</f>
        <v>5.6</v>
      </c>
      <c r="P156" s="5">
        <f>IFERROR(VLOOKUP($A156,Actual!$A:$D,3,FALSE),"0")</f>
        <v>1.6999999999999999E-3</v>
      </c>
    </row>
    <row r="157" spans="1:16" x14ac:dyDescent="0.2">
      <c r="A157" t="s">
        <v>377</v>
      </c>
      <c r="B157" t="s">
        <v>498</v>
      </c>
      <c r="C157" t="s">
        <v>17</v>
      </c>
      <c r="D157">
        <v>2700</v>
      </c>
      <c r="E157">
        <v>6.76927496930311</v>
      </c>
      <c r="F157">
        <v>4.8</v>
      </c>
      <c r="G157">
        <v>1.96927496930311</v>
      </c>
      <c r="H157">
        <v>2.5071388775196701</v>
      </c>
      <c r="I157">
        <v>1.69231874232577</v>
      </c>
      <c r="J157">
        <v>21.923187423257701</v>
      </c>
      <c r="K157">
        <v>1.03795235442718</v>
      </c>
      <c r="L157" t="s">
        <v>482</v>
      </c>
      <c r="M157">
        <v>3.3216060986890699</v>
      </c>
      <c r="N157">
        <v>41767753</v>
      </c>
      <c r="O157">
        <f>IFERROR(VLOOKUP($A157,Actual!$A:$D,4,FALSE),IFERROR(VLOOKUP($A157,FC!$A:$AD,29,FALSE),"Not Found"))</f>
        <v>16.8</v>
      </c>
      <c r="P157" s="5">
        <f>IFERROR(VLOOKUP($A157,Actual!$A:$D,3,FALSE),"0")</f>
        <v>3.3999999999999998E-3</v>
      </c>
    </row>
    <row r="158" spans="1:16" x14ac:dyDescent="0.2">
      <c r="A158" t="s">
        <v>121</v>
      </c>
      <c r="B158" t="s">
        <v>494</v>
      </c>
      <c r="C158" t="s">
        <v>5</v>
      </c>
      <c r="D158">
        <v>7900</v>
      </c>
      <c r="E158">
        <v>15.2284251127152</v>
      </c>
      <c r="F158">
        <v>13.08</v>
      </c>
      <c r="G158">
        <v>2.1484251127152398</v>
      </c>
      <c r="H158">
        <v>1.92764874844496</v>
      </c>
      <c r="I158">
        <v>3.8071062781788099</v>
      </c>
      <c r="J158">
        <v>43.0710627817881</v>
      </c>
      <c r="K158">
        <v>4.1436179875130401</v>
      </c>
      <c r="L158" t="s">
        <v>482</v>
      </c>
      <c r="M158">
        <v>2.96064465706525</v>
      </c>
      <c r="N158">
        <v>41766451</v>
      </c>
      <c r="O158">
        <f>IFERROR(VLOOKUP($A158,Actual!$A:$D,4,FALSE),IFERROR(VLOOKUP($A158,FC!$A:$AD,29,FALSE),"Not Found"))</f>
        <v>10.6</v>
      </c>
      <c r="P158" s="5">
        <f>IFERROR(VLOOKUP($A158,Actual!$A:$D,3,FALSE),"0")</f>
        <v>2.3599999999999999E-2</v>
      </c>
    </row>
    <row r="159" spans="1:16" x14ac:dyDescent="0.2">
      <c r="A159" t="s">
        <v>441</v>
      </c>
      <c r="B159" t="s">
        <v>504</v>
      </c>
      <c r="C159" t="s">
        <v>17</v>
      </c>
      <c r="D159">
        <v>2900</v>
      </c>
      <c r="E159">
        <v>6.6664470006256504</v>
      </c>
      <c r="F159">
        <v>5.04</v>
      </c>
      <c r="G159">
        <v>1.62644700062565</v>
      </c>
      <c r="H159">
        <v>2.2987748278019402</v>
      </c>
      <c r="I159">
        <v>1.6666117501564099</v>
      </c>
      <c r="J159">
        <v>21.666117501564099</v>
      </c>
      <c r="K159">
        <v>0.79576347172751105</v>
      </c>
      <c r="L159" t="s">
        <v>482</v>
      </c>
      <c r="M159">
        <v>3.71231908075988</v>
      </c>
      <c r="N159">
        <v>41767707</v>
      </c>
      <c r="O159">
        <f>IFERROR(VLOOKUP($A159,Actual!$A:$D,4,FALSE),IFERROR(VLOOKUP($A159,FC!$A:$AD,29,FALSE),"Not Found"))</f>
        <v>5.6</v>
      </c>
      <c r="P159" s="5">
        <f>IFERROR(VLOOKUP($A159,Actual!$A:$D,3,FALSE),"0")</f>
        <v>1.6999999999999999E-3</v>
      </c>
    </row>
    <row r="160" spans="1:16" x14ac:dyDescent="0.2">
      <c r="A160" t="s">
        <v>227</v>
      </c>
      <c r="B160" t="s">
        <v>491</v>
      </c>
      <c r="C160" t="s">
        <v>17</v>
      </c>
      <c r="D160">
        <v>2600</v>
      </c>
      <c r="E160">
        <v>5.61953175371508</v>
      </c>
      <c r="F160">
        <v>5.48</v>
      </c>
      <c r="G160">
        <v>0.139531753715087</v>
      </c>
      <c r="H160">
        <v>2.1613583668134901</v>
      </c>
      <c r="I160">
        <v>1.40488293842877</v>
      </c>
      <c r="J160">
        <v>19.0488293842877</v>
      </c>
      <c r="K160">
        <v>0.69196823628479198</v>
      </c>
      <c r="L160" t="s">
        <v>482</v>
      </c>
      <c r="M160">
        <v>3.3212986114056098</v>
      </c>
      <c r="N160">
        <v>41767765</v>
      </c>
      <c r="O160">
        <f>IFERROR(VLOOKUP($A160,Actual!$A:$D,4,FALSE),IFERROR(VLOOKUP($A160,FC!$A:$AD,29,FALSE),"Not Found"))</f>
        <v>2.6</v>
      </c>
      <c r="P160" s="5">
        <f>IFERROR(VLOOKUP($A160,Actual!$A:$D,3,FALSE),"0")</f>
        <v>1.01E-2</v>
      </c>
    </row>
    <row r="161" spans="1:16" x14ac:dyDescent="0.2">
      <c r="A161" t="s">
        <v>155</v>
      </c>
      <c r="B161" t="s">
        <v>510</v>
      </c>
      <c r="C161" t="s">
        <v>10</v>
      </c>
      <c r="D161">
        <v>3600</v>
      </c>
      <c r="E161">
        <v>9.5529651606826196</v>
      </c>
      <c r="F161">
        <v>7.36</v>
      </c>
      <c r="G161">
        <v>2.1929651606826202</v>
      </c>
      <c r="H161">
        <v>2.6536014335229501</v>
      </c>
      <c r="I161">
        <v>2.38824129017065</v>
      </c>
      <c r="J161">
        <v>28.882412901706498</v>
      </c>
      <c r="K161">
        <v>1.4912555324730501</v>
      </c>
      <c r="L161" t="s">
        <v>482</v>
      </c>
      <c r="M161">
        <v>3.83459867370548</v>
      </c>
      <c r="N161">
        <v>41767015</v>
      </c>
      <c r="O161">
        <f>IFERROR(VLOOKUP($A161,Actual!$A:$D,4,FALSE),IFERROR(VLOOKUP($A161,FC!$A:$AD,29,FALSE),"Not Found"))</f>
        <v>8.4</v>
      </c>
      <c r="P161" s="5">
        <f>IFERROR(VLOOKUP($A161,Actual!$A:$D,3,FALSE),"0")</f>
        <v>1.6799999999999999E-2</v>
      </c>
    </row>
    <row r="162" spans="1:16" x14ac:dyDescent="0.2">
      <c r="A162" t="s">
        <v>70</v>
      </c>
      <c r="B162" t="s">
        <v>498</v>
      </c>
      <c r="C162" t="s">
        <v>5</v>
      </c>
      <c r="D162">
        <v>6700</v>
      </c>
      <c r="E162">
        <v>15.042513287256501</v>
      </c>
      <c r="F162">
        <v>12.96</v>
      </c>
      <c r="G162">
        <v>2.0825132872565502</v>
      </c>
      <c r="H162">
        <v>2.2451512369039599</v>
      </c>
      <c r="I162">
        <v>3.7606283218141301</v>
      </c>
      <c r="J162">
        <v>42.6062832181413</v>
      </c>
      <c r="K162">
        <v>1.18868194617417</v>
      </c>
      <c r="L162" t="s">
        <v>482</v>
      </c>
      <c r="M162">
        <v>6.8728639689064597</v>
      </c>
      <c r="N162">
        <v>41766833</v>
      </c>
      <c r="O162">
        <f>IFERROR(VLOOKUP($A162,Actual!$A:$D,4,FALSE),IFERROR(VLOOKUP($A162,FC!$A:$AD,29,FALSE),"Not Found"))</f>
        <v>8</v>
      </c>
      <c r="P162" s="5">
        <f>IFERROR(VLOOKUP($A162,Actual!$A:$D,3,FALSE),"0")</f>
        <v>3.8699999999999998E-2</v>
      </c>
    </row>
    <row r="163" spans="1:16" x14ac:dyDescent="0.2">
      <c r="A163" t="s">
        <v>261</v>
      </c>
      <c r="B163" t="s">
        <v>507</v>
      </c>
      <c r="C163" t="s">
        <v>10</v>
      </c>
      <c r="D163">
        <v>3600</v>
      </c>
      <c r="E163">
        <v>6.7475297210517402</v>
      </c>
      <c r="F163">
        <v>6.92</v>
      </c>
      <c r="G163">
        <v>-0.17247027894825701</v>
      </c>
      <c r="H163">
        <v>1.87431381140326</v>
      </c>
      <c r="I163">
        <v>1.6868824302629299</v>
      </c>
      <c r="J163">
        <v>21.868824302629299</v>
      </c>
      <c r="K163">
        <v>0.76474642690925798</v>
      </c>
      <c r="L163" t="s">
        <v>482</v>
      </c>
      <c r="M163">
        <v>3.8235123291164399</v>
      </c>
      <c r="N163">
        <v>41767019</v>
      </c>
      <c r="O163">
        <f>IFERROR(VLOOKUP($A163,Actual!$A:$D,4,FALSE),IFERROR(VLOOKUP($A163,FC!$A:$AD,29,FALSE),"Not Found"))</f>
        <v>4.3</v>
      </c>
      <c r="P163" s="5">
        <f>IFERROR(VLOOKUP($A163,Actual!$A:$D,3,FALSE),"0")</f>
        <v>8.3999999999999995E-3</v>
      </c>
    </row>
    <row r="164" spans="1:16" x14ac:dyDescent="0.2">
      <c r="A164" t="s">
        <v>133</v>
      </c>
      <c r="B164" t="s">
        <v>491</v>
      </c>
      <c r="C164" t="s">
        <v>5</v>
      </c>
      <c r="D164">
        <v>7800</v>
      </c>
      <c r="E164">
        <v>16.1211606775299</v>
      </c>
      <c r="F164">
        <v>15.07</v>
      </c>
      <c r="G164">
        <v>1.05116067752991</v>
      </c>
      <c r="H164">
        <v>2.0668154714781899</v>
      </c>
      <c r="I164">
        <v>4.0302901693824698</v>
      </c>
      <c r="J164">
        <v>45.302901693824701</v>
      </c>
      <c r="K164">
        <v>5.4047191141474498</v>
      </c>
      <c r="L164" t="s">
        <v>479</v>
      </c>
      <c r="M164">
        <v>2.5170753611848</v>
      </c>
      <c r="N164">
        <v>41766453</v>
      </c>
      <c r="O164">
        <f>IFERROR(VLOOKUP($A164,Actual!$A:$D,4,FALSE),IFERROR(VLOOKUP($A164,FC!$A:$AD,29,FALSE),"Not Found"))</f>
        <v>14.5</v>
      </c>
      <c r="P164" s="5">
        <f>IFERROR(VLOOKUP($A164,Actual!$A:$D,3,FALSE),"0")</f>
        <v>2.1899999999999999E-2</v>
      </c>
    </row>
    <row r="165" spans="1:16" x14ac:dyDescent="0.2">
      <c r="A165" t="s">
        <v>209</v>
      </c>
      <c r="B165" t="s">
        <v>490</v>
      </c>
      <c r="C165" t="s">
        <v>5</v>
      </c>
      <c r="D165">
        <v>3600</v>
      </c>
      <c r="E165">
        <v>7.4946294397914803</v>
      </c>
      <c r="F165">
        <v>6.5</v>
      </c>
      <c r="G165">
        <v>0.99462943979148</v>
      </c>
      <c r="H165">
        <v>2.08184151105318</v>
      </c>
      <c r="I165">
        <v>1.8736573599478701</v>
      </c>
      <c r="J165">
        <v>23.736573599478699</v>
      </c>
      <c r="K165">
        <v>0.76474642690925798</v>
      </c>
      <c r="L165" t="s">
        <v>482</v>
      </c>
      <c r="M165">
        <v>4.2468591099047703</v>
      </c>
      <c r="N165">
        <v>41767021</v>
      </c>
      <c r="O165">
        <f>IFERROR(VLOOKUP($A165,Actual!$A:$D,4,FALSE),IFERROR(VLOOKUP($A165,FC!$A:$AD,29,FALSE),"Not Found"))</f>
        <v>6.5</v>
      </c>
      <c r="P165" s="5">
        <f>IFERROR(VLOOKUP($A165,Actual!$A:$D,3,FALSE),"0")</f>
        <v>1.18E-2</v>
      </c>
    </row>
    <row r="166" spans="1:16" x14ac:dyDescent="0.2">
      <c r="A166" t="s">
        <v>32</v>
      </c>
      <c r="B166" t="s">
        <v>484</v>
      </c>
      <c r="C166" t="s">
        <v>5</v>
      </c>
      <c r="D166">
        <v>5800</v>
      </c>
      <c r="E166">
        <v>12.579860765403099</v>
      </c>
      <c r="F166">
        <v>10.46</v>
      </c>
      <c r="G166">
        <v>2.1198607654031401</v>
      </c>
      <c r="H166">
        <v>2.1689415112764001</v>
      </c>
      <c r="I166">
        <v>3.1449651913507801</v>
      </c>
      <c r="J166">
        <v>36.4496519135078</v>
      </c>
      <c r="K166">
        <v>1.2967439412809101</v>
      </c>
      <c r="L166" t="s">
        <v>482</v>
      </c>
      <c r="M166">
        <v>5.4772587136497304</v>
      </c>
      <c r="N166">
        <v>41766869</v>
      </c>
      <c r="O166">
        <f>IFERROR(VLOOKUP($A166,Actual!$A:$D,4,FALSE),IFERROR(VLOOKUP($A166,FC!$A:$AD,29,FALSE),"Not Found"))</f>
        <v>11</v>
      </c>
      <c r="P166" s="5">
        <f>IFERROR(VLOOKUP($A166,Actual!$A:$D,3,FALSE),"0")</f>
        <v>6.5699999999999995E-2</v>
      </c>
    </row>
    <row r="167" spans="1:16" x14ac:dyDescent="0.2">
      <c r="A167" t="s">
        <v>141</v>
      </c>
      <c r="B167" t="s">
        <v>480</v>
      </c>
      <c r="C167" t="s">
        <v>17</v>
      </c>
      <c r="D167">
        <v>5000</v>
      </c>
      <c r="E167">
        <v>9.5682592722594606</v>
      </c>
      <c r="F167">
        <v>9.18</v>
      </c>
      <c r="G167">
        <v>0.38825927225946799</v>
      </c>
      <c r="H167">
        <v>1.9136518544518899</v>
      </c>
      <c r="I167">
        <v>2.3920648180648598</v>
      </c>
      <c r="J167">
        <v>28.920648180648602</v>
      </c>
      <c r="K167">
        <v>3.6207237963601702</v>
      </c>
      <c r="L167" t="s">
        <v>482</v>
      </c>
      <c r="M167">
        <v>2.0707273782078301</v>
      </c>
      <c r="N167">
        <v>41767555</v>
      </c>
      <c r="O167">
        <f>IFERROR(VLOOKUP($A167,Actual!$A:$D,4,FALSE),IFERROR(VLOOKUP($A167,FC!$A:$AD,29,FALSE),"Not Found"))</f>
        <v>7.3</v>
      </c>
      <c r="P167" s="5">
        <f>IFERROR(VLOOKUP($A167,Actual!$A:$D,3,FALSE),"0")</f>
        <v>2.0199999999999999E-2</v>
      </c>
    </row>
    <row r="168" spans="1:16" x14ac:dyDescent="0.2">
      <c r="A168" t="s">
        <v>131</v>
      </c>
      <c r="B168" t="s">
        <v>495</v>
      </c>
      <c r="C168" t="s">
        <v>10</v>
      </c>
      <c r="D168">
        <v>5900</v>
      </c>
      <c r="E168">
        <v>12.8157594019768</v>
      </c>
      <c r="F168">
        <v>10.53</v>
      </c>
      <c r="G168">
        <v>2.2857594019768901</v>
      </c>
      <c r="H168">
        <v>2.1721626105045502</v>
      </c>
      <c r="I168">
        <v>3.20393985049422</v>
      </c>
      <c r="J168">
        <v>37.039398504942199</v>
      </c>
      <c r="K168">
        <v>0.79533628398562795</v>
      </c>
      <c r="L168" t="s">
        <v>482</v>
      </c>
      <c r="M168">
        <v>7.1383614960011998</v>
      </c>
      <c r="N168">
        <v>41766863</v>
      </c>
      <c r="O168">
        <f>IFERROR(VLOOKUP($A168,Actual!$A:$D,4,FALSE),IFERROR(VLOOKUP($A168,FC!$A:$AD,29,FALSE),"Not Found"))</f>
        <v>10.5</v>
      </c>
      <c r="P168" s="5">
        <f>IFERROR(VLOOKUP($A168,Actual!$A:$D,3,FALSE),"0")</f>
        <v>2.1899999999999999E-2</v>
      </c>
    </row>
    <row r="169" spans="1:16" x14ac:dyDescent="0.2">
      <c r="A169" t="s">
        <v>644</v>
      </c>
      <c r="B169" t="s">
        <v>496</v>
      </c>
      <c r="C169" t="s">
        <v>17</v>
      </c>
      <c r="D169">
        <v>2500</v>
      </c>
      <c r="E169">
        <v>3.9604915095414701</v>
      </c>
      <c r="F169">
        <v>3.11</v>
      </c>
      <c r="G169">
        <v>0.85049150954147201</v>
      </c>
      <c r="H169">
        <v>1.58419660381658</v>
      </c>
      <c r="I169">
        <v>0.99012287738536797</v>
      </c>
      <c r="J169">
        <v>14.9012287738536</v>
      </c>
      <c r="K169">
        <v>0.415180941770875</v>
      </c>
      <c r="L169" t="s">
        <v>482</v>
      </c>
      <c r="M169">
        <v>2.7985760637685901</v>
      </c>
      <c r="N169">
        <v>41767909</v>
      </c>
      <c r="O169">
        <f>IFERROR(VLOOKUP($A169,Actual!$A:$D,4,FALSE),IFERROR(VLOOKUP($A169,FC!$A:$AD,29,FALSE),"Not Found"))</f>
        <v>13.3</v>
      </c>
      <c r="P169" s="5" t="str">
        <f>IFERROR(VLOOKUP($A169,Actual!$A:$D,3,FALSE),"0")</f>
        <v>0</v>
      </c>
    </row>
    <row r="170" spans="1:16" x14ac:dyDescent="0.2">
      <c r="A170" t="s">
        <v>230</v>
      </c>
      <c r="B170" t="s">
        <v>505</v>
      </c>
      <c r="C170" t="s">
        <v>5</v>
      </c>
      <c r="D170">
        <v>4000</v>
      </c>
      <c r="E170">
        <v>7.7545938874325602</v>
      </c>
      <c r="F170">
        <v>7.28</v>
      </c>
      <c r="G170">
        <v>0.47459388743255898</v>
      </c>
      <c r="H170">
        <v>1.93864847185814</v>
      </c>
      <c r="I170">
        <v>1.93864847185814</v>
      </c>
      <c r="J170">
        <v>24.3864847185814</v>
      </c>
      <c r="K170">
        <v>3.07013630152754</v>
      </c>
      <c r="L170" t="s">
        <v>482</v>
      </c>
      <c r="M170">
        <v>1.90524181819714</v>
      </c>
      <c r="N170">
        <v>41766543</v>
      </c>
      <c r="O170">
        <f>IFERROR(VLOOKUP($A170,Actual!$A:$D,4,FALSE),IFERROR(VLOOKUP($A170,FC!$A:$AD,29,FALSE),"Not Found"))</f>
        <v>6.5</v>
      </c>
      <c r="P170" s="5">
        <f>IFERROR(VLOOKUP($A170,Actual!$A:$D,3,FALSE),"0")</f>
        <v>1.01E-2</v>
      </c>
    </row>
    <row r="171" spans="1:16" x14ac:dyDescent="0.2">
      <c r="A171" t="s">
        <v>36</v>
      </c>
      <c r="B171" t="s">
        <v>489</v>
      </c>
      <c r="C171" t="s">
        <v>10</v>
      </c>
      <c r="D171">
        <v>3700</v>
      </c>
      <c r="E171">
        <v>6.7984238220898998</v>
      </c>
      <c r="F171">
        <v>5.51</v>
      </c>
      <c r="G171">
        <v>1.2884238220899</v>
      </c>
      <c r="H171">
        <v>1.83741184380808</v>
      </c>
      <c r="I171">
        <v>1.6996059555224701</v>
      </c>
      <c r="J171">
        <v>21.996059555224701</v>
      </c>
      <c r="K171">
        <v>0.76474642690925798</v>
      </c>
      <c r="L171" t="s">
        <v>482</v>
      </c>
      <c r="M171">
        <v>3.8523516571140002</v>
      </c>
      <c r="N171">
        <v>41767005</v>
      </c>
      <c r="O171">
        <f>IFERROR(VLOOKUP($A171,Actual!$A:$D,4,FALSE),IFERROR(VLOOKUP($A171,FC!$A:$AD,29,FALSE),"Not Found"))</f>
        <v>3</v>
      </c>
      <c r="P171" s="5">
        <f>IFERROR(VLOOKUP($A171,Actual!$A:$D,3,FALSE),"0")</f>
        <v>6.2300000000000001E-2</v>
      </c>
    </row>
    <row r="172" spans="1:16" x14ac:dyDescent="0.2">
      <c r="A172" t="s">
        <v>531</v>
      </c>
      <c r="B172" t="s">
        <v>501</v>
      </c>
      <c r="C172" t="s">
        <v>17</v>
      </c>
      <c r="D172">
        <v>2800</v>
      </c>
      <c r="E172">
        <v>6.2521295199754903</v>
      </c>
      <c r="F172">
        <v>4.8899999999999997</v>
      </c>
      <c r="G172">
        <v>1.3621295199754899</v>
      </c>
      <c r="H172">
        <v>2.23290339999124</v>
      </c>
      <c r="I172">
        <v>1.5630323799938699</v>
      </c>
      <c r="J172">
        <v>20.630323799938701</v>
      </c>
      <c r="K172">
        <v>0.69196823628479198</v>
      </c>
      <c r="L172" t="s">
        <v>482</v>
      </c>
      <c r="M172">
        <v>3.6951813786432801</v>
      </c>
      <c r="N172">
        <v>41767741</v>
      </c>
      <c r="O172">
        <f>IFERROR(VLOOKUP($A172,Actual!$A:$D,4,FALSE),IFERROR(VLOOKUP($A172,FC!$A:$AD,29,FALSE),"Not Found"))</f>
        <v>1.3</v>
      </c>
      <c r="P172" s="5" t="str">
        <f>IFERROR(VLOOKUP($A172,Actual!$A:$D,3,FALSE),"0")</f>
        <v>0</v>
      </c>
    </row>
    <row r="173" spans="1:16" x14ac:dyDescent="0.2">
      <c r="A173" t="s">
        <v>111</v>
      </c>
      <c r="B173" t="s">
        <v>497</v>
      </c>
      <c r="C173" t="s">
        <v>17</v>
      </c>
      <c r="D173">
        <v>5000</v>
      </c>
      <c r="E173">
        <v>9.8521127077501394</v>
      </c>
      <c r="F173">
        <v>11.1</v>
      </c>
      <c r="G173">
        <v>-1.2478872922498601</v>
      </c>
      <c r="H173">
        <v>1.9704225415500201</v>
      </c>
      <c r="I173">
        <v>2.46302817693753</v>
      </c>
      <c r="J173">
        <v>29.630281769375301</v>
      </c>
      <c r="K173">
        <v>3.6207237963601702</v>
      </c>
      <c r="L173" t="s">
        <v>482</v>
      </c>
      <c r="M173">
        <v>2.1321578916945398</v>
      </c>
      <c r="N173">
        <v>41767553</v>
      </c>
      <c r="O173">
        <f>IFERROR(VLOOKUP($A173,Actual!$A:$D,4,FALSE),IFERROR(VLOOKUP($A173,FC!$A:$AD,29,FALSE),"Not Found"))</f>
        <v>21.6</v>
      </c>
      <c r="P173" s="5">
        <f>IFERROR(VLOOKUP($A173,Actual!$A:$D,3,FALSE),"0")</f>
        <v>2.69E-2</v>
      </c>
    </row>
    <row r="174" spans="1:16" x14ac:dyDescent="0.2">
      <c r="A174" t="s">
        <v>178</v>
      </c>
      <c r="B174" t="s">
        <v>491</v>
      </c>
      <c r="C174" t="s">
        <v>17</v>
      </c>
      <c r="D174">
        <v>2500</v>
      </c>
      <c r="E174">
        <v>5.0019306766471603</v>
      </c>
      <c r="F174">
        <v>4.9800000000000004</v>
      </c>
      <c r="G174">
        <v>2.1930676647159801E-2</v>
      </c>
      <c r="H174">
        <v>2.0007722706588602</v>
      </c>
      <c r="I174">
        <v>1.2504826691617901</v>
      </c>
      <c r="J174">
        <v>17.5048266916179</v>
      </c>
      <c r="K174">
        <v>0.69196823628479198</v>
      </c>
      <c r="L174" t="s">
        <v>482</v>
      </c>
      <c r="M174">
        <v>2.9562793020454898</v>
      </c>
      <c r="N174">
        <v>41767793</v>
      </c>
      <c r="O174">
        <f>IFERROR(VLOOKUP($A174,Actual!$A:$D,4,FALSE),IFERROR(VLOOKUP($A174,FC!$A:$AD,29,FALSE),"Not Found"))</f>
        <v>12.6</v>
      </c>
      <c r="P174" s="5">
        <f>IFERROR(VLOOKUP($A174,Actual!$A:$D,3,FALSE),"0")</f>
        <v>1.52E-2</v>
      </c>
    </row>
    <row r="175" spans="1:16" x14ac:dyDescent="0.2">
      <c r="A175" t="s">
        <v>375</v>
      </c>
      <c r="B175" t="s">
        <v>488</v>
      </c>
      <c r="C175" t="s">
        <v>17</v>
      </c>
      <c r="D175">
        <v>2600</v>
      </c>
      <c r="E175">
        <v>5.5427291577165896</v>
      </c>
      <c r="F175">
        <v>4.5</v>
      </c>
      <c r="G175">
        <v>1.04272915771659</v>
      </c>
      <c r="H175">
        <v>2.13181890681407</v>
      </c>
      <c r="I175">
        <v>1.3856822894291401</v>
      </c>
      <c r="J175">
        <v>18.856822894291401</v>
      </c>
      <c r="K175">
        <v>0.69196823628479198</v>
      </c>
      <c r="L175" t="s">
        <v>482</v>
      </c>
      <c r="M175">
        <v>3.2759061540583398</v>
      </c>
      <c r="N175">
        <v>41767783</v>
      </c>
      <c r="O175">
        <f>IFERROR(VLOOKUP($A175,Actual!$A:$D,4,FALSE),IFERROR(VLOOKUP($A175,FC!$A:$AD,29,FALSE),"Not Found"))</f>
        <v>4.0999999999999996</v>
      </c>
      <c r="P175" s="5">
        <f>IFERROR(VLOOKUP($A175,Actual!$A:$D,3,FALSE),"0")</f>
        <v>3.3999999999999998E-3</v>
      </c>
    </row>
    <row r="176" spans="1:16" x14ac:dyDescent="0.2">
      <c r="A176" t="s">
        <v>150</v>
      </c>
      <c r="B176" t="s">
        <v>507</v>
      </c>
      <c r="C176" t="s">
        <v>17</v>
      </c>
      <c r="D176">
        <v>4200</v>
      </c>
      <c r="E176">
        <v>8.1302553970320393</v>
      </c>
      <c r="F176">
        <v>9.02</v>
      </c>
      <c r="G176">
        <v>-0.88974460296795099</v>
      </c>
      <c r="H176">
        <v>1.93577509453144</v>
      </c>
      <c r="I176">
        <v>2.0325638492580098</v>
      </c>
      <c r="J176">
        <v>25.325638492580101</v>
      </c>
      <c r="K176">
        <v>2.3872904151825298</v>
      </c>
      <c r="L176" t="s">
        <v>482</v>
      </c>
      <c r="M176">
        <v>2.4002238959466098</v>
      </c>
      <c r="N176">
        <v>41767583</v>
      </c>
      <c r="O176">
        <f>IFERROR(VLOOKUP($A176,Actual!$A:$D,4,FALSE),IFERROR(VLOOKUP($A176,FC!$A:$AD,29,FALSE),"Not Found"))</f>
        <v>6.9</v>
      </c>
      <c r="P176" s="5">
        <f>IFERROR(VLOOKUP($A176,Actual!$A:$D,3,FALSE),"0")</f>
        <v>1.8499999999999999E-2</v>
      </c>
    </row>
    <row r="177" spans="1:16" x14ac:dyDescent="0.2">
      <c r="A177" t="s">
        <v>579</v>
      </c>
      <c r="B177" t="s">
        <v>508</v>
      </c>
      <c r="C177" t="s">
        <v>17</v>
      </c>
      <c r="D177">
        <v>2600</v>
      </c>
      <c r="E177">
        <v>4.9769105342819202</v>
      </c>
      <c r="F177">
        <v>4.58</v>
      </c>
      <c r="G177">
        <v>0.39691053428192102</v>
      </c>
      <c r="H177">
        <v>1.9141963593392</v>
      </c>
      <c r="I177">
        <v>1.2442276335704801</v>
      </c>
      <c r="J177">
        <v>17.442276335704801</v>
      </c>
      <c r="K177">
        <v>0.69196823628479198</v>
      </c>
      <c r="L177" t="s">
        <v>482</v>
      </c>
      <c r="M177">
        <v>2.9414917062569499</v>
      </c>
      <c r="N177">
        <v>41767771</v>
      </c>
      <c r="O177">
        <f>IFERROR(VLOOKUP($A177,Actual!$A:$D,4,FALSE),IFERROR(VLOOKUP($A177,FC!$A:$AD,29,FALSE),"Not Found"))</f>
        <v>6</v>
      </c>
      <c r="P177" s="5" t="str">
        <f>IFERROR(VLOOKUP($A177,Actual!$A:$D,3,FALSE),"0")</f>
        <v>0</v>
      </c>
    </row>
    <row r="178" spans="1:16" x14ac:dyDescent="0.2">
      <c r="A178" t="s">
        <v>222</v>
      </c>
      <c r="B178" t="s">
        <v>498</v>
      </c>
      <c r="C178" t="s">
        <v>17</v>
      </c>
      <c r="D178">
        <v>2900</v>
      </c>
      <c r="E178">
        <v>4.9331952388028304</v>
      </c>
      <c r="F178">
        <v>5.0199999999999996</v>
      </c>
      <c r="G178">
        <v>-8.6804761197162905E-2</v>
      </c>
      <c r="H178">
        <v>1.70110180648373</v>
      </c>
      <c r="I178">
        <v>1.2332988097007</v>
      </c>
      <c r="J178">
        <v>17.332988097007</v>
      </c>
      <c r="K178">
        <v>0.69196823628479198</v>
      </c>
      <c r="L178" t="s">
        <v>482</v>
      </c>
      <c r="M178">
        <v>2.9156547581738801</v>
      </c>
      <c r="N178">
        <v>41767717</v>
      </c>
      <c r="O178">
        <f>IFERROR(VLOOKUP($A178,Actual!$A:$D,4,FALSE),IFERROR(VLOOKUP($A178,FC!$A:$AD,29,FALSE),"Not Found"))</f>
        <v>9.1</v>
      </c>
      <c r="P178" s="5">
        <f>IFERROR(VLOOKUP($A178,Actual!$A:$D,3,FALSE),"0")</f>
        <v>1.18E-2</v>
      </c>
    </row>
    <row r="179" spans="1:16" x14ac:dyDescent="0.2">
      <c r="A179" t="s">
        <v>58</v>
      </c>
      <c r="B179" t="s">
        <v>487</v>
      </c>
      <c r="C179" t="s">
        <v>10</v>
      </c>
      <c r="D179">
        <v>9400</v>
      </c>
      <c r="E179">
        <v>16.609023316148601</v>
      </c>
      <c r="F179">
        <v>14.78</v>
      </c>
      <c r="G179">
        <v>1.82902331614863</v>
      </c>
      <c r="H179">
        <v>1.7669173740583599</v>
      </c>
      <c r="I179">
        <v>4.1522558290371503</v>
      </c>
      <c r="J179">
        <v>46.522558290371499</v>
      </c>
      <c r="K179">
        <v>1.72899192170788</v>
      </c>
      <c r="L179" t="s">
        <v>482</v>
      </c>
      <c r="M179">
        <v>6.0861386888071696</v>
      </c>
      <c r="N179">
        <v>41766795</v>
      </c>
      <c r="O179">
        <f>IFERROR(VLOOKUP($A179,Actual!$A:$D,4,FALSE),IFERROR(VLOOKUP($A179,FC!$A:$AD,29,FALSE),"Not Found"))</f>
        <v>18</v>
      </c>
      <c r="P179" s="5">
        <f>IFERROR(VLOOKUP($A179,Actual!$A:$D,3,FALSE),"0")</f>
        <v>4.5499999999999999E-2</v>
      </c>
    </row>
    <row r="180" spans="1:16" x14ac:dyDescent="0.2">
      <c r="A180" t="s">
        <v>113</v>
      </c>
      <c r="B180" t="s">
        <v>487</v>
      </c>
      <c r="C180" t="s">
        <v>10</v>
      </c>
      <c r="D180">
        <v>5400</v>
      </c>
      <c r="E180">
        <v>10.7310227582217</v>
      </c>
      <c r="F180">
        <v>9.11</v>
      </c>
      <c r="G180">
        <v>1.6210227582217001</v>
      </c>
      <c r="H180">
        <v>1.9872264367077199</v>
      </c>
      <c r="I180">
        <v>2.6827556895554201</v>
      </c>
      <c r="J180">
        <v>31.827556895554199</v>
      </c>
      <c r="K180">
        <v>1.5128679314944</v>
      </c>
      <c r="L180" t="s">
        <v>482</v>
      </c>
      <c r="M180">
        <v>4.2704284708826501</v>
      </c>
      <c r="N180">
        <v>41766885</v>
      </c>
      <c r="O180">
        <f>IFERROR(VLOOKUP($A180,Actual!$A:$D,4,FALSE),IFERROR(VLOOKUP($A180,FC!$A:$AD,29,FALSE),"Not Found"))</f>
        <v>1.5</v>
      </c>
      <c r="P180" s="5">
        <f>IFERROR(VLOOKUP($A180,Actual!$A:$D,3,FALSE),"0")</f>
        <v>2.53E-2</v>
      </c>
    </row>
    <row r="181" spans="1:16" x14ac:dyDescent="0.2">
      <c r="A181" t="s">
        <v>205</v>
      </c>
      <c r="B181" t="s">
        <v>506</v>
      </c>
      <c r="C181" t="s">
        <v>10</v>
      </c>
      <c r="D181">
        <v>7100</v>
      </c>
      <c r="E181">
        <v>12.185176705518</v>
      </c>
      <c r="F181">
        <v>10.8</v>
      </c>
      <c r="G181">
        <v>1.38517670551799</v>
      </c>
      <c r="H181">
        <v>1.71622207119971</v>
      </c>
      <c r="I181">
        <v>3.0462941763795</v>
      </c>
      <c r="J181">
        <v>35.462941763795001</v>
      </c>
      <c r="K181">
        <v>1.18868194617417</v>
      </c>
      <c r="L181" t="s">
        <v>482</v>
      </c>
      <c r="M181">
        <v>5.5673583486251799</v>
      </c>
      <c r="N181">
        <v>41766817</v>
      </c>
      <c r="O181">
        <f>IFERROR(VLOOKUP($A181,Actual!$A:$D,4,FALSE),IFERROR(VLOOKUP($A181,FC!$A:$AD,29,FALSE),"Not Found"))</f>
        <v>15.8</v>
      </c>
      <c r="P181" s="5">
        <f>IFERROR(VLOOKUP($A181,Actual!$A:$D,3,FALSE),"0")</f>
        <v>1.18E-2</v>
      </c>
    </row>
    <row r="182" spans="1:16" x14ac:dyDescent="0.2">
      <c r="A182" t="s">
        <v>162</v>
      </c>
      <c r="B182" t="s">
        <v>497</v>
      </c>
      <c r="C182" t="s">
        <v>17</v>
      </c>
      <c r="D182">
        <v>3000</v>
      </c>
      <c r="E182">
        <v>5.8243449184040301</v>
      </c>
      <c r="F182">
        <v>7.31</v>
      </c>
      <c r="G182">
        <v>-1.4856550815959599</v>
      </c>
      <c r="H182">
        <v>1.9414483061346699</v>
      </c>
      <c r="I182">
        <v>1.456086229601</v>
      </c>
      <c r="J182">
        <v>19.560862296010001</v>
      </c>
      <c r="K182">
        <v>0.69196823628479198</v>
      </c>
      <c r="L182" t="s">
        <v>482</v>
      </c>
      <c r="M182">
        <v>3.4423488535417599</v>
      </c>
      <c r="N182">
        <v>41767685</v>
      </c>
      <c r="O182">
        <f>IFERROR(VLOOKUP($A182,Actual!$A:$D,4,FALSE),IFERROR(VLOOKUP($A182,FC!$A:$AD,29,FALSE),"Not Found"))</f>
        <v>14.1</v>
      </c>
      <c r="P182" s="5">
        <f>IFERROR(VLOOKUP($A182,Actual!$A:$D,3,FALSE),"0")</f>
        <v>1.6799999999999999E-2</v>
      </c>
    </row>
    <row r="183" spans="1:16" x14ac:dyDescent="0.2">
      <c r="A183" t="s">
        <v>55</v>
      </c>
      <c r="B183" t="s">
        <v>499</v>
      </c>
      <c r="C183" t="s">
        <v>5</v>
      </c>
      <c r="D183">
        <v>8500</v>
      </c>
      <c r="E183">
        <v>14.6788952412914</v>
      </c>
      <c r="F183">
        <v>11.91</v>
      </c>
      <c r="G183">
        <v>2.7688952412914598</v>
      </c>
      <c r="H183">
        <v>1.7269288519166399</v>
      </c>
      <c r="I183">
        <v>3.6697238103228602</v>
      </c>
      <c r="J183">
        <v>41.697238103228599</v>
      </c>
      <c r="K183">
        <v>6.65196198664301</v>
      </c>
      <c r="L183" t="s">
        <v>479</v>
      </c>
      <c r="M183">
        <v>1.91831784670577</v>
      </c>
      <c r="N183">
        <v>41766447</v>
      </c>
      <c r="O183">
        <f>IFERROR(VLOOKUP($A183,Actual!$A:$D,4,FALSE),IFERROR(VLOOKUP($A183,FC!$A:$AD,29,FALSE),"Not Found"))</f>
        <v>3</v>
      </c>
      <c r="P183" s="5">
        <f>IFERROR(VLOOKUP($A183,Actual!$A:$D,3,FALSE),"0")</f>
        <v>4.8800000000000003E-2</v>
      </c>
    </row>
    <row r="184" spans="1:16" x14ac:dyDescent="0.2">
      <c r="A184" t="s">
        <v>611</v>
      </c>
      <c r="B184" t="s">
        <v>492</v>
      </c>
      <c r="C184" t="s">
        <v>17</v>
      </c>
      <c r="D184">
        <v>2500</v>
      </c>
      <c r="E184">
        <v>4.4603726915669002</v>
      </c>
      <c r="F184">
        <v>4.1100000000000003</v>
      </c>
      <c r="G184">
        <v>0.35037269156690498</v>
      </c>
      <c r="H184">
        <v>1.78414907662676</v>
      </c>
      <c r="I184">
        <v>1.1150931728917199</v>
      </c>
      <c r="J184">
        <v>16.1509317289172</v>
      </c>
      <c r="K184">
        <v>0.69196823628479198</v>
      </c>
      <c r="L184" t="s">
        <v>482</v>
      </c>
      <c r="M184">
        <v>2.6362035621667101</v>
      </c>
      <c r="N184">
        <v>41768023</v>
      </c>
      <c r="O184">
        <f>IFERROR(VLOOKUP($A184,Actual!$A:$D,4,FALSE),IFERROR(VLOOKUP($A184,FC!$A:$AD,29,FALSE),"Not Found"))</f>
        <v>2.6</v>
      </c>
      <c r="P184" s="5" t="str">
        <f>IFERROR(VLOOKUP($A184,Actual!$A:$D,3,FALSE),"0")</f>
        <v>0</v>
      </c>
    </row>
    <row r="185" spans="1:16" x14ac:dyDescent="0.2">
      <c r="A185" t="s">
        <v>321</v>
      </c>
      <c r="B185" t="s">
        <v>507</v>
      </c>
      <c r="C185" t="s">
        <v>5</v>
      </c>
      <c r="D185">
        <v>6300</v>
      </c>
      <c r="E185">
        <v>10.6315026866317</v>
      </c>
      <c r="F185">
        <v>10.93</v>
      </c>
      <c r="G185">
        <v>-0.29849731336824897</v>
      </c>
      <c r="H185">
        <v>1.68754010898916</v>
      </c>
      <c r="I185">
        <v>2.6578756716579299</v>
      </c>
      <c r="J185">
        <v>31.578756716579299</v>
      </c>
      <c r="K185">
        <v>4.9889714899822604</v>
      </c>
      <c r="L185" t="s">
        <v>482</v>
      </c>
      <c r="M185">
        <v>1.7751800462592</v>
      </c>
      <c r="N185">
        <v>41766471</v>
      </c>
      <c r="O185">
        <f>IFERROR(VLOOKUP($A185,Actual!$A:$D,4,FALSE),IFERROR(VLOOKUP($A185,FC!$A:$AD,29,FALSE),"Not Found"))</f>
        <v>3</v>
      </c>
      <c r="P185" s="5">
        <f>IFERROR(VLOOKUP($A185,Actual!$A:$D,3,FALSE),"0")</f>
        <v>5.1000000000000004E-3</v>
      </c>
    </row>
    <row r="186" spans="1:16" x14ac:dyDescent="0.2">
      <c r="A186" t="s">
        <v>84</v>
      </c>
      <c r="B186" t="s">
        <v>505</v>
      </c>
      <c r="C186" t="s">
        <v>17</v>
      </c>
      <c r="D186">
        <v>4700</v>
      </c>
      <c r="E186">
        <v>10.475173814125601</v>
      </c>
      <c r="F186">
        <v>8.8000000000000007</v>
      </c>
      <c r="G186">
        <v>1.6751738141256101</v>
      </c>
      <c r="H186">
        <v>2.2287603859841698</v>
      </c>
      <c r="I186">
        <v>2.6187934535314001</v>
      </c>
      <c r="J186">
        <v>31.187934535314</v>
      </c>
      <c r="K186">
        <v>4.7226832126436999</v>
      </c>
      <c r="L186" t="s">
        <v>482</v>
      </c>
      <c r="M186">
        <v>1.8304654346376701</v>
      </c>
      <c r="N186">
        <v>41767561</v>
      </c>
      <c r="O186">
        <f>IFERROR(VLOOKUP($A186,Actual!$A:$D,4,FALSE),IFERROR(VLOOKUP($A186,FC!$A:$AD,29,FALSE),"Not Found"))</f>
        <v>1.5</v>
      </c>
      <c r="P186" s="5">
        <f>IFERROR(VLOOKUP($A186,Actual!$A:$D,3,FALSE),"0")</f>
        <v>3.3700000000000001E-2</v>
      </c>
    </row>
    <row r="187" spans="1:16" x14ac:dyDescent="0.2">
      <c r="A187" t="s">
        <v>212</v>
      </c>
      <c r="B187" t="s">
        <v>478</v>
      </c>
      <c r="C187" t="s">
        <v>17</v>
      </c>
      <c r="D187">
        <v>3700</v>
      </c>
      <c r="E187">
        <v>8.2594866409247594</v>
      </c>
      <c r="F187">
        <v>7.17</v>
      </c>
      <c r="G187">
        <v>1.0894866409247601</v>
      </c>
      <c r="H187">
        <v>2.23229368673642</v>
      </c>
      <c r="I187">
        <v>2.0648716602311898</v>
      </c>
      <c r="J187">
        <v>25.6487166023119</v>
      </c>
      <c r="K187">
        <v>2.0759047088543698</v>
      </c>
      <c r="L187" t="s">
        <v>482</v>
      </c>
      <c r="M187">
        <v>2.6852218851737502</v>
      </c>
      <c r="N187">
        <v>41767607</v>
      </c>
      <c r="O187">
        <f>IFERROR(VLOOKUP($A187,Actual!$A:$D,4,FALSE),IFERROR(VLOOKUP($A187,FC!$A:$AD,29,FALSE),"Not Found"))</f>
        <v>8</v>
      </c>
      <c r="P187" s="5">
        <f>IFERROR(VLOOKUP($A187,Actual!$A:$D,3,FALSE),"0")</f>
        <v>1.18E-2</v>
      </c>
    </row>
    <row r="188" spans="1:16" x14ac:dyDescent="0.2">
      <c r="A188" t="s">
        <v>307</v>
      </c>
      <c r="B188" t="s">
        <v>495</v>
      </c>
      <c r="C188" t="s">
        <v>10</v>
      </c>
      <c r="D188">
        <v>3000</v>
      </c>
      <c r="E188">
        <v>7.2913263539838304</v>
      </c>
      <c r="F188">
        <v>6.01</v>
      </c>
      <c r="G188">
        <v>1.28132635398383</v>
      </c>
      <c r="H188">
        <v>2.4304421179946099</v>
      </c>
      <c r="I188">
        <v>1.8228315884959501</v>
      </c>
      <c r="J188">
        <v>23.2283158849595</v>
      </c>
      <c r="K188">
        <v>0.39899813577874299</v>
      </c>
      <c r="L188" t="s">
        <v>482</v>
      </c>
      <c r="M188">
        <v>5.2118199213504797</v>
      </c>
      <c r="N188">
        <v>41767095</v>
      </c>
      <c r="O188">
        <f>IFERROR(VLOOKUP($A188,Actual!$A:$D,4,FALSE),IFERROR(VLOOKUP($A188,FC!$A:$AD,29,FALSE),"Not Found"))</f>
        <v>3</v>
      </c>
      <c r="P188" s="5">
        <f>IFERROR(VLOOKUP($A188,Actual!$A:$D,3,FALSE),"0")</f>
        <v>5.1000000000000004E-3</v>
      </c>
    </row>
    <row r="189" spans="1:16" x14ac:dyDescent="0.2">
      <c r="A189" t="s">
        <v>66</v>
      </c>
      <c r="B189" t="s">
        <v>492</v>
      </c>
      <c r="C189" t="s">
        <v>10</v>
      </c>
      <c r="D189">
        <v>4800</v>
      </c>
      <c r="E189">
        <v>11.251626159622401</v>
      </c>
      <c r="F189">
        <v>9.4499999999999993</v>
      </c>
      <c r="G189">
        <v>1.8016261596224199</v>
      </c>
      <c r="H189">
        <v>2.3440887832546702</v>
      </c>
      <c r="I189">
        <v>2.8129065399056001</v>
      </c>
      <c r="J189">
        <v>33.129065399056003</v>
      </c>
      <c r="K189">
        <v>1.2102943451955199</v>
      </c>
      <c r="L189" t="s">
        <v>482</v>
      </c>
      <c r="M189">
        <v>5.0905555561320899</v>
      </c>
      <c r="N189">
        <v>41766919</v>
      </c>
      <c r="O189">
        <f>IFERROR(VLOOKUP($A189,Actual!$A:$D,4,FALSE),IFERROR(VLOOKUP($A189,FC!$A:$AD,29,FALSE),"Not Found"))</f>
        <v>10.8</v>
      </c>
      <c r="P189" s="5">
        <f>IFERROR(VLOOKUP($A189,Actual!$A:$D,3,FALSE),"0")</f>
        <v>4.0399999999999998E-2</v>
      </c>
    </row>
    <row r="190" spans="1:16" x14ac:dyDescent="0.2">
      <c r="A190" t="s">
        <v>346</v>
      </c>
      <c r="B190" t="s">
        <v>483</v>
      </c>
      <c r="C190" t="s">
        <v>10</v>
      </c>
      <c r="D190">
        <v>3700</v>
      </c>
      <c r="E190">
        <v>8.6817290385513193</v>
      </c>
      <c r="F190">
        <v>7.16</v>
      </c>
      <c r="G190">
        <v>1.52172903855132</v>
      </c>
      <c r="H190">
        <v>2.34641325366252</v>
      </c>
      <c r="I190">
        <v>2.1704322596378298</v>
      </c>
      <c r="J190">
        <v>26.704322596378301</v>
      </c>
      <c r="K190">
        <v>0.91769571229110902</v>
      </c>
      <c r="L190" t="s">
        <v>482</v>
      </c>
      <c r="M190">
        <v>4.5271671532180102</v>
      </c>
      <c r="N190">
        <v>41767007</v>
      </c>
      <c r="O190">
        <f>IFERROR(VLOOKUP($A190,Actual!$A:$D,4,FALSE),IFERROR(VLOOKUP($A190,FC!$A:$AD,29,FALSE),"Not Found"))</f>
        <v>14.5</v>
      </c>
      <c r="P190" s="5">
        <f>IFERROR(VLOOKUP($A190,Actual!$A:$D,3,FALSE),"0")</f>
        <v>3.3999999999999998E-3</v>
      </c>
    </row>
    <row r="191" spans="1:16" x14ac:dyDescent="0.2">
      <c r="A191" t="s">
        <v>433</v>
      </c>
      <c r="B191" t="s">
        <v>493</v>
      </c>
      <c r="C191" t="s">
        <v>17</v>
      </c>
      <c r="D191">
        <v>2500</v>
      </c>
      <c r="E191">
        <v>5.5236978692098901</v>
      </c>
      <c r="F191">
        <v>4.22</v>
      </c>
      <c r="G191">
        <v>1.3036978692098899</v>
      </c>
      <c r="H191">
        <v>2.2094791476839499</v>
      </c>
      <c r="I191">
        <v>1.3809244673024701</v>
      </c>
      <c r="J191">
        <v>18.8092446730247</v>
      </c>
      <c r="K191">
        <v>0.69196823628479198</v>
      </c>
      <c r="L191" t="s">
        <v>482</v>
      </c>
      <c r="M191">
        <v>3.2646581364545999</v>
      </c>
      <c r="N191">
        <v>41767981</v>
      </c>
      <c r="O191">
        <f>IFERROR(VLOOKUP($A191,Actual!$A:$D,4,FALSE),IFERROR(VLOOKUP($A191,FC!$A:$AD,29,FALSE),"Not Found"))</f>
        <v>1.3</v>
      </c>
      <c r="P191" s="5">
        <f>IFERROR(VLOOKUP($A191,Actual!$A:$D,3,FALSE),"0")</f>
        <v>1.6999999999999999E-3</v>
      </c>
    </row>
    <row r="192" spans="1:16" x14ac:dyDescent="0.2">
      <c r="A192" t="s">
        <v>214</v>
      </c>
      <c r="B192" t="s">
        <v>491</v>
      </c>
      <c r="C192" t="s">
        <v>5</v>
      </c>
      <c r="D192">
        <v>3200</v>
      </c>
      <c r="E192">
        <v>6.2556479172553399</v>
      </c>
      <c r="F192">
        <v>5.94</v>
      </c>
      <c r="G192">
        <v>0.31564791725534302</v>
      </c>
      <c r="H192">
        <v>1.95488997414229</v>
      </c>
      <c r="I192">
        <v>1.5639119793138301</v>
      </c>
      <c r="J192">
        <v>20.639119793138299</v>
      </c>
      <c r="K192">
        <v>0.33249844648228599</v>
      </c>
      <c r="L192" t="s">
        <v>482</v>
      </c>
      <c r="M192">
        <v>4.6946755801253399</v>
      </c>
      <c r="N192">
        <v>41767061</v>
      </c>
      <c r="O192">
        <f>IFERROR(VLOOKUP($A192,Actual!$A:$D,4,FALSE),IFERROR(VLOOKUP($A192,FC!$A:$AD,29,FALSE),"Not Found"))</f>
        <v>3</v>
      </c>
      <c r="P192" s="5">
        <f>IFERROR(VLOOKUP($A192,Actual!$A:$D,3,FALSE),"0")</f>
        <v>1.18E-2</v>
      </c>
    </row>
    <row r="193" spans="1:16" x14ac:dyDescent="0.2">
      <c r="A193" t="s">
        <v>590</v>
      </c>
      <c r="B193" t="s">
        <v>508</v>
      </c>
      <c r="C193" t="s">
        <v>17</v>
      </c>
      <c r="D193">
        <v>2500</v>
      </c>
      <c r="E193">
        <v>4.7667110573512996</v>
      </c>
      <c r="F193">
        <v>4.21</v>
      </c>
      <c r="G193">
        <v>0.55671105735130499</v>
      </c>
      <c r="H193">
        <v>1.90668442294052</v>
      </c>
      <c r="I193">
        <v>1.19167776433782</v>
      </c>
      <c r="J193">
        <v>16.9167776433782</v>
      </c>
      <c r="K193">
        <v>0.69196823628479198</v>
      </c>
      <c r="L193" t="s">
        <v>482</v>
      </c>
      <c r="M193">
        <v>2.81725800468808</v>
      </c>
      <c r="N193">
        <v>41767925</v>
      </c>
      <c r="O193">
        <f>IFERROR(VLOOKUP($A193,Actual!$A:$D,4,FALSE),IFERROR(VLOOKUP($A193,FC!$A:$AD,29,FALSE),"Not Found"))</f>
        <v>5.6</v>
      </c>
      <c r="P193" s="5" t="str">
        <f>IFERROR(VLOOKUP($A193,Actual!$A:$D,3,FALSE),"0")</f>
        <v>0</v>
      </c>
    </row>
    <row r="194" spans="1:16" x14ac:dyDescent="0.2">
      <c r="A194" t="s">
        <v>182</v>
      </c>
      <c r="B194" t="s">
        <v>495</v>
      </c>
      <c r="C194" t="s">
        <v>17</v>
      </c>
      <c r="D194">
        <v>3000</v>
      </c>
      <c r="E194">
        <v>6.2904947763384902</v>
      </c>
      <c r="F194">
        <v>7.37</v>
      </c>
      <c r="G194">
        <v>-1.0795052236614999</v>
      </c>
      <c r="H194">
        <v>2.0968315921128302</v>
      </c>
      <c r="I194">
        <v>1.5726236940846201</v>
      </c>
      <c r="J194">
        <v>20.726236940846199</v>
      </c>
      <c r="K194">
        <v>0.69196823628479198</v>
      </c>
      <c r="L194" t="s">
        <v>482</v>
      </c>
      <c r="M194">
        <v>3.7178563057135698</v>
      </c>
      <c r="N194">
        <v>41767689</v>
      </c>
      <c r="O194">
        <f>IFERROR(VLOOKUP($A194,Actual!$A:$D,4,FALSE),IFERROR(VLOOKUP($A194,FC!$A:$AD,29,FALSE),"Not Found"))</f>
        <v>5.6</v>
      </c>
      <c r="P194" s="5">
        <f>IFERROR(VLOOKUP($A194,Actual!$A:$D,3,FALSE),"0")</f>
        <v>1.52E-2</v>
      </c>
    </row>
    <row r="195" spans="1:16" x14ac:dyDescent="0.2">
      <c r="A195" t="s">
        <v>173</v>
      </c>
      <c r="B195" t="s">
        <v>488</v>
      </c>
      <c r="C195" t="s">
        <v>10</v>
      </c>
      <c r="D195">
        <v>8400</v>
      </c>
      <c r="E195">
        <v>16.543138126463301</v>
      </c>
      <c r="F195">
        <v>15.28</v>
      </c>
      <c r="G195">
        <v>1.2631381264633399</v>
      </c>
      <c r="H195">
        <v>1.96942120553135</v>
      </c>
      <c r="I195">
        <v>4.1357845316158297</v>
      </c>
      <c r="J195">
        <v>46.357845316158297</v>
      </c>
      <c r="K195">
        <v>1.12384474911012</v>
      </c>
      <c r="L195" t="s">
        <v>482</v>
      </c>
      <c r="M195">
        <v>7.7892407782606297</v>
      </c>
      <c r="N195">
        <v>41766801</v>
      </c>
      <c r="O195">
        <f>IFERROR(VLOOKUP($A195,Actual!$A:$D,4,FALSE),IFERROR(VLOOKUP($A195,FC!$A:$AD,29,FALSE),"Not Found"))</f>
        <v>9.5</v>
      </c>
      <c r="P195" s="5">
        <f>IFERROR(VLOOKUP($A195,Actual!$A:$D,3,FALSE),"0")</f>
        <v>1.52E-2</v>
      </c>
    </row>
    <row r="196" spans="1:16" x14ac:dyDescent="0.2">
      <c r="A196" t="s">
        <v>290</v>
      </c>
      <c r="B196" t="s">
        <v>491</v>
      </c>
      <c r="C196" t="s">
        <v>17</v>
      </c>
      <c r="D196">
        <v>2900</v>
      </c>
      <c r="E196">
        <v>7.0080380645537597</v>
      </c>
      <c r="F196">
        <v>5.74</v>
      </c>
      <c r="G196">
        <v>1.2680380645537599</v>
      </c>
      <c r="H196">
        <v>2.4165648498461199</v>
      </c>
      <c r="I196">
        <v>1.7520095161384399</v>
      </c>
      <c r="J196">
        <v>22.5200951613844</v>
      </c>
      <c r="K196">
        <v>0.69196823628479198</v>
      </c>
      <c r="L196" t="s">
        <v>482</v>
      </c>
      <c r="M196">
        <v>4.14194422463979</v>
      </c>
      <c r="N196">
        <v>41767705</v>
      </c>
      <c r="O196">
        <f>IFERROR(VLOOKUP($A196,Actual!$A:$D,4,FALSE),IFERROR(VLOOKUP($A196,FC!$A:$AD,29,FALSE),"Not Found"))</f>
        <v>2.6</v>
      </c>
      <c r="P196" s="5">
        <f>IFERROR(VLOOKUP($A196,Actual!$A:$D,3,FALSE),"0")</f>
        <v>6.7000000000000002E-3</v>
      </c>
    </row>
    <row r="197" spans="1:16" x14ac:dyDescent="0.2">
      <c r="A197" t="s">
        <v>189</v>
      </c>
      <c r="B197" t="s">
        <v>495</v>
      </c>
      <c r="C197" t="s">
        <v>10</v>
      </c>
      <c r="D197">
        <v>3300</v>
      </c>
      <c r="E197">
        <v>9.1235149658589201</v>
      </c>
      <c r="F197">
        <v>6.79</v>
      </c>
      <c r="G197">
        <v>2.33351496585892</v>
      </c>
      <c r="H197">
        <v>2.7647015048057302</v>
      </c>
      <c r="I197">
        <v>2.28087874146473</v>
      </c>
      <c r="J197">
        <v>27.808787414647298</v>
      </c>
      <c r="K197">
        <v>0.30589857076370303</v>
      </c>
      <c r="L197" t="s">
        <v>482</v>
      </c>
      <c r="M197">
        <v>6.98638865997333</v>
      </c>
      <c r="N197">
        <v>41767049</v>
      </c>
      <c r="O197">
        <f>IFERROR(VLOOKUP($A197,Actual!$A:$D,4,FALSE),IFERROR(VLOOKUP($A197,FC!$A:$AD,29,FALSE),"Not Found"))</f>
        <v>17.899999999999999</v>
      </c>
      <c r="P197" s="5">
        <f>IFERROR(VLOOKUP($A197,Actual!$A:$D,3,FALSE),"0")</f>
        <v>1.52E-2</v>
      </c>
    </row>
    <row r="198" spans="1:16" x14ac:dyDescent="0.2">
      <c r="A198" t="s">
        <v>418</v>
      </c>
      <c r="B198" t="s">
        <v>492</v>
      </c>
      <c r="C198" t="s">
        <v>17</v>
      </c>
      <c r="D198">
        <v>2600</v>
      </c>
      <c r="E198">
        <v>4.1492298443786702</v>
      </c>
      <c r="F198">
        <v>3.94</v>
      </c>
      <c r="G198">
        <v>0.209229844378678</v>
      </c>
      <c r="H198">
        <v>1.59585763245333</v>
      </c>
      <c r="I198">
        <v>1.03730746109466</v>
      </c>
      <c r="J198">
        <v>15.373074610946601</v>
      </c>
      <c r="K198">
        <v>0.415180941770875</v>
      </c>
      <c r="L198" t="s">
        <v>482</v>
      </c>
      <c r="M198">
        <v>2.9319429918174</v>
      </c>
      <c r="N198">
        <v>41767779</v>
      </c>
      <c r="O198">
        <f>IFERROR(VLOOKUP($A198,Actual!$A:$D,4,FALSE),IFERROR(VLOOKUP($A198,FC!$A:$AD,29,FALSE),"Not Found"))</f>
        <v>1.3</v>
      </c>
      <c r="P198" s="5">
        <f>IFERROR(VLOOKUP($A198,Actual!$A:$D,3,FALSE),"0")</f>
        <v>1.6999999999999999E-3</v>
      </c>
    </row>
    <row r="199" spans="1:16" x14ac:dyDescent="0.2">
      <c r="A199" t="s">
        <v>521</v>
      </c>
      <c r="B199" t="s">
        <v>481</v>
      </c>
      <c r="C199" t="s">
        <v>17</v>
      </c>
      <c r="D199">
        <v>2600</v>
      </c>
      <c r="E199">
        <v>7.0541999999577998</v>
      </c>
      <c r="F199">
        <v>5.38</v>
      </c>
      <c r="G199">
        <v>1.6741999999577999</v>
      </c>
      <c r="H199">
        <v>2.7131538461376099</v>
      </c>
      <c r="I199">
        <v>1.7635499999894499</v>
      </c>
      <c r="J199">
        <v>22.635499999894499</v>
      </c>
      <c r="K199">
        <v>1.03795235442718</v>
      </c>
      <c r="L199" t="s">
        <v>482</v>
      </c>
      <c r="M199">
        <v>3.46141556481115</v>
      </c>
      <c r="N199">
        <v>41767773</v>
      </c>
      <c r="O199">
        <f>IFERROR(VLOOKUP($A199,Actual!$A:$D,4,FALSE),IFERROR(VLOOKUP($A199,FC!$A:$AD,29,FALSE),"Not Found"))</f>
        <v>1.5</v>
      </c>
      <c r="P199" s="5" t="str">
        <f>IFERROR(VLOOKUP($A199,Actual!$A:$D,3,FALSE),"0")</f>
        <v>0</v>
      </c>
    </row>
    <row r="200" spans="1:16" x14ac:dyDescent="0.2">
      <c r="A200" t="s">
        <v>228</v>
      </c>
      <c r="B200" t="s">
        <v>505</v>
      </c>
      <c r="C200" t="s">
        <v>10</v>
      </c>
      <c r="D200">
        <v>4200</v>
      </c>
      <c r="E200">
        <v>8.5125518154307596</v>
      </c>
      <c r="F200">
        <v>8.32</v>
      </c>
      <c r="G200">
        <v>0.19255181543076799</v>
      </c>
      <c r="H200">
        <v>2.0267980512930399</v>
      </c>
      <c r="I200">
        <v>2.1281379538576899</v>
      </c>
      <c r="J200">
        <v>26.2813795385769</v>
      </c>
      <c r="K200">
        <v>0.61179714152740605</v>
      </c>
      <c r="L200" t="s">
        <v>482</v>
      </c>
      <c r="M200">
        <v>5.2814039658637899</v>
      </c>
      <c r="N200">
        <v>41766957</v>
      </c>
      <c r="O200">
        <f>IFERROR(VLOOKUP($A200,Actual!$A:$D,4,FALSE),IFERROR(VLOOKUP($A200,FC!$A:$AD,29,FALSE),"Not Found"))</f>
        <v>7.3</v>
      </c>
      <c r="P200" s="5">
        <f>IFERROR(VLOOKUP($A200,Actual!$A:$D,3,FALSE),"0")</f>
        <v>1.01E-2</v>
      </c>
    </row>
    <row r="201" spans="1:16" x14ac:dyDescent="0.2">
      <c r="A201" t="s">
        <v>109</v>
      </c>
      <c r="B201" t="s">
        <v>493</v>
      </c>
      <c r="C201" t="s">
        <v>5</v>
      </c>
      <c r="D201">
        <v>3600</v>
      </c>
      <c r="E201">
        <v>9.0888324959716602</v>
      </c>
      <c r="F201">
        <v>7.01</v>
      </c>
      <c r="G201">
        <v>2.07883249597166</v>
      </c>
      <c r="H201">
        <v>2.5246756933254599</v>
      </c>
      <c r="I201">
        <v>2.2722081239929102</v>
      </c>
      <c r="J201">
        <v>27.7220812399291</v>
      </c>
      <c r="K201">
        <v>4.4133209334458403</v>
      </c>
      <c r="L201" t="s">
        <v>482</v>
      </c>
      <c r="M201">
        <v>1.6789753660857001</v>
      </c>
      <c r="N201">
        <v>41766561</v>
      </c>
      <c r="O201">
        <f>IFERROR(VLOOKUP($A201,Actual!$A:$D,4,FALSE),IFERROR(VLOOKUP($A201,FC!$A:$AD,29,FALSE),"Not Found"))</f>
        <v>1.5</v>
      </c>
      <c r="P201" s="5">
        <f>IFERROR(VLOOKUP($A201,Actual!$A:$D,3,FALSE),"0")</f>
        <v>2.69E-2</v>
      </c>
    </row>
    <row r="202" spans="1:16" x14ac:dyDescent="0.2">
      <c r="A202" t="s">
        <v>356</v>
      </c>
      <c r="B202" t="s">
        <v>481</v>
      </c>
      <c r="C202" t="s">
        <v>5</v>
      </c>
      <c r="D202">
        <v>2900</v>
      </c>
      <c r="E202">
        <v>6.1327999142382099</v>
      </c>
      <c r="F202">
        <v>5.08</v>
      </c>
      <c r="G202">
        <v>1.0527999142382101</v>
      </c>
      <c r="H202">
        <v>2.1147585911166198</v>
      </c>
      <c r="I202">
        <v>1.53319997855955</v>
      </c>
      <c r="J202">
        <v>20.331999785595499</v>
      </c>
      <c r="K202">
        <v>0.68225251145056598</v>
      </c>
      <c r="L202" t="s">
        <v>482</v>
      </c>
      <c r="M202">
        <v>3.6455882053937598</v>
      </c>
      <c r="N202">
        <v>41766607</v>
      </c>
      <c r="O202">
        <f>IFERROR(VLOOKUP($A202,Actual!$A:$D,4,FALSE),IFERROR(VLOOKUP($A202,FC!$A:$AD,29,FALSE),"Not Found"))</f>
        <v>24.5</v>
      </c>
      <c r="P202" s="5">
        <f>IFERROR(VLOOKUP($A202,Actual!$A:$D,3,FALSE),"0")</f>
        <v>3.3999999999999998E-3</v>
      </c>
    </row>
    <row r="203" spans="1:16" x14ac:dyDescent="0.2">
      <c r="A203" t="s">
        <v>101</v>
      </c>
      <c r="B203" t="s">
        <v>487</v>
      </c>
      <c r="C203" t="s">
        <v>17</v>
      </c>
      <c r="D203">
        <v>3100</v>
      </c>
      <c r="E203">
        <v>6.4389019010340798</v>
      </c>
      <c r="F203">
        <v>6.78</v>
      </c>
      <c r="G203">
        <v>-0.34109809896591098</v>
      </c>
      <c r="H203">
        <v>2.0770651293658302</v>
      </c>
      <c r="I203">
        <v>1.6097254752585199</v>
      </c>
      <c r="J203">
        <v>21.097254752585201</v>
      </c>
      <c r="K203">
        <v>0.79576347172751105</v>
      </c>
      <c r="L203" t="s">
        <v>482</v>
      </c>
      <c r="M203">
        <v>3.5856069033634501</v>
      </c>
      <c r="N203">
        <v>41767683</v>
      </c>
      <c r="O203">
        <f>IFERROR(VLOOKUP($A203,Actual!$A:$D,4,FALSE),IFERROR(VLOOKUP($A203,FC!$A:$AD,29,FALSE),"Not Found"))</f>
        <v>7.6</v>
      </c>
      <c r="P203" s="5">
        <f>IFERROR(VLOOKUP($A203,Actual!$A:$D,3,FALSE),"0")</f>
        <v>2.86E-2</v>
      </c>
    </row>
    <row r="204" spans="1:16" x14ac:dyDescent="0.2">
      <c r="A204" t="s">
        <v>134</v>
      </c>
      <c r="B204" t="s">
        <v>480</v>
      </c>
      <c r="C204" t="s">
        <v>10</v>
      </c>
      <c r="D204">
        <v>3000</v>
      </c>
      <c r="E204">
        <v>8.5001324667301397</v>
      </c>
      <c r="F204">
        <v>6.73</v>
      </c>
      <c r="G204">
        <v>1.7701324667301399</v>
      </c>
      <c r="H204">
        <v>2.83337748891004</v>
      </c>
      <c r="I204">
        <v>2.12503311668253</v>
      </c>
      <c r="J204">
        <v>26.250331166825301</v>
      </c>
      <c r="K204">
        <v>0.30589857076370303</v>
      </c>
      <c r="L204" t="s">
        <v>482</v>
      </c>
      <c r="M204">
        <v>6.50902961151046</v>
      </c>
      <c r="N204">
        <v>41767101</v>
      </c>
      <c r="O204">
        <f>IFERROR(VLOOKUP($A204,Actual!$A:$D,4,FALSE),IFERROR(VLOOKUP($A204,FC!$A:$AD,29,FALSE),"Not Found"))</f>
        <v>17.899999999999999</v>
      </c>
      <c r="P204" s="5">
        <f>IFERROR(VLOOKUP($A204,Actual!$A:$D,3,FALSE),"0")</f>
        <v>2.1899999999999999E-2</v>
      </c>
    </row>
    <row r="205" spans="1:16" x14ac:dyDescent="0.2">
      <c r="A205" t="s">
        <v>108</v>
      </c>
      <c r="B205" t="s">
        <v>494</v>
      </c>
      <c r="C205" t="s">
        <v>10</v>
      </c>
      <c r="D205">
        <v>4400</v>
      </c>
      <c r="E205">
        <v>9.0083842628337507</v>
      </c>
      <c r="F205">
        <v>8</v>
      </c>
      <c r="G205">
        <v>1.00838426283375</v>
      </c>
      <c r="H205">
        <v>2.04736005973494</v>
      </c>
      <c r="I205">
        <v>2.2520960657084301</v>
      </c>
      <c r="J205">
        <v>27.520960657084299</v>
      </c>
      <c r="K205">
        <v>0.76474642690925798</v>
      </c>
      <c r="L205" t="s">
        <v>482</v>
      </c>
      <c r="M205">
        <v>5.1046338020419402</v>
      </c>
      <c r="N205">
        <v>41766943</v>
      </c>
      <c r="O205">
        <f>IFERROR(VLOOKUP($A205,Actual!$A:$D,4,FALSE),IFERROR(VLOOKUP($A205,FC!$A:$AD,29,FALSE),"Not Found"))</f>
        <v>2.8</v>
      </c>
      <c r="P205" s="5">
        <f>IFERROR(VLOOKUP($A205,Actual!$A:$D,3,FALSE),"0")</f>
        <v>2.69E-2</v>
      </c>
    </row>
    <row r="206" spans="1:16" x14ac:dyDescent="0.2">
      <c r="A206" t="s">
        <v>292</v>
      </c>
      <c r="B206" t="s">
        <v>491</v>
      </c>
      <c r="C206" t="s">
        <v>5</v>
      </c>
      <c r="D206">
        <v>2500</v>
      </c>
      <c r="E206">
        <v>5.2078889105529296</v>
      </c>
      <c r="F206">
        <v>4.91</v>
      </c>
      <c r="G206">
        <v>0.29788891055293298</v>
      </c>
      <c r="H206">
        <v>2.0831555642211699</v>
      </c>
      <c r="I206">
        <v>1.30197222763823</v>
      </c>
      <c r="J206">
        <v>18.0197222763823</v>
      </c>
      <c r="K206">
        <v>0.68225251145056598</v>
      </c>
      <c r="L206" t="s">
        <v>482</v>
      </c>
      <c r="M206">
        <v>3.0957831093159101</v>
      </c>
      <c r="N206">
        <v>41766645</v>
      </c>
      <c r="O206">
        <f>IFERROR(VLOOKUP($A206,Actual!$A:$D,4,FALSE),IFERROR(VLOOKUP($A206,FC!$A:$AD,29,FALSE),"Not Found"))</f>
        <v>6.9</v>
      </c>
      <c r="P206" s="5">
        <f>IFERROR(VLOOKUP($A206,Actual!$A:$D,3,FALSE),"0")</f>
        <v>6.7000000000000002E-3</v>
      </c>
    </row>
    <row r="207" spans="1:16" x14ac:dyDescent="0.2">
      <c r="A207" t="s">
        <v>269</v>
      </c>
      <c r="B207" t="s">
        <v>498</v>
      </c>
      <c r="C207" t="s">
        <v>17</v>
      </c>
      <c r="D207">
        <v>3200</v>
      </c>
      <c r="E207">
        <v>9.17017692277763</v>
      </c>
      <c r="F207">
        <v>7.07</v>
      </c>
      <c r="G207">
        <v>2.1001769227776301</v>
      </c>
      <c r="H207">
        <v>2.8656802883680101</v>
      </c>
      <c r="I207">
        <v>2.2925442306943999</v>
      </c>
      <c r="J207">
        <v>27.925442306943999</v>
      </c>
      <c r="K207">
        <v>1.34933806075534</v>
      </c>
      <c r="L207" t="s">
        <v>482</v>
      </c>
      <c r="M207">
        <v>3.90330241354421</v>
      </c>
      <c r="N207">
        <v>41767663</v>
      </c>
      <c r="O207">
        <f>IFERROR(VLOOKUP($A207,Actual!$A:$D,4,FALSE),IFERROR(VLOOKUP($A207,FC!$A:$AD,29,FALSE),"Not Found"))</f>
        <v>3</v>
      </c>
      <c r="P207" s="5">
        <f>IFERROR(VLOOKUP($A207,Actual!$A:$D,3,FALSE),"0")</f>
        <v>8.3999999999999995E-3</v>
      </c>
    </row>
    <row r="208" spans="1:16" x14ac:dyDescent="0.2">
      <c r="A208" t="s">
        <v>159</v>
      </c>
      <c r="B208" t="s">
        <v>505</v>
      </c>
      <c r="C208" t="s">
        <v>17</v>
      </c>
      <c r="D208">
        <v>3200</v>
      </c>
      <c r="E208">
        <v>5.95540492900823</v>
      </c>
      <c r="F208">
        <v>7.14</v>
      </c>
      <c r="G208">
        <v>-1.1845950709917601</v>
      </c>
      <c r="H208">
        <v>1.86106404031507</v>
      </c>
      <c r="I208">
        <v>1.48885123225205</v>
      </c>
      <c r="J208">
        <v>19.888512322520501</v>
      </c>
      <c r="K208">
        <v>0.69196823628479198</v>
      </c>
      <c r="L208" t="s">
        <v>482</v>
      </c>
      <c r="M208">
        <v>3.5198089427996901</v>
      </c>
      <c r="N208">
        <v>41767665</v>
      </c>
      <c r="O208">
        <f>IFERROR(VLOOKUP($A208,Actual!$A:$D,4,FALSE),IFERROR(VLOOKUP($A208,FC!$A:$AD,29,FALSE),"Not Found"))</f>
        <v>6.5</v>
      </c>
      <c r="P208" s="5">
        <f>IFERROR(VLOOKUP($A208,Actual!$A:$D,3,FALSE),"0")</f>
        <v>1.6799999999999999E-2</v>
      </c>
    </row>
    <row r="209" spans="1:16" x14ac:dyDescent="0.2">
      <c r="A209" t="s">
        <v>401</v>
      </c>
      <c r="B209" t="s">
        <v>491</v>
      </c>
      <c r="C209" t="s">
        <v>10</v>
      </c>
      <c r="D209">
        <v>3000</v>
      </c>
      <c r="E209">
        <v>6.9843777558743101</v>
      </c>
      <c r="F209">
        <v>5.67</v>
      </c>
      <c r="G209">
        <v>1.3143777558743099</v>
      </c>
      <c r="H209">
        <v>2.32812591862477</v>
      </c>
      <c r="I209">
        <v>1.74609443896857</v>
      </c>
      <c r="J209">
        <v>22.4609443896857</v>
      </c>
      <c r="K209">
        <v>0.17733250479055199</v>
      </c>
      <c r="L209" t="s">
        <v>482</v>
      </c>
      <c r="M209">
        <v>5.9323748622032904</v>
      </c>
      <c r="N209">
        <v>41767089</v>
      </c>
      <c r="O209">
        <f>IFERROR(VLOOKUP($A209,Actual!$A:$D,4,FALSE),IFERROR(VLOOKUP($A209,FC!$A:$AD,29,FALSE),"Not Found"))</f>
        <v>2.8</v>
      </c>
      <c r="P209" s="5">
        <f>IFERROR(VLOOKUP($A209,Actual!$A:$D,3,FALSE),"0")</f>
        <v>1.6999999999999999E-3</v>
      </c>
    </row>
    <row r="210" spans="1:16" x14ac:dyDescent="0.2">
      <c r="A210" t="s">
        <v>281</v>
      </c>
      <c r="B210" t="s">
        <v>500</v>
      </c>
      <c r="C210" t="s">
        <v>5</v>
      </c>
      <c r="D210">
        <v>5900</v>
      </c>
      <c r="E210">
        <v>10.2502408148331</v>
      </c>
      <c r="F210">
        <v>9.41</v>
      </c>
      <c r="G210">
        <v>0.84024081483314805</v>
      </c>
      <c r="H210">
        <v>1.7373289516666299</v>
      </c>
      <c r="I210">
        <v>2.56256020370828</v>
      </c>
      <c r="J210">
        <v>30.6256020370828</v>
      </c>
      <c r="K210">
        <v>4.9889714899822604</v>
      </c>
      <c r="L210" t="s">
        <v>482</v>
      </c>
      <c r="M210">
        <v>1.7115193872568399</v>
      </c>
      <c r="N210">
        <v>41766485</v>
      </c>
      <c r="O210">
        <f>IFERROR(VLOOKUP($A210,Actual!$A:$D,4,FALSE),IFERROR(VLOOKUP($A210,FC!$A:$AD,29,FALSE),"Not Found"))</f>
        <v>19.3</v>
      </c>
      <c r="P210" s="5">
        <f>IFERROR(VLOOKUP($A210,Actual!$A:$D,3,FALSE),"0")</f>
        <v>6.7000000000000002E-3</v>
      </c>
    </row>
    <row r="211" spans="1:16" x14ac:dyDescent="0.2">
      <c r="A211" t="s">
        <v>40</v>
      </c>
      <c r="B211" t="s">
        <v>494</v>
      </c>
      <c r="C211" t="s">
        <v>10</v>
      </c>
      <c r="D211">
        <v>3500</v>
      </c>
      <c r="E211">
        <v>7.5169759372600904</v>
      </c>
      <c r="F211">
        <v>6.58</v>
      </c>
      <c r="G211">
        <v>0.93697593726008999</v>
      </c>
      <c r="H211">
        <v>2.1477074106457401</v>
      </c>
      <c r="I211">
        <v>1.8792439843150199</v>
      </c>
      <c r="J211">
        <v>23.792439843150198</v>
      </c>
      <c r="K211">
        <v>0.79799627155748598</v>
      </c>
      <c r="L211" t="s">
        <v>482</v>
      </c>
      <c r="M211">
        <v>4.1807516823984399</v>
      </c>
      <c r="N211">
        <v>41767025</v>
      </c>
      <c r="O211">
        <f>IFERROR(VLOOKUP($A211,Actual!$A:$D,4,FALSE),IFERROR(VLOOKUP($A211,FC!$A:$AD,29,FALSE),"Not Found"))</f>
        <v>1.3</v>
      </c>
      <c r="P211" s="5">
        <f>IFERROR(VLOOKUP($A211,Actual!$A:$D,3,FALSE),"0")</f>
        <v>6.0600000000000001E-2</v>
      </c>
    </row>
    <row r="212" spans="1:16" x14ac:dyDescent="0.2">
      <c r="A212" t="s">
        <v>206</v>
      </c>
      <c r="B212" t="s">
        <v>506</v>
      </c>
      <c r="C212" t="s">
        <v>10</v>
      </c>
      <c r="D212">
        <v>4600</v>
      </c>
      <c r="E212">
        <v>9.9251119950702602</v>
      </c>
      <c r="F212">
        <v>8</v>
      </c>
      <c r="G212">
        <v>1.92511199507026</v>
      </c>
      <c r="H212">
        <v>2.1576330424065802</v>
      </c>
      <c r="I212">
        <v>2.4812779987675602</v>
      </c>
      <c r="J212">
        <v>29.812779987675601</v>
      </c>
      <c r="K212">
        <v>1.5128679314944</v>
      </c>
      <c r="L212" t="s">
        <v>482</v>
      </c>
      <c r="M212">
        <v>3.9497149335531501</v>
      </c>
      <c r="N212">
        <v>41766933</v>
      </c>
      <c r="O212">
        <f>IFERROR(VLOOKUP($A212,Actual!$A:$D,4,FALSE),IFERROR(VLOOKUP($A212,FC!$A:$AD,29,FALSE),"Not Found"))</f>
        <v>3</v>
      </c>
      <c r="P212" s="5">
        <f>IFERROR(VLOOKUP($A212,Actual!$A:$D,3,FALSE),"0")</f>
        <v>1.18E-2</v>
      </c>
    </row>
    <row r="213" spans="1:16" x14ac:dyDescent="0.2">
      <c r="A213" t="s">
        <v>196</v>
      </c>
      <c r="B213" t="s">
        <v>486</v>
      </c>
      <c r="C213" t="s">
        <v>10</v>
      </c>
      <c r="D213">
        <v>3400</v>
      </c>
      <c r="E213">
        <v>8.8935134162603493</v>
      </c>
      <c r="F213">
        <v>7.13</v>
      </c>
      <c r="G213">
        <v>1.7635134162603501</v>
      </c>
      <c r="H213">
        <v>2.6157392400765702</v>
      </c>
      <c r="I213">
        <v>2.2233783540650802</v>
      </c>
      <c r="J213">
        <v>27.233783540650801</v>
      </c>
      <c r="K213">
        <v>0.38237321345462899</v>
      </c>
      <c r="L213" t="s">
        <v>482</v>
      </c>
      <c r="M213">
        <v>6.4335111022839904</v>
      </c>
      <c r="N213">
        <v>41767043</v>
      </c>
      <c r="O213">
        <f>IFERROR(VLOOKUP($A213,Actual!$A:$D,4,FALSE),IFERROR(VLOOKUP($A213,FC!$A:$AD,29,FALSE),"Not Found"))</f>
        <v>8</v>
      </c>
      <c r="P213" s="5">
        <f>IFERROR(VLOOKUP($A213,Actual!$A:$D,3,FALSE),"0")</f>
        <v>1.35E-2</v>
      </c>
    </row>
    <row r="214" spans="1:16" x14ac:dyDescent="0.2">
      <c r="A214" t="s">
        <v>88</v>
      </c>
      <c r="B214" t="s">
        <v>494</v>
      </c>
      <c r="C214" t="s">
        <v>5</v>
      </c>
      <c r="D214">
        <v>6500</v>
      </c>
      <c r="E214">
        <v>11.3706386104557</v>
      </c>
      <c r="F214">
        <v>9.9</v>
      </c>
      <c r="G214">
        <v>1.4706386104557001</v>
      </c>
      <c r="H214">
        <v>1.7493290169931801</v>
      </c>
      <c r="I214">
        <v>2.8426596526139201</v>
      </c>
      <c r="J214">
        <v>33.4265965261392</v>
      </c>
      <c r="K214">
        <v>3.6585790926536599</v>
      </c>
      <c r="L214" t="s">
        <v>482</v>
      </c>
      <c r="M214">
        <v>2.44079544090742</v>
      </c>
      <c r="N214">
        <v>41766465</v>
      </c>
      <c r="O214">
        <f>IFERROR(VLOOKUP($A214,Actual!$A:$D,4,FALSE),IFERROR(VLOOKUP($A214,FC!$A:$AD,29,FALSE),"Not Found"))</f>
        <v>1.5</v>
      </c>
      <c r="P214" s="5">
        <f>IFERROR(VLOOKUP($A214,Actual!$A:$D,3,FALSE),"0")</f>
        <v>3.2000000000000001E-2</v>
      </c>
    </row>
    <row r="215" spans="1:16" x14ac:dyDescent="0.2">
      <c r="A215" t="s">
        <v>291</v>
      </c>
      <c r="B215" t="s">
        <v>501</v>
      </c>
      <c r="C215" t="s">
        <v>10</v>
      </c>
      <c r="D215">
        <v>2800</v>
      </c>
      <c r="E215">
        <v>5.9517390263077203</v>
      </c>
      <c r="F215">
        <v>4.91</v>
      </c>
      <c r="G215">
        <v>1.04173902630772</v>
      </c>
      <c r="H215">
        <v>2.12562108082418</v>
      </c>
      <c r="I215">
        <v>1.4879347565769301</v>
      </c>
      <c r="J215">
        <v>19.879347565769301</v>
      </c>
      <c r="K215">
        <v>0.17733250479055199</v>
      </c>
      <c r="L215" t="s">
        <v>482</v>
      </c>
      <c r="M215">
        <v>5.0552745312731604</v>
      </c>
      <c r="N215">
        <v>41767145</v>
      </c>
      <c r="O215">
        <f>IFERROR(VLOOKUP($A215,Actual!$A:$D,4,FALSE),IFERROR(VLOOKUP($A215,FC!$A:$AD,29,FALSE),"Not Found"))</f>
        <v>10.5</v>
      </c>
      <c r="P215" s="5">
        <f>IFERROR(VLOOKUP($A215,Actual!$A:$D,3,FALSE),"0")</f>
        <v>6.7000000000000002E-3</v>
      </c>
    </row>
    <row r="216" spans="1:16" x14ac:dyDescent="0.2">
      <c r="A216" t="s">
        <v>194</v>
      </c>
      <c r="B216" t="s">
        <v>489</v>
      </c>
      <c r="C216" t="s">
        <v>5</v>
      </c>
      <c r="D216">
        <v>4100</v>
      </c>
      <c r="E216">
        <v>5.6737955388800101</v>
      </c>
      <c r="F216">
        <v>5.98</v>
      </c>
      <c r="G216">
        <v>-0.30620446111998501</v>
      </c>
      <c r="H216">
        <v>1.38385257045854</v>
      </c>
      <c r="I216">
        <v>1.4184488847200001</v>
      </c>
      <c r="J216">
        <v>19.184488847200001</v>
      </c>
      <c r="K216">
        <v>1.4122626987026701</v>
      </c>
      <c r="L216" t="s">
        <v>482</v>
      </c>
      <c r="M216">
        <v>2.3520637043102299</v>
      </c>
      <c r="N216">
        <v>41766539</v>
      </c>
      <c r="O216">
        <f>IFERROR(VLOOKUP($A216,Actual!$A:$D,4,FALSE),IFERROR(VLOOKUP($A216,FC!$A:$AD,29,FALSE),"Not Found"))</f>
        <v>5.8</v>
      </c>
      <c r="P216" s="5">
        <f>IFERROR(VLOOKUP($A216,Actual!$A:$D,3,FALSE),"0")</f>
        <v>1.35E-2</v>
      </c>
    </row>
    <row r="217" spans="1:16" x14ac:dyDescent="0.2">
      <c r="A217" t="s">
        <v>64</v>
      </c>
      <c r="B217" t="s">
        <v>487</v>
      </c>
      <c r="C217" t="s">
        <v>10</v>
      </c>
      <c r="D217">
        <v>5500</v>
      </c>
      <c r="E217">
        <v>8.8458706859225806</v>
      </c>
      <c r="F217">
        <v>9</v>
      </c>
      <c r="G217">
        <v>-0.15412931407741201</v>
      </c>
      <c r="H217">
        <v>1.6083401247131901</v>
      </c>
      <c r="I217">
        <v>2.2114676714806398</v>
      </c>
      <c r="J217">
        <v>27.1146767148064</v>
      </c>
      <c r="K217">
        <v>2.9422139556305602</v>
      </c>
      <c r="L217" t="s">
        <v>482</v>
      </c>
      <c r="M217">
        <v>2.2438839660866798</v>
      </c>
      <c r="N217">
        <v>41766499</v>
      </c>
      <c r="O217">
        <f>IFERROR(VLOOKUP($A217,Actual!$A:$D,4,FALSE),IFERROR(VLOOKUP($A217,FC!$A:$AD,29,FALSE),"Not Found"))</f>
        <v>10.8</v>
      </c>
      <c r="P217" s="5">
        <f>IFERROR(VLOOKUP($A217,Actual!$A:$D,3,FALSE),"0")</f>
        <v>4.2099999999999999E-2</v>
      </c>
    </row>
    <row r="218" spans="1:16" x14ac:dyDescent="0.2">
      <c r="A218" t="s">
        <v>135</v>
      </c>
      <c r="B218" t="s">
        <v>492</v>
      </c>
      <c r="C218" t="s">
        <v>5</v>
      </c>
      <c r="D218">
        <v>3700</v>
      </c>
      <c r="E218">
        <v>7.2884580746076804</v>
      </c>
      <c r="F218">
        <v>6.94</v>
      </c>
      <c r="G218">
        <v>0.34845807460768102</v>
      </c>
      <c r="H218">
        <v>1.9698535336777501</v>
      </c>
      <c r="I218">
        <v>1.8221145186519201</v>
      </c>
      <c r="J218">
        <v>23.221145186519198</v>
      </c>
      <c r="K218">
        <v>2.3537711645044501</v>
      </c>
      <c r="L218" t="s">
        <v>482</v>
      </c>
      <c r="M218">
        <v>2.1732126961275799</v>
      </c>
      <c r="N218">
        <v>41766557</v>
      </c>
      <c r="O218">
        <f>IFERROR(VLOOKUP($A218,Actual!$A:$D,4,FALSE),IFERROR(VLOOKUP($A218,FC!$A:$AD,29,FALSE),"Not Found"))</f>
        <v>5</v>
      </c>
      <c r="P218" s="5">
        <f>IFERROR(VLOOKUP($A218,Actual!$A:$D,3,FALSE),"0")</f>
        <v>2.0199999999999999E-2</v>
      </c>
    </row>
    <row r="219" spans="1:16" x14ac:dyDescent="0.2">
      <c r="A219" t="s">
        <v>380</v>
      </c>
      <c r="B219" t="s">
        <v>483</v>
      </c>
      <c r="C219" t="s">
        <v>17</v>
      </c>
      <c r="D219">
        <v>2900</v>
      </c>
      <c r="E219">
        <v>5.8308048391999501</v>
      </c>
      <c r="F219">
        <v>5.47</v>
      </c>
      <c r="G219">
        <v>0.36080483919995299</v>
      </c>
      <c r="H219">
        <v>2.01062235834481</v>
      </c>
      <c r="I219">
        <v>1.45770120979998</v>
      </c>
      <c r="J219">
        <v>19.577012097999798</v>
      </c>
      <c r="K219">
        <v>0.69196823628479198</v>
      </c>
      <c r="L219" t="s">
        <v>482</v>
      </c>
      <c r="M219">
        <v>3.4461668453086198</v>
      </c>
      <c r="N219">
        <v>41767715</v>
      </c>
      <c r="O219">
        <f>IFERROR(VLOOKUP($A219,Actual!$A:$D,4,FALSE),IFERROR(VLOOKUP($A219,FC!$A:$AD,29,FALSE),"Not Found"))</f>
        <v>5.6</v>
      </c>
      <c r="P219" s="5">
        <f>IFERROR(VLOOKUP($A219,Actual!$A:$D,3,FALSE),"0")</f>
        <v>3.3999999999999998E-3</v>
      </c>
    </row>
    <row r="220" spans="1:16" x14ac:dyDescent="0.2">
      <c r="A220" t="s">
        <v>276</v>
      </c>
      <c r="B220" t="s">
        <v>507</v>
      </c>
      <c r="C220" t="s">
        <v>10</v>
      </c>
      <c r="D220">
        <v>6500</v>
      </c>
      <c r="E220">
        <v>11.831177051581699</v>
      </c>
      <c r="F220">
        <v>11.04</v>
      </c>
      <c r="G220">
        <v>0.79117705158177598</v>
      </c>
      <c r="H220">
        <v>1.8201810848587301</v>
      </c>
      <c r="I220">
        <v>2.9577942628954399</v>
      </c>
      <c r="J220">
        <v>34.577942628954403</v>
      </c>
      <c r="K220">
        <v>1.18868194617417</v>
      </c>
      <c r="L220" t="s">
        <v>482</v>
      </c>
      <c r="M220">
        <v>5.4056173270231103</v>
      </c>
      <c r="N220">
        <v>41766839</v>
      </c>
      <c r="O220">
        <f>IFERROR(VLOOKUP($A220,Actual!$A:$D,4,FALSE),IFERROR(VLOOKUP($A220,FC!$A:$AD,29,FALSE),"Not Found"))</f>
        <v>1.5</v>
      </c>
      <c r="P220" s="5">
        <f>IFERROR(VLOOKUP($A220,Actual!$A:$D,3,FALSE),"0")</f>
        <v>8.3999999999999995E-3</v>
      </c>
    </row>
    <row r="221" spans="1:16" x14ac:dyDescent="0.2">
      <c r="A221" t="s">
        <v>549</v>
      </c>
      <c r="B221" t="s">
        <v>501</v>
      </c>
      <c r="C221" t="s">
        <v>17</v>
      </c>
      <c r="D221">
        <v>2500</v>
      </c>
      <c r="E221">
        <v>5.4901128890579098</v>
      </c>
      <c r="F221">
        <v>4.71</v>
      </c>
      <c r="G221">
        <v>0.78011288905790999</v>
      </c>
      <c r="H221">
        <v>2.1960451556231599</v>
      </c>
      <c r="I221">
        <v>1.3725282222644699</v>
      </c>
      <c r="J221">
        <v>18.725282222644701</v>
      </c>
      <c r="K221">
        <v>0.69196823628479198</v>
      </c>
      <c r="L221" t="s">
        <v>482</v>
      </c>
      <c r="M221">
        <v>3.24480848476981</v>
      </c>
      <c r="N221">
        <v>41768015</v>
      </c>
      <c r="O221">
        <f>IFERROR(VLOOKUP($A221,Actual!$A:$D,4,FALSE),IFERROR(VLOOKUP($A221,FC!$A:$AD,29,FALSE),"Not Found"))</f>
        <v>2.6</v>
      </c>
      <c r="P221" s="5" t="str">
        <f>IFERROR(VLOOKUP($A221,Actual!$A:$D,3,FALSE),"0")</f>
        <v>0</v>
      </c>
    </row>
    <row r="222" spans="1:16" x14ac:dyDescent="0.2">
      <c r="A222" t="s">
        <v>371</v>
      </c>
      <c r="B222" t="s">
        <v>502</v>
      </c>
      <c r="C222" t="s">
        <v>5</v>
      </c>
      <c r="D222">
        <v>3800</v>
      </c>
      <c r="E222">
        <v>8.0917426364741605</v>
      </c>
      <c r="F222">
        <v>6.62</v>
      </c>
      <c r="G222">
        <v>1.4717426364741599</v>
      </c>
      <c r="H222">
        <v>2.1294059569668802</v>
      </c>
      <c r="I222">
        <v>2.0229356591185401</v>
      </c>
      <c r="J222">
        <v>25.2293565911854</v>
      </c>
      <c r="K222">
        <v>0.76474642690925798</v>
      </c>
      <c r="L222" t="s">
        <v>482</v>
      </c>
      <c r="M222">
        <v>4.5852154808698904</v>
      </c>
      <c r="N222">
        <v>41766995</v>
      </c>
      <c r="O222">
        <f>IFERROR(VLOOKUP($A222,Actual!$A:$D,4,FALSE),IFERROR(VLOOKUP($A222,FC!$A:$AD,29,FALSE),"Not Found"))</f>
        <v>0</v>
      </c>
      <c r="P222" s="5">
        <f>IFERROR(VLOOKUP($A222,Actual!$A:$D,3,FALSE),"0")</f>
        <v>3.3999999999999998E-3</v>
      </c>
    </row>
    <row r="223" spans="1:16" x14ac:dyDescent="0.2">
      <c r="A223" t="s">
        <v>73</v>
      </c>
      <c r="B223" t="s">
        <v>499</v>
      </c>
      <c r="C223" t="s">
        <v>10</v>
      </c>
      <c r="D223">
        <v>6200</v>
      </c>
      <c r="E223">
        <v>13.1455943321556</v>
      </c>
      <c r="F223">
        <v>10.89</v>
      </c>
      <c r="G223">
        <v>2.25559433215561</v>
      </c>
      <c r="H223">
        <v>2.1202571503476801</v>
      </c>
      <c r="I223">
        <v>3.2863985830389</v>
      </c>
      <c r="J223">
        <v>37.863985830388998</v>
      </c>
      <c r="K223">
        <v>1.2967439412809101</v>
      </c>
      <c r="L223" t="s">
        <v>482</v>
      </c>
      <c r="M223">
        <v>5.7235785391140199</v>
      </c>
      <c r="N223">
        <v>41766853</v>
      </c>
      <c r="O223">
        <f>IFERROR(VLOOKUP($A223,Actual!$A:$D,4,FALSE),IFERROR(VLOOKUP($A223,FC!$A:$AD,29,FALSE),"Not Found"))</f>
        <v>11.8</v>
      </c>
      <c r="P223" s="5">
        <f>IFERROR(VLOOKUP($A223,Actual!$A:$D,3,FALSE),"0")</f>
        <v>3.8699999999999998E-2</v>
      </c>
    </row>
    <row r="224" spans="1:16" x14ac:dyDescent="0.2">
      <c r="A224" t="s">
        <v>82</v>
      </c>
      <c r="B224" t="s">
        <v>486</v>
      </c>
      <c r="C224" t="s">
        <v>5</v>
      </c>
      <c r="D224">
        <v>8700</v>
      </c>
      <c r="E224">
        <v>17.282201865099999</v>
      </c>
      <c r="F224">
        <v>14.36</v>
      </c>
      <c r="G224">
        <v>2.9222018651000701</v>
      </c>
      <c r="H224">
        <v>1.9864599844942601</v>
      </c>
      <c r="I224">
        <v>4.3205504662750096</v>
      </c>
      <c r="J224">
        <v>48.205504662750101</v>
      </c>
      <c r="K224">
        <v>6.65196198664301</v>
      </c>
      <c r="L224" t="s">
        <v>479</v>
      </c>
      <c r="M224">
        <v>2.2585321117991999</v>
      </c>
      <c r="N224">
        <v>41766445</v>
      </c>
      <c r="O224">
        <f>IFERROR(VLOOKUP($A224,Actual!$A:$D,4,FALSE),IFERROR(VLOOKUP($A224,FC!$A:$AD,29,FALSE),"Not Found"))</f>
        <v>10.5</v>
      </c>
      <c r="P224" s="5">
        <f>IFERROR(VLOOKUP($A224,Actual!$A:$D,3,FALSE),"0")</f>
        <v>3.5400000000000001E-2</v>
      </c>
    </row>
    <row r="225" spans="1:16" x14ac:dyDescent="0.2">
      <c r="A225" t="s">
        <v>28</v>
      </c>
      <c r="B225" t="s">
        <v>491</v>
      </c>
      <c r="C225" t="s">
        <v>10</v>
      </c>
      <c r="D225">
        <v>4100</v>
      </c>
      <c r="E225">
        <v>11.1790106038549</v>
      </c>
      <c r="F225">
        <v>10.09</v>
      </c>
      <c r="G225">
        <v>1.0890106038548999</v>
      </c>
      <c r="H225">
        <v>2.72658795215973</v>
      </c>
      <c r="I225">
        <v>2.7947526509637202</v>
      </c>
      <c r="J225">
        <v>32.9475265096372</v>
      </c>
      <c r="K225">
        <v>1.5560927295370901</v>
      </c>
      <c r="L225" t="s">
        <v>482</v>
      </c>
      <c r="M225">
        <v>4.3734761554911898</v>
      </c>
      <c r="N225">
        <v>41766961</v>
      </c>
      <c r="O225">
        <f>IFERROR(VLOOKUP($A225,Actual!$A:$D,4,FALSE),IFERROR(VLOOKUP($A225,FC!$A:$AD,29,FALSE),"Not Found"))</f>
        <v>1.5</v>
      </c>
      <c r="P225" s="5">
        <f>IFERROR(VLOOKUP($A225,Actual!$A:$D,3,FALSE),"0")</f>
        <v>7.0699999999999999E-2</v>
      </c>
    </row>
    <row r="226" spans="1:16" x14ac:dyDescent="0.2">
      <c r="A226" t="s">
        <v>370</v>
      </c>
      <c r="B226" t="s">
        <v>490</v>
      </c>
      <c r="C226" t="s">
        <v>17</v>
      </c>
      <c r="D226">
        <v>2900</v>
      </c>
      <c r="E226">
        <v>5.1287944930301403</v>
      </c>
      <c r="F226">
        <v>5.81</v>
      </c>
      <c r="G226">
        <v>-0.68120550696985105</v>
      </c>
      <c r="H226">
        <v>1.7685498251828</v>
      </c>
      <c r="I226">
        <v>1.28219862325753</v>
      </c>
      <c r="J226">
        <v>17.821986232575298</v>
      </c>
      <c r="K226">
        <v>0.69196823628479198</v>
      </c>
      <c r="L226" t="s">
        <v>482</v>
      </c>
      <c r="M226">
        <v>3.03125932452012</v>
      </c>
      <c r="N226">
        <v>41767721</v>
      </c>
      <c r="O226">
        <f>IFERROR(VLOOKUP($A226,Actual!$A:$D,4,FALSE),IFERROR(VLOOKUP($A226,FC!$A:$AD,29,FALSE),"Not Found"))</f>
        <v>2.8</v>
      </c>
      <c r="P226" s="5">
        <f>IFERROR(VLOOKUP($A226,Actual!$A:$D,3,FALSE),"0")</f>
        <v>3.3999999999999998E-3</v>
      </c>
    </row>
    <row r="227" spans="1:16" x14ac:dyDescent="0.2">
      <c r="A227" t="s">
        <v>11</v>
      </c>
      <c r="B227" t="s">
        <v>485</v>
      </c>
      <c r="C227" t="s">
        <v>5</v>
      </c>
      <c r="D227">
        <v>5300</v>
      </c>
      <c r="E227">
        <v>12.577720550052801</v>
      </c>
      <c r="F227">
        <v>10.92</v>
      </c>
      <c r="G227">
        <v>1.65772055005284</v>
      </c>
      <c r="H227">
        <v>2.3731548207646802</v>
      </c>
      <c r="I227">
        <v>3.14443013751321</v>
      </c>
      <c r="J227">
        <v>36.444301375132099</v>
      </c>
      <c r="K227">
        <v>1.99499067889371</v>
      </c>
      <c r="L227" t="s">
        <v>482</v>
      </c>
      <c r="M227">
        <v>4.1995858747375996</v>
      </c>
      <c r="N227">
        <v>41766887</v>
      </c>
      <c r="O227">
        <f>IFERROR(VLOOKUP($A227,Actual!$A:$D,4,FALSE),IFERROR(VLOOKUP($A227,FC!$A:$AD,29,FALSE),"Not Found"))</f>
        <v>5</v>
      </c>
      <c r="P227" s="5">
        <f>IFERROR(VLOOKUP($A227,Actual!$A:$D,3,FALSE),"0")</f>
        <v>0.14979999999999999</v>
      </c>
    </row>
    <row r="228" spans="1:16" x14ac:dyDescent="0.2">
      <c r="A228" t="s">
        <v>143</v>
      </c>
      <c r="B228" t="s">
        <v>486</v>
      </c>
      <c r="C228" t="s">
        <v>10</v>
      </c>
      <c r="D228">
        <v>6100</v>
      </c>
      <c r="E228">
        <v>13.3674640079777</v>
      </c>
      <c r="F228">
        <v>11.34</v>
      </c>
      <c r="G228">
        <v>2.0274640079777599</v>
      </c>
      <c r="H228">
        <v>2.1913875422914302</v>
      </c>
      <c r="I228">
        <v>3.3418660019944402</v>
      </c>
      <c r="J228">
        <v>38.418660019944397</v>
      </c>
      <c r="K228">
        <v>0.99417035498203499</v>
      </c>
      <c r="L228" t="s">
        <v>482</v>
      </c>
      <c r="M228">
        <v>6.7032708487425996</v>
      </c>
      <c r="N228">
        <v>41766857</v>
      </c>
      <c r="O228">
        <f>IFERROR(VLOOKUP($A228,Actual!$A:$D,4,FALSE),IFERROR(VLOOKUP($A228,FC!$A:$AD,29,FALSE),"Not Found"))</f>
        <v>45</v>
      </c>
      <c r="P228" s="5">
        <f>IFERROR(VLOOKUP($A228,Actual!$A:$D,3,FALSE),"0")</f>
        <v>2.0199999999999999E-2</v>
      </c>
    </row>
    <row r="229" spans="1:16" x14ac:dyDescent="0.2">
      <c r="A229" t="s">
        <v>355</v>
      </c>
      <c r="B229" t="s">
        <v>507</v>
      </c>
      <c r="C229" t="s">
        <v>17</v>
      </c>
      <c r="D229">
        <v>2500</v>
      </c>
      <c r="E229">
        <v>4.9674977777019098</v>
      </c>
      <c r="F229">
        <v>6.04</v>
      </c>
      <c r="G229">
        <v>-1.07250222229808</v>
      </c>
      <c r="H229">
        <v>1.9869991110807601</v>
      </c>
      <c r="I229">
        <v>1.2418744444254699</v>
      </c>
      <c r="J229">
        <v>17.418744444254699</v>
      </c>
      <c r="K229">
        <v>0.69196823628479198</v>
      </c>
      <c r="L229" t="s">
        <v>482</v>
      </c>
      <c r="M229">
        <v>2.9359285069142298</v>
      </c>
      <c r="N229">
        <v>41767949</v>
      </c>
      <c r="O229">
        <f>IFERROR(VLOOKUP($A229,Actual!$A:$D,4,FALSE),IFERROR(VLOOKUP($A229,FC!$A:$AD,29,FALSE),"Not Found"))</f>
        <v>9.9</v>
      </c>
      <c r="P229" s="5">
        <f>IFERROR(VLOOKUP($A229,Actual!$A:$D,3,FALSE),"0")</f>
        <v>3.3999999999999998E-3</v>
      </c>
    </row>
    <row r="230" spans="1:16" x14ac:dyDescent="0.2">
      <c r="A230" t="s">
        <v>296</v>
      </c>
      <c r="B230" t="s">
        <v>498</v>
      </c>
      <c r="C230" t="s">
        <v>10</v>
      </c>
      <c r="D230">
        <v>5900</v>
      </c>
      <c r="E230">
        <v>11.420025681298901</v>
      </c>
      <c r="F230">
        <v>9.64</v>
      </c>
      <c r="G230">
        <v>1.7800256812989499</v>
      </c>
      <c r="H230">
        <v>1.93559757310151</v>
      </c>
      <c r="I230">
        <v>2.8550064203247301</v>
      </c>
      <c r="J230">
        <v>33.550064203247302</v>
      </c>
      <c r="K230">
        <v>0.79533628398562795</v>
      </c>
      <c r="L230" t="s">
        <v>482</v>
      </c>
      <c r="M230">
        <v>6.3609396095680699</v>
      </c>
      <c r="N230">
        <v>41766865</v>
      </c>
      <c r="O230">
        <f>IFERROR(VLOOKUP($A230,Actual!$A:$D,4,FALSE),IFERROR(VLOOKUP($A230,FC!$A:$AD,29,FALSE),"Not Found"))</f>
        <v>8</v>
      </c>
      <c r="P230" s="5">
        <f>IFERROR(VLOOKUP($A230,Actual!$A:$D,3,FALSE),"0")</f>
        <v>6.7000000000000002E-3</v>
      </c>
    </row>
    <row r="231" spans="1:16" x14ac:dyDescent="0.2">
      <c r="A231" t="s">
        <v>140</v>
      </c>
      <c r="B231" t="s">
        <v>478</v>
      </c>
      <c r="C231" t="s">
        <v>10</v>
      </c>
      <c r="D231">
        <v>5500</v>
      </c>
      <c r="E231">
        <v>11.3542043664484</v>
      </c>
      <c r="F231">
        <v>9.3800000000000008</v>
      </c>
      <c r="G231">
        <v>1.9742043664484501</v>
      </c>
      <c r="H231">
        <v>2.0644007938997202</v>
      </c>
      <c r="I231">
        <v>2.8385510916121102</v>
      </c>
      <c r="J231">
        <v>33.385510916121099</v>
      </c>
      <c r="K231">
        <v>0.99417035498203499</v>
      </c>
      <c r="L231" t="s">
        <v>482</v>
      </c>
      <c r="M231">
        <v>5.6936983031977402</v>
      </c>
      <c r="N231">
        <v>41766879</v>
      </c>
      <c r="O231">
        <f>IFERROR(VLOOKUP($A231,Actual!$A:$D,4,FALSE),IFERROR(VLOOKUP($A231,FC!$A:$AD,29,FALSE),"Not Found"))</f>
        <v>7.3</v>
      </c>
      <c r="P231" s="5">
        <f>IFERROR(VLOOKUP($A231,Actual!$A:$D,3,FALSE),"0")</f>
        <v>2.0199999999999999E-2</v>
      </c>
    </row>
    <row r="232" spans="1:16" x14ac:dyDescent="0.2">
      <c r="A232" t="s">
        <v>20</v>
      </c>
      <c r="B232" t="s">
        <v>480</v>
      </c>
      <c r="C232" t="s">
        <v>10</v>
      </c>
      <c r="D232">
        <v>7500</v>
      </c>
      <c r="E232">
        <v>15.150063291116799</v>
      </c>
      <c r="F232">
        <v>13.12</v>
      </c>
      <c r="G232">
        <v>2.0300632911168401</v>
      </c>
      <c r="H232">
        <v>2.0200084388155699</v>
      </c>
      <c r="I232">
        <v>3.7875158227792101</v>
      </c>
      <c r="J232">
        <v>42.875158227792099</v>
      </c>
      <c r="K232">
        <v>1.4048059363876499</v>
      </c>
      <c r="L232" t="s">
        <v>482</v>
      </c>
      <c r="M232">
        <v>6.2999109665681603</v>
      </c>
      <c r="N232">
        <v>41766809</v>
      </c>
      <c r="O232">
        <f>IFERROR(VLOOKUP($A232,Actual!$A:$D,4,FALSE),IFERROR(VLOOKUP($A232,FC!$A:$AD,29,FALSE),"Not Found"))</f>
        <v>11.5</v>
      </c>
      <c r="P232" s="5">
        <f>IFERROR(VLOOKUP($A232,Actual!$A:$D,3,FALSE),"0")</f>
        <v>9.2600000000000002E-2</v>
      </c>
    </row>
    <row r="233" spans="1:16" x14ac:dyDescent="0.2">
      <c r="A233" t="s">
        <v>408</v>
      </c>
      <c r="B233" t="s">
        <v>508</v>
      </c>
      <c r="C233" t="s">
        <v>17</v>
      </c>
      <c r="D233">
        <v>2500</v>
      </c>
      <c r="E233">
        <v>6.72696153929851</v>
      </c>
      <c r="F233">
        <v>5.53</v>
      </c>
      <c r="G233">
        <v>1.19696153929851</v>
      </c>
      <c r="H233">
        <v>2.6907846157194002</v>
      </c>
      <c r="I233">
        <v>1.68174038482462</v>
      </c>
      <c r="J233">
        <v>21.817403848246201</v>
      </c>
      <c r="K233">
        <v>1.03795235442718</v>
      </c>
      <c r="L233" t="s">
        <v>482</v>
      </c>
      <c r="M233">
        <v>3.30084338070272</v>
      </c>
      <c r="N233">
        <v>41767921</v>
      </c>
      <c r="O233">
        <f>IFERROR(VLOOKUP($A233,Actual!$A:$D,4,FALSE),IFERROR(VLOOKUP($A233,FC!$A:$AD,29,FALSE),"Not Found"))</f>
        <v>5.8</v>
      </c>
      <c r="P233" s="5">
        <f>IFERROR(VLOOKUP($A233,Actual!$A:$D,3,FALSE),"0")</f>
        <v>1.6999999999999999E-3</v>
      </c>
    </row>
    <row r="234" spans="1:16" x14ac:dyDescent="0.2">
      <c r="A234" t="s">
        <v>378</v>
      </c>
      <c r="B234" t="s">
        <v>481</v>
      </c>
      <c r="C234" t="s">
        <v>17</v>
      </c>
      <c r="D234">
        <v>2700</v>
      </c>
      <c r="E234">
        <v>5.1277337015920397</v>
      </c>
      <c r="F234">
        <v>5.49</v>
      </c>
      <c r="G234">
        <v>-0.36226629840795599</v>
      </c>
      <c r="H234">
        <v>1.8991606302192701</v>
      </c>
      <c r="I234">
        <v>1.2819334253980099</v>
      </c>
      <c r="J234">
        <v>17.819334253980099</v>
      </c>
      <c r="K234">
        <v>0.69196823628479198</v>
      </c>
      <c r="L234" t="s">
        <v>482</v>
      </c>
      <c r="M234">
        <v>3.0306323674559401</v>
      </c>
      <c r="N234">
        <v>41767757</v>
      </c>
      <c r="O234">
        <f>IFERROR(VLOOKUP($A234,Actual!$A:$D,4,FALSE),IFERROR(VLOOKUP($A234,FC!$A:$AD,29,FALSE),"Not Found"))</f>
        <v>5.6</v>
      </c>
      <c r="P234" s="5">
        <f>IFERROR(VLOOKUP($A234,Actual!$A:$D,3,FALSE),"0")</f>
        <v>3.3999999999999998E-3</v>
      </c>
    </row>
    <row r="235" spans="1:16" x14ac:dyDescent="0.2">
      <c r="A235" t="s">
        <v>154</v>
      </c>
      <c r="B235" t="s">
        <v>499</v>
      </c>
      <c r="C235" t="s">
        <v>17</v>
      </c>
      <c r="D235">
        <v>2900</v>
      </c>
      <c r="E235">
        <v>6.7097488196906596</v>
      </c>
      <c r="F235">
        <v>5.4</v>
      </c>
      <c r="G235">
        <v>1.3097488196906599</v>
      </c>
      <c r="H235">
        <v>2.3137064895484998</v>
      </c>
      <c r="I235">
        <v>1.67743720492266</v>
      </c>
      <c r="J235">
        <v>21.774372049226599</v>
      </c>
      <c r="K235">
        <v>0.69196823628479198</v>
      </c>
      <c r="L235" t="s">
        <v>482</v>
      </c>
      <c r="M235">
        <v>3.9656470350908299</v>
      </c>
      <c r="N235">
        <v>41767723</v>
      </c>
      <c r="O235">
        <f>IFERROR(VLOOKUP($A235,Actual!$A:$D,4,FALSE),IFERROR(VLOOKUP($A235,FC!$A:$AD,29,FALSE),"Not Found"))</f>
        <v>18</v>
      </c>
      <c r="P235" s="5">
        <f>IFERROR(VLOOKUP($A235,Actual!$A:$D,3,FALSE),"0")</f>
        <v>1.6799999999999999E-2</v>
      </c>
    </row>
    <row r="236" spans="1:16" x14ac:dyDescent="0.2">
      <c r="A236" t="s">
        <v>369</v>
      </c>
      <c r="B236" t="s">
        <v>502</v>
      </c>
      <c r="C236" t="s">
        <v>17</v>
      </c>
      <c r="D236">
        <v>2800</v>
      </c>
      <c r="E236">
        <v>6.4264751404979599</v>
      </c>
      <c r="F236">
        <v>6.13</v>
      </c>
      <c r="G236">
        <v>0.29647514049795998</v>
      </c>
      <c r="H236">
        <v>2.2951696930349801</v>
      </c>
      <c r="I236">
        <v>1.60661878512449</v>
      </c>
      <c r="J236">
        <v>21.066187851244901</v>
      </c>
      <c r="K236">
        <v>0.69196823628479198</v>
      </c>
      <c r="L236" t="s">
        <v>482</v>
      </c>
      <c r="M236">
        <v>3.7982244599397101</v>
      </c>
      <c r="N236">
        <v>41767731</v>
      </c>
      <c r="O236">
        <f>IFERROR(VLOOKUP($A236,Actual!$A:$D,4,FALSE),IFERROR(VLOOKUP($A236,FC!$A:$AD,29,FALSE),"Not Found"))</f>
        <v>4.3</v>
      </c>
      <c r="P236" s="5">
        <f>IFERROR(VLOOKUP($A236,Actual!$A:$D,3,FALSE),"0")</f>
        <v>3.3999999999999998E-3</v>
      </c>
    </row>
    <row r="237" spans="1:16" x14ac:dyDescent="0.2">
      <c r="A237" t="s">
        <v>458</v>
      </c>
      <c r="B237" t="s">
        <v>500</v>
      </c>
      <c r="C237" t="s">
        <v>5</v>
      </c>
      <c r="D237">
        <v>3200</v>
      </c>
      <c r="E237">
        <v>4.0696746867447704</v>
      </c>
      <c r="F237">
        <v>3.96</v>
      </c>
      <c r="G237">
        <v>0.109674686744778</v>
      </c>
      <c r="H237">
        <v>1.27177333960774</v>
      </c>
      <c r="I237">
        <v>1.0174186716861899</v>
      </c>
      <c r="J237">
        <v>15.1741867168619</v>
      </c>
      <c r="K237">
        <v>0.409351506870339</v>
      </c>
      <c r="L237" t="s">
        <v>482</v>
      </c>
      <c r="M237">
        <v>2.8876221914162801</v>
      </c>
      <c r="N237">
        <v>41766581</v>
      </c>
      <c r="O237">
        <f>IFERROR(VLOOKUP($A237,Actual!$A:$D,4,FALSE),IFERROR(VLOOKUP($A237,FC!$A:$AD,29,FALSE),"Not Found"))</f>
        <v>14.1</v>
      </c>
      <c r="P237" s="5">
        <f>IFERROR(VLOOKUP($A237,Actual!$A:$D,3,FALSE),"0")</f>
        <v>1.6999999999999999E-3</v>
      </c>
    </row>
    <row r="238" spans="1:16" x14ac:dyDescent="0.2">
      <c r="A238" t="s">
        <v>225</v>
      </c>
      <c r="B238" t="s">
        <v>497</v>
      </c>
      <c r="C238" t="s">
        <v>5</v>
      </c>
      <c r="D238">
        <v>6200</v>
      </c>
      <c r="E238">
        <v>12.206013893040099</v>
      </c>
      <c r="F238">
        <v>11.32</v>
      </c>
      <c r="G238">
        <v>0.88601389304018396</v>
      </c>
      <c r="H238">
        <v>1.9687119182322801</v>
      </c>
      <c r="I238">
        <v>3.0515034732600399</v>
      </c>
      <c r="J238">
        <v>35.515034732600398</v>
      </c>
      <c r="K238">
        <v>4.9889714899822604</v>
      </c>
      <c r="L238" t="s">
        <v>482</v>
      </c>
      <c r="M238">
        <v>2.0380818164616601</v>
      </c>
      <c r="N238">
        <v>41766473</v>
      </c>
      <c r="O238">
        <f>IFERROR(VLOOKUP($A238,Actual!$A:$D,4,FALSE),IFERROR(VLOOKUP($A238,FC!$A:$AD,29,FALSE),"Not Found"))</f>
        <v>35.6</v>
      </c>
      <c r="P238" s="5">
        <f>IFERROR(VLOOKUP($A238,Actual!$A:$D,3,FALSE),"0")</f>
        <v>1.18E-2</v>
      </c>
    </row>
    <row r="239" spans="1:16" x14ac:dyDescent="0.2">
      <c r="A239" t="s">
        <v>123</v>
      </c>
      <c r="B239" t="s">
        <v>508</v>
      </c>
      <c r="C239" t="s">
        <v>10</v>
      </c>
      <c r="D239">
        <v>4700</v>
      </c>
      <c r="E239">
        <v>9.5753077438381808</v>
      </c>
      <c r="F239">
        <v>8.3000000000000007</v>
      </c>
      <c r="G239">
        <v>1.2753077438381799</v>
      </c>
      <c r="H239">
        <v>2.0372995199655701</v>
      </c>
      <c r="I239">
        <v>2.3938269359595399</v>
      </c>
      <c r="J239">
        <v>28.938269359595399</v>
      </c>
      <c r="K239">
        <v>3.4325829482356598</v>
      </c>
      <c r="L239" t="s">
        <v>482</v>
      </c>
      <c r="M239">
        <v>2.1602094886119398</v>
      </c>
      <c r="N239">
        <v>41766521</v>
      </c>
      <c r="O239">
        <f>IFERROR(VLOOKUP($A239,Actual!$A:$D,4,FALSE),IFERROR(VLOOKUP($A239,FC!$A:$AD,29,FALSE),"Not Found"))</f>
        <v>7.3</v>
      </c>
      <c r="P239" s="5">
        <f>IFERROR(VLOOKUP($A239,Actual!$A:$D,3,FALSE),"0")</f>
        <v>2.3599999999999999E-2</v>
      </c>
    </row>
    <row r="240" spans="1:16" x14ac:dyDescent="0.2">
      <c r="A240" t="s">
        <v>256</v>
      </c>
      <c r="B240" t="s">
        <v>510</v>
      </c>
      <c r="C240" t="s">
        <v>17</v>
      </c>
      <c r="D240">
        <v>2900</v>
      </c>
      <c r="E240">
        <v>5.98052204196334</v>
      </c>
      <c r="F240">
        <v>5.56</v>
      </c>
      <c r="G240">
        <v>0.42052204196334603</v>
      </c>
      <c r="H240">
        <v>2.06224897998736</v>
      </c>
      <c r="I240">
        <v>1.4951305104908299</v>
      </c>
      <c r="J240">
        <v>19.9513051049083</v>
      </c>
      <c r="K240">
        <v>0.69196823628479198</v>
      </c>
      <c r="L240" t="s">
        <v>482</v>
      </c>
      <c r="M240">
        <v>3.5346538508874801</v>
      </c>
      <c r="N240">
        <v>41767713</v>
      </c>
      <c r="O240">
        <f>IFERROR(VLOOKUP($A240,Actual!$A:$D,4,FALSE),IFERROR(VLOOKUP($A240,FC!$A:$AD,29,FALSE),"Not Found"))</f>
        <v>3</v>
      </c>
      <c r="P240" s="5">
        <f>IFERROR(VLOOKUP($A240,Actual!$A:$D,3,FALSE),"0")</f>
        <v>8.3999999999999995E-3</v>
      </c>
    </row>
    <row r="241" spans="1:16" x14ac:dyDescent="0.2">
      <c r="A241" t="s">
        <v>127</v>
      </c>
      <c r="B241" t="s">
        <v>491</v>
      </c>
      <c r="C241" t="s">
        <v>5</v>
      </c>
      <c r="D241">
        <v>3700</v>
      </c>
      <c r="E241">
        <v>8.5350369042449099</v>
      </c>
      <c r="F241">
        <v>7.82</v>
      </c>
      <c r="G241">
        <v>0.71503690424491495</v>
      </c>
      <c r="H241">
        <v>2.3067667308769999</v>
      </c>
      <c r="I241">
        <v>2.1337592260612199</v>
      </c>
      <c r="J241">
        <v>26.337592260612201</v>
      </c>
      <c r="K241">
        <v>0.76474642690925798</v>
      </c>
      <c r="L241" t="s">
        <v>482</v>
      </c>
      <c r="M241">
        <v>4.8364097946881799</v>
      </c>
      <c r="N241">
        <v>41767003</v>
      </c>
      <c r="O241">
        <f>IFERROR(VLOOKUP($A241,Actual!$A:$D,4,FALSE),IFERROR(VLOOKUP($A241,FC!$A:$AD,29,FALSE),"Not Found"))</f>
        <v>11.5</v>
      </c>
      <c r="P241" s="5">
        <f>IFERROR(VLOOKUP($A241,Actual!$A:$D,3,FALSE),"0")</f>
        <v>2.1899999999999999E-2</v>
      </c>
    </row>
    <row r="242" spans="1:16" x14ac:dyDescent="0.2">
      <c r="A242" t="s">
        <v>22</v>
      </c>
      <c r="B242" t="s">
        <v>510</v>
      </c>
      <c r="C242" t="s">
        <v>5</v>
      </c>
      <c r="D242">
        <v>5600</v>
      </c>
      <c r="E242">
        <v>10.431234079876001</v>
      </c>
      <c r="F242">
        <v>10.89</v>
      </c>
      <c r="G242">
        <v>-0.45876592012398898</v>
      </c>
      <c r="H242">
        <v>1.86272037140643</v>
      </c>
      <c r="I242">
        <v>2.6078085199690002</v>
      </c>
      <c r="J242">
        <v>31.078085199690001</v>
      </c>
      <c r="K242">
        <v>4.9889714899822604</v>
      </c>
      <c r="L242" t="s">
        <v>482</v>
      </c>
      <c r="M242">
        <v>1.74174048036867</v>
      </c>
      <c r="N242">
        <v>41766497</v>
      </c>
      <c r="O242">
        <f>IFERROR(VLOOKUP($A242,Actual!$A:$D,4,FALSE),IFERROR(VLOOKUP($A242,FC!$A:$AD,29,FALSE),"Not Found"))</f>
        <v>8.4</v>
      </c>
      <c r="P242" s="5">
        <f>IFERROR(VLOOKUP($A242,Actual!$A:$D,3,FALSE),"0")</f>
        <v>8.5900000000000004E-2</v>
      </c>
    </row>
    <row r="243" spans="1:16" x14ac:dyDescent="0.2">
      <c r="A243" t="s">
        <v>22</v>
      </c>
      <c r="B243" t="s">
        <v>510</v>
      </c>
      <c r="C243" t="s">
        <v>17</v>
      </c>
      <c r="D243">
        <v>5600</v>
      </c>
      <c r="E243">
        <v>4.6960876095420296</v>
      </c>
      <c r="F243">
        <v>10.89</v>
      </c>
      <c r="G243">
        <v>-6.1939123904579603</v>
      </c>
      <c r="H243">
        <v>0.83858707313250602</v>
      </c>
      <c r="I243">
        <v>1.1740219023855001</v>
      </c>
      <c r="J243">
        <v>16.740219023855001</v>
      </c>
      <c r="K243">
        <v>2.3026022261456598</v>
      </c>
      <c r="L243" t="s">
        <v>482</v>
      </c>
      <c r="M243">
        <v>1.4219355792727899</v>
      </c>
      <c r="N243">
        <v>41766497</v>
      </c>
      <c r="O243">
        <f>IFERROR(VLOOKUP($A243,Actual!$A:$D,4,FALSE),IFERROR(VLOOKUP($A243,FC!$A:$AD,29,FALSE),"Not Found"))</f>
        <v>8.4</v>
      </c>
      <c r="P243" s="5">
        <f>IFERROR(VLOOKUP($A243,Actual!$A:$D,3,FALSE),"0")</f>
        <v>8.5900000000000004E-2</v>
      </c>
    </row>
    <row r="244" spans="1:16" x14ac:dyDescent="0.2">
      <c r="A244" t="s">
        <v>394</v>
      </c>
      <c r="B244" t="s">
        <v>478</v>
      </c>
      <c r="C244" t="s">
        <v>17</v>
      </c>
      <c r="D244">
        <v>2800</v>
      </c>
      <c r="E244">
        <v>6.0945033537570099</v>
      </c>
      <c r="F244">
        <v>4.3899999999999997</v>
      </c>
      <c r="G244">
        <v>1.70450335375701</v>
      </c>
      <c r="H244">
        <v>2.1766083406274999</v>
      </c>
      <c r="I244">
        <v>1.52362583843925</v>
      </c>
      <c r="J244">
        <v>20.236258384392499</v>
      </c>
      <c r="K244">
        <v>0.69196823628479198</v>
      </c>
      <c r="L244" t="s">
        <v>482</v>
      </c>
      <c r="M244">
        <v>3.6020199570290199</v>
      </c>
      <c r="N244">
        <v>41767725</v>
      </c>
      <c r="O244">
        <f>IFERROR(VLOOKUP($A244,Actual!$A:$D,4,FALSE),IFERROR(VLOOKUP($A244,FC!$A:$AD,29,FALSE),"Not Found"))</f>
        <v>12.1</v>
      </c>
      <c r="P244" s="5">
        <f>IFERROR(VLOOKUP($A244,Actual!$A:$D,3,FALSE),"0")</f>
        <v>1.6999999999999999E-3</v>
      </c>
    </row>
    <row r="245" spans="1:16" x14ac:dyDescent="0.2">
      <c r="A245" t="s">
        <v>61</v>
      </c>
      <c r="B245" t="s">
        <v>487</v>
      </c>
      <c r="C245" t="s">
        <v>10</v>
      </c>
      <c r="D245">
        <v>7700</v>
      </c>
      <c r="E245">
        <v>15.5662705733655</v>
      </c>
      <c r="F245">
        <v>14.43</v>
      </c>
      <c r="G245">
        <v>1.1362705733655301</v>
      </c>
      <c r="H245">
        <v>2.0215935809565599</v>
      </c>
      <c r="I245">
        <v>3.8915676433413799</v>
      </c>
      <c r="J245">
        <v>43.9156764334138</v>
      </c>
      <c r="K245">
        <v>1.12384474911012</v>
      </c>
      <c r="L245" t="s">
        <v>482</v>
      </c>
      <c r="M245">
        <v>7.3292883483539297</v>
      </c>
      <c r="N245">
        <v>41766805</v>
      </c>
      <c r="O245">
        <f>IFERROR(VLOOKUP($A245,Actual!$A:$D,4,FALSE),IFERROR(VLOOKUP($A245,FC!$A:$AD,29,FALSE),"Not Found"))</f>
        <v>11.5</v>
      </c>
      <c r="P245" s="5">
        <f>IFERROR(VLOOKUP($A245,Actual!$A:$D,3,FALSE),"0")</f>
        <v>4.3799999999999999E-2</v>
      </c>
    </row>
    <row r="246" spans="1:16" x14ac:dyDescent="0.2">
      <c r="A246" t="s">
        <v>202</v>
      </c>
      <c r="B246" t="s">
        <v>488</v>
      </c>
      <c r="C246" t="s">
        <v>5</v>
      </c>
      <c r="D246">
        <v>3800</v>
      </c>
      <c r="E246">
        <v>7.1004950753028497</v>
      </c>
      <c r="F246">
        <v>6.24</v>
      </c>
      <c r="G246">
        <v>0.86049507530285696</v>
      </c>
      <c r="H246">
        <v>1.8685513356060099</v>
      </c>
      <c r="I246">
        <v>1.77512376882571</v>
      </c>
      <c r="J246">
        <v>22.751237688257099</v>
      </c>
      <c r="K246">
        <v>2.3537711645044501</v>
      </c>
      <c r="L246" t="s">
        <v>482</v>
      </c>
      <c r="M246">
        <v>2.11716742944565</v>
      </c>
      <c r="N246">
        <v>41766553</v>
      </c>
      <c r="O246">
        <f>IFERROR(VLOOKUP($A246,Actual!$A:$D,4,FALSE),IFERROR(VLOOKUP($A246,FC!$A:$AD,29,FALSE),"Not Found"))</f>
        <v>10</v>
      </c>
      <c r="P246" s="5">
        <f>IFERROR(VLOOKUP($A246,Actual!$A:$D,3,FALSE),"0")</f>
        <v>1.35E-2</v>
      </c>
    </row>
    <row r="247" spans="1:16" x14ac:dyDescent="0.2">
      <c r="A247" t="s">
        <v>361</v>
      </c>
      <c r="B247" t="s">
        <v>485</v>
      </c>
      <c r="C247" t="s">
        <v>17</v>
      </c>
      <c r="D247">
        <v>2500</v>
      </c>
      <c r="E247">
        <v>4.4605817482502497</v>
      </c>
      <c r="F247">
        <v>4.2</v>
      </c>
      <c r="G247">
        <v>0.26058174825025499</v>
      </c>
      <c r="H247">
        <v>1.7842326993001001</v>
      </c>
      <c r="I247">
        <v>1.11514543706256</v>
      </c>
      <c r="J247">
        <v>16.151454370625601</v>
      </c>
      <c r="K247">
        <v>0.69196823628479198</v>
      </c>
      <c r="L247" t="s">
        <v>482</v>
      </c>
      <c r="M247">
        <v>2.6363271204456802</v>
      </c>
      <c r="N247">
        <v>41767811</v>
      </c>
      <c r="O247">
        <f>IFERROR(VLOOKUP($A247,Actual!$A:$D,4,FALSE),IFERROR(VLOOKUP($A247,FC!$A:$AD,29,FALSE),"Not Found"))</f>
        <v>10</v>
      </c>
      <c r="P247" s="5">
        <f>IFERROR(VLOOKUP($A247,Actual!$A:$D,3,FALSE),"0")</f>
        <v>3.3999999999999998E-3</v>
      </c>
    </row>
    <row r="248" spans="1:16" x14ac:dyDescent="0.2">
      <c r="A248" t="s">
        <v>170</v>
      </c>
      <c r="B248" t="s">
        <v>508</v>
      </c>
      <c r="C248" t="s">
        <v>10</v>
      </c>
      <c r="D248">
        <v>5400</v>
      </c>
      <c r="E248">
        <v>11.5368506566821</v>
      </c>
      <c r="F248">
        <v>9.9600000000000009</v>
      </c>
      <c r="G248">
        <v>1.5768506566821201</v>
      </c>
      <c r="H248">
        <v>2.1364538253115</v>
      </c>
      <c r="I248">
        <v>2.8842126641705299</v>
      </c>
      <c r="J248">
        <v>33.842126641705299</v>
      </c>
      <c r="K248">
        <v>1.2102943451955199</v>
      </c>
      <c r="L248" t="s">
        <v>482</v>
      </c>
      <c r="M248">
        <v>5.2195992274782599</v>
      </c>
      <c r="N248">
        <v>41766883</v>
      </c>
      <c r="O248">
        <f>IFERROR(VLOOKUP($A248,Actual!$A:$D,4,FALSE),IFERROR(VLOOKUP($A248,FC!$A:$AD,29,FALSE),"Not Found"))</f>
        <v>8</v>
      </c>
      <c r="P248" s="5">
        <f>IFERROR(VLOOKUP($A248,Actual!$A:$D,3,FALSE),"0")</f>
        <v>1.52E-2</v>
      </c>
    </row>
    <row r="249" spans="1:16" x14ac:dyDescent="0.2">
      <c r="A249" t="s">
        <v>308</v>
      </c>
      <c r="B249" t="s">
        <v>507</v>
      </c>
      <c r="C249" t="s">
        <v>5</v>
      </c>
      <c r="D249">
        <v>2800</v>
      </c>
      <c r="E249">
        <v>5.0727870666255903</v>
      </c>
      <c r="F249">
        <v>5.23</v>
      </c>
      <c r="G249">
        <v>-0.15721293337440301</v>
      </c>
      <c r="H249">
        <v>1.8117096666519901</v>
      </c>
      <c r="I249">
        <v>1.26819676665639</v>
      </c>
      <c r="J249">
        <v>17.681967666563899</v>
      </c>
      <c r="K249">
        <v>0.78459038816815097</v>
      </c>
      <c r="L249" t="s">
        <v>482</v>
      </c>
      <c r="M249">
        <v>2.8425498087730401</v>
      </c>
      <c r="N249">
        <v>41766619</v>
      </c>
      <c r="O249">
        <f>IFERROR(VLOOKUP($A249,Actual!$A:$D,4,FALSE),IFERROR(VLOOKUP($A249,FC!$A:$AD,29,FALSE),"Not Found"))</f>
        <v>12.8</v>
      </c>
      <c r="P249" s="5">
        <f>IFERROR(VLOOKUP($A249,Actual!$A:$D,3,FALSE),"0")</f>
        <v>5.1000000000000004E-3</v>
      </c>
    </row>
    <row r="250" spans="1:16" x14ac:dyDescent="0.2">
      <c r="A250" t="s">
        <v>412</v>
      </c>
      <c r="B250" t="s">
        <v>500</v>
      </c>
      <c r="C250" t="s">
        <v>10</v>
      </c>
      <c r="D250">
        <v>3100</v>
      </c>
      <c r="E250">
        <v>7.4003066229768297</v>
      </c>
      <c r="F250">
        <v>6.23</v>
      </c>
      <c r="G250">
        <v>1.17030662297683</v>
      </c>
      <c r="H250">
        <v>2.3871956848312301</v>
      </c>
      <c r="I250">
        <v>1.8500766557442001</v>
      </c>
      <c r="J250">
        <v>23.500766557441999</v>
      </c>
      <c r="K250">
        <v>0.26599875718582899</v>
      </c>
      <c r="L250" t="s">
        <v>482</v>
      </c>
      <c r="M250">
        <v>5.8454296111844997</v>
      </c>
      <c r="N250">
        <v>41767079</v>
      </c>
      <c r="O250">
        <f>IFERROR(VLOOKUP($A250,Actual!$A:$D,4,FALSE),IFERROR(VLOOKUP($A250,FC!$A:$AD,29,FALSE),"Not Found"))</f>
        <v>0</v>
      </c>
      <c r="P250" s="5">
        <f>IFERROR(VLOOKUP($A250,Actual!$A:$D,3,FALSE),"0")</f>
        <v>1.6999999999999999E-3</v>
      </c>
    </row>
    <row r="251" spans="1:16" x14ac:dyDescent="0.2">
      <c r="A251" t="s">
        <v>243</v>
      </c>
      <c r="B251" t="s">
        <v>483</v>
      </c>
      <c r="C251" t="s">
        <v>10</v>
      </c>
      <c r="D251">
        <v>6600</v>
      </c>
      <c r="E251">
        <v>14.2126658289174</v>
      </c>
      <c r="F251">
        <v>10.94</v>
      </c>
      <c r="G251">
        <v>3.2726658289174702</v>
      </c>
      <c r="H251">
        <v>2.1534342165026401</v>
      </c>
      <c r="I251">
        <v>3.5531664572293602</v>
      </c>
      <c r="J251">
        <v>40.5316645722936</v>
      </c>
      <c r="K251">
        <v>0.95094555693933802</v>
      </c>
      <c r="L251" t="s">
        <v>482</v>
      </c>
      <c r="M251">
        <v>7.2850140683650997</v>
      </c>
      <c r="N251">
        <v>41766835</v>
      </c>
      <c r="O251">
        <f>IFERROR(VLOOKUP($A251,Actual!$A:$D,4,FALSE),IFERROR(VLOOKUP($A251,FC!$A:$AD,29,FALSE),"Not Found"))</f>
        <v>0</v>
      </c>
      <c r="P251" s="5">
        <f>IFERROR(VLOOKUP($A251,Actual!$A:$D,3,FALSE),"0")</f>
        <v>1.01E-2</v>
      </c>
    </row>
    <row r="252" spans="1:16" x14ac:dyDescent="0.2">
      <c r="A252" t="s">
        <v>100</v>
      </c>
      <c r="B252" t="s">
        <v>486</v>
      </c>
      <c r="C252" t="s">
        <v>10</v>
      </c>
      <c r="D252">
        <v>4800</v>
      </c>
      <c r="E252">
        <v>12.0856695850431</v>
      </c>
      <c r="F252">
        <v>9.5500000000000007</v>
      </c>
      <c r="G252">
        <v>2.5356695850431801</v>
      </c>
      <c r="H252">
        <v>2.5178478302173199</v>
      </c>
      <c r="I252">
        <v>3.02141739626079</v>
      </c>
      <c r="J252">
        <v>35.214173962607902</v>
      </c>
      <c r="K252">
        <v>1.8154415177932799</v>
      </c>
      <c r="L252" t="s">
        <v>482</v>
      </c>
      <c r="M252">
        <v>4.2926374100342901</v>
      </c>
      <c r="N252">
        <v>41766921</v>
      </c>
      <c r="O252">
        <f>IFERROR(VLOOKUP($A252,Actual!$A:$D,4,FALSE),IFERROR(VLOOKUP($A252,FC!$A:$AD,29,FALSE),"Not Found"))</f>
        <v>0</v>
      </c>
      <c r="P252" s="5">
        <f>IFERROR(VLOOKUP($A252,Actual!$A:$D,3,FALSE),"0")</f>
        <v>2.86E-2</v>
      </c>
    </row>
    <row r="253" spans="1:16" x14ac:dyDescent="0.2">
      <c r="A253" t="s">
        <v>316</v>
      </c>
      <c r="B253" t="s">
        <v>501</v>
      </c>
      <c r="C253" t="s">
        <v>10</v>
      </c>
      <c r="D253">
        <v>3900</v>
      </c>
      <c r="E253">
        <v>8.3368855447227794</v>
      </c>
      <c r="F253">
        <v>7.87</v>
      </c>
      <c r="G253">
        <v>0.46688554472278099</v>
      </c>
      <c r="H253">
        <v>2.1376629601853199</v>
      </c>
      <c r="I253">
        <v>2.08422138618069</v>
      </c>
      <c r="J253">
        <v>25.842213861806901</v>
      </c>
      <c r="K253">
        <v>0.61179714152740605</v>
      </c>
      <c r="L253" t="s">
        <v>482</v>
      </c>
      <c r="M253">
        <v>5.17241613719602</v>
      </c>
      <c r="N253">
        <v>41766987</v>
      </c>
      <c r="O253">
        <f>IFERROR(VLOOKUP($A253,Actual!$A:$D,4,FALSE),IFERROR(VLOOKUP($A253,FC!$A:$AD,29,FALSE),"Not Found"))</f>
        <v>1.3</v>
      </c>
      <c r="P253" s="5">
        <f>IFERROR(VLOOKUP($A253,Actual!$A:$D,3,FALSE),"0")</f>
        <v>5.1000000000000004E-3</v>
      </c>
    </row>
    <row r="254" spans="1:16" x14ac:dyDescent="0.2">
      <c r="A254" t="s">
        <v>248</v>
      </c>
      <c r="B254" t="s">
        <v>498</v>
      </c>
      <c r="C254" t="s">
        <v>17</v>
      </c>
      <c r="D254">
        <v>3300</v>
      </c>
      <c r="E254">
        <v>9.1574752131960597</v>
      </c>
      <c r="F254">
        <v>7.59</v>
      </c>
      <c r="G254">
        <v>1.5674752131960601</v>
      </c>
      <c r="H254">
        <v>2.7749924888472899</v>
      </c>
      <c r="I254">
        <v>2.28936880329901</v>
      </c>
      <c r="J254">
        <v>27.893688032990099</v>
      </c>
      <c r="K254">
        <v>1.34933806075534</v>
      </c>
      <c r="L254" t="s">
        <v>482</v>
      </c>
      <c r="M254">
        <v>3.8978959078591702</v>
      </c>
      <c r="N254">
        <v>41767647</v>
      </c>
      <c r="O254">
        <f>IFERROR(VLOOKUP($A254,Actual!$A:$D,4,FALSE),IFERROR(VLOOKUP($A254,FC!$A:$AD,29,FALSE),"Not Found"))</f>
        <v>5.6</v>
      </c>
      <c r="P254" s="5">
        <f>IFERROR(VLOOKUP($A254,Actual!$A:$D,3,FALSE),"0")</f>
        <v>1.01E-2</v>
      </c>
    </row>
    <row r="255" spans="1:16" x14ac:dyDescent="0.2">
      <c r="A255" t="s">
        <v>78</v>
      </c>
      <c r="B255" t="s">
        <v>478</v>
      </c>
      <c r="C255" t="s">
        <v>5</v>
      </c>
      <c r="D255">
        <v>6900</v>
      </c>
      <c r="E255">
        <v>12.905784931401801</v>
      </c>
      <c r="F255">
        <v>11.58</v>
      </c>
      <c r="G255">
        <v>1.32578493140181</v>
      </c>
      <c r="H255">
        <v>1.87040361324664</v>
      </c>
      <c r="I255">
        <v>3.2264462328504502</v>
      </c>
      <c r="J255">
        <v>37.2644623285045</v>
      </c>
      <c r="K255">
        <v>3.6585790926536599</v>
      </c>
      <c r="L255" t="s">
        <v>482</v>
      </c>
      <c r="M255">
        <v>2.7703264610776999</v>
      </c>
      <c r="N255">
        <v>41766457</v>
      </c>
      <c r="O255">
        <f>IFERROR(VLOOKUP($A255,Actual!$A:$D,4,FALSE),IFERROR(VLOOKUP($A255,FC!$A:$AD,29,FALSE),"Not Found"))</f>
        <v>10</v>
      </c>
      <c r="P255" s="5">
        <f>IFERROR(VLOOKUP($A255,Actual!$A:$D,3,FALSE),"0")</f>
        <v>3.6999999999999998E-2</v>
      </c>
    </row>
    <row r="256" spans="1:16" x14ac:dyDescent="0.2">
      <c r="A256" t="s">
        <v>260</v>
      </c>
      <c r="B256" t="s">
        <v>500</v>
      </c>
      <c r="C256" t="s">
        <v>10</v>
      </c>
      <c r="D256">
        <v>4200</v>
      </c>
      <c r="E256">
        <v>7.1722505502087204</v>
      </c>
      <c r="F256">
        <v>6.08</v>
      </c>
      <c r="G256">
        <v>1.0922505502087201</v>
      </c>
      <c r="H256">
        <v>1.7076787024306399</v>
      </c>
      <c r="I256">
        <v>1.7930626375521801</v>
      </c>
      <c r="J256">
        <v>22.9306263755218</v>
      </c>
      <c r="K256">
        <v>2.3537711645044501</v>
      </c>
      <c r="L256" t="s">
        <v>482</v>
      </c>
      <c r="M256">
        <v>2.1385628888810801</v>
      </c>
      <c r="N256">
        <v>41766537</v>
      </c>
      <c r="O256">
        <f>IFERROR(VLOOKUP($A256,Actual!$A:$D,4,FALSE),IFERROR(VLOOKUP($A256,FC!$A:$AD,29,FALSE),"Not Found"))</f>
        <v>2.8</v>
      </c>
      <c r="P256" s="5">
        <f>IFERROR(VLOOKUP($A256,Actual!$A:$D,3,FALSE),"0")</f>
        <v>8.3999999999999995E-3</v>
      </c>
    </row>
    <row r="257" spans="1:16" x14ac:dyDescent="0.2">
      <c r="A257" t="s">
        <v>453</v>
      </c>
      <c r="B257" t="s">
        <v>491</v>
      </c>
      <c r="C257" t="s">
        <v>17</v>
      </c>
      <c r="D257">
        <v>2500</v>
      </c>
      <c r="E257">
        <v>5.7332759751445996</v>
      </c>
      <c r="F257">
        <v>4.29</v>
      </c>
      <c r="G257">
        <v>1.4432759751446</v>
      </c>
      <c r="H257">
        <v>2.2933103900578402</v>
      </c>
      <c r="I257">
        <v>1.4333189937861499</v>
      </c>
      <c r="J257">
        <v>19.333189937861501</v>
      </c>
      <c r="K257">
        <v>0.69196823628479198</v>
      </c>
      <c r="L257" t="s">
        <v>482</v>
      </c>
      <c r="M257">
        <v>3.3885245905878598</v>
      </c>
      <c r="N257">
        <v>41767791</v>
      </c>
      <c r="O257">
        <f>IFERROR(VLOOKUP($A257,Actual!$A:$D,4,FALSE),IFERROR(VLOOKUP($A257,FC!$A:$AD,29,FALSE),"Not Found"))</f>
        <v>1.5</v>
      </c>
      <c r="P257" s="5">
        <f>IFERROR(VLOOKUP($A257,Actual!$A:$D,3,FALSE),"0")</f>
        <v>1.6999999999999999E-3</v>
      </c>
    </row>
    <row r="258" spans="1:16" x14ac:dyDescent="0.2">
      <c r="A258" t="s">
        <v>386</v>
      </c>
      <c r="B258" t="s">
        <v>488</v>
      </c>
      <c r="C258" t="s">
        <v>5</v>
      </c>
      <c r="D258">
        <v>3200</v>
      </c>
      <c r="E258">
        <v>6.2410277935820098</v>
      </c>
      <c r="F258">
        <v>5.23</v>
      </c>
      <c r="G258">
        <v>1.01102779358201</v>
      </c>
      <c r="H258">
        <v>1.95032118549438</v>
      </c>
      <c r="I258">
        <v>1.5602569483955</v>
      </c>
      <c r="J258">
        <v>20.602569483955001</v>
      </c>
      <c r="K258">
        <v>0.20393238050913501</v>
      </c>
      <c r="L258" t="s">
        <v>482</v>
      </c>
      <c r="M258">
        <v>5.1838690400059804</v>
      </c>
      <c r="N258">
        <v>41767073</v>
      </c>
      <c r="O258">
        <f>IFERROR(VLOOKUP($A258,Actual!$A:$D,4,FALSE),IFERROR(VLOOKUP($A258,FC!$A:$AD,29,FALSE),"Not Found"))</f>
        <v>23</v>
      </c>
      <c r="P258" s="5">
        <f>IFERROR(VLOOKUP($A258,Actual!$A:$D,3,FALSE),"0")</f>
        <v>1.6999999999999999E-3</v>
      </c>
    </row>
    <row r="259" spans="1:16" x14ac:dyDescent="0.2">
      <c r="A259" t="s">
        <v>68</v>
      </c>
      <c r="B259" t="s">
        <v>480</v>
      </c>
      <c r="C259" t="s">
        <v>5</v>
      </c>
      <c r="D259">
        <v>6000</v>
      </c>
      <c r="E259">
        <v>10.2418184867002</v>
      </c>
      <c r="F259">
        <v>9.09</v>
      </c>
      <c r="G259">
        <v>1.1518184867002199</v>
      </c>
      <c r="H259">
        <v>1.7069697477833701</v>
      </c>
      <c r="I259">
        <v>2.5604546216750501</v>
      </c>
      <c r="J259">
        <v>30.604546216750499</v>
      </c>
      <c r="K259">
        <v>1.2967439412809101</v>
      </c>
      <c r="L259" t="s">
        <v>482</v>
      </c>
      <c r="M259">
        <v>4.4592774591094599</v>
      </c>
      <c r="N259">
        <v>41766861</v>
      </c>
      <c r="O259">
        <f>IFERROR(VLOOKUP($A259,Actual!$A:$D,4,FALSE),IFERROR(VLOOKUP($A259,FC!$A:$AD,29,FALSE),"Not Found"))</f>
        <v>6.5</v>
      </c>
      <c r="P259" s="5">
        <f>IFERROR(VLOOKUP($A259,Actual!$A:$D,3,FALSE),"0")</f>
        <v>4.0399999999999998E-2</v>
      </c>
    </row>
    <row r="260" spans="1:16" x14ac:dyDescent="0.2">
      <c r="A260" t="s">
        <v>424</v>
      </c>
      <c r="B260" t="s">
        <v>484</v>
      </c>
      <c r="C260" t="s">
        <v>17</v>
      </c>
      <c r="D260">
        <v>2500</v>
      </c>
      <c r="E260">
        <v>4.6093375033312904</v>
      </c>
      <c r="F260">
        <v>4.9000000000000004</v>
      </c>
      <c r="G260">
        <v>-0.29066249666870903</v>
      </c>
      <c r="H260">
        <v>1.84373500133251</v>
      </c>
      <c r="I260">
        <v>1.1523343758328199</v>
      </c>
      <c r="J260">
        <v>16.523343758328199</v>
      </c>
      <c r="K260">
        <v>0.69196823628479198</v>
      </c>
      <c r="L260" t="s">
        <v>482</v>
      </c>
      <c r="M260">
        <v>2.7242458838662502</v>
      </c>
      <c r="N260">
        <v>41768039</v>
      </c>
      <c r="O260">
        <f>IFERROR(VLOOKUP($A260,Actual!$A:$D,4,FALSE),IFERROR(VLOOKUP($A260,FC!$A:$AD,29,FALSE),"Not Found"))</f>
        <v>1.3</v>
      </c>
      <c r="P260" s="5">
        <f>IFERROR(VLOOKUP($A260,Actual!$A:$D,3,FALSE),"0")</f>
        <v>1.6999999999999999E-3</v>
      </c>
    </row>
    <row r="261" spans="1:16" x14ac:dyDescent="0.2">
      <c r="A261" t="s">
        <v>79</v>
      </c>
      <c r="B261" t="s">
        <v>495</v>
      </c>
      <c r="C261" t="s">
        <v>17</v>
      </c>
      <c r="D261">
        <v>3000</v>
      </c>
      <c r="E261">
        <v>9.5517401265010005</v>
      </c>
      <c r="F261">
        <v>8.5299999999999994</v>
      </c>
      <c r="G261">
        <v>1.021740126501</v>
      </c>
      <c r="H261">
        <v>3.1839133755003299</v>
      </c>
      <c r="I261">
        <v>2.3879350316252501</v>
      </c>
      <c r="J261">
        <v>28.879350316252498</v>
      </c>
      <c r="K261">
        <v>1.8620865238423701</v>
      </c>
      <c r="L261" t="s">
        <v>482</v>
      </c>
      <c r="M261">
        <v>3.3373345099566398</v>
      </c>
      <c r="N261">
        <v>41767691</v>
      </c>
      <c r="O261">
        <f>IFERROR(VLOOKUP($A261,Actual!$A:$D,4,FALSE),IFERROR(VLOOKUP($A261,FC!$A:$AD,29,FALSE),"Not Found"))</f>
        <v>6.9</v>
      </c>
      <c r="P261" s="5">
        <f>IFERROR(VLOOKUP($A261,Actual!$A:$D,3,FALSE),"0")</f>
        <v>3.6999999999999998E-2</v>
      </c>
    </row>
    <row r="262" spans="1:16" x14ac:dyDescent="0.2">
      <c r="A262" t="s">
        <v>27</v>
      </c>
      <c r="B262" t="s">
        <v>499</v>
      </c>
      <c r="C262" t="s">
        <v>5</v>
      </c>
      <c r="D262">
        <v>5600</v>
      </c>
      <c r="E262">
        <v>14.5970740221334</v>
      </c>
      <c r="F262">
        <v>11.78</v>
      </c>
      <c r="G262">
        <v>2.8170740221334598</v>
      </c>
      <c r="H262">
        <v>2.6066203610952599</v>
      </c>
      <c r="I262">
        <v>3.6492685055333598</v>
      </c>
      <c r="J262">
        <v>41.492685055333602</v>
      </c>
      <c r="K262">
        <v>1.5560927295370901</v>
      </c>
      <c r="L262" t="s">
        <v>482</v>
      </c>
      <c r="M262">
        <v>5.7106981501320302</v>
      </c>
      <c r="N262">
        <v>41766875</v>
      </c>
      <c r="O262">
        <f>IFERROR(VLOOKUP($A262,Actual!$A:$D,4,FALSE),IFERROR(VLOOKUP($A262,FC!$A:$AD,29,FALSE),"Not Found"))</f>
        <v>8</v>
      </c>
      <c r="P262" s="5">
        <f>IFERROR(VLOOKUP($A262,Actual!$A:$D,3,FALSE),"0")</f>
        <v>7.0699999999999999E-2</v>
      </c>
    </row>
    <row r="263" spans="1:16" x14ac:dyDescent="0.2">
      <c r="A263" t="s">
        <v>561</v>
      </c>
      <c r="B263" t="s">
        <v>506</v>
      </c>
      <c r="C263" t="s">
        <v>17</v>
      </c>
      <c r="D263">
        <v>2700</v>
      </c>
      <c r="E263">
        <v>5.2885634941146797</v>
      </c>
      <c r="F263">
        <v>4.3099999999999996</v>
      </c>
      <c r="G263">
        <v>0.97856349411468102</v>
      </c>
      <c r="H263">
        <v>1.9587272200424699</v>
      </c>
      <c r="I263">
        <v>1.3221408735286699</v>
      </c>
      <c r="J263">
        <v>18.221408735286701</v>
      </c>
      <c r="K263">
        <v>0.69196823628479198</v>
      </c>
      <c r="L263" t="s">
        <v>482</v>
      </c>
      <c r="M263">
        <v>3.1256872207762298</v>
      </c>
      <c r="N263">
        <v>41767761</v>
      </c>
      <c r="O263">
        <f>IFERROR(VLOOKUP($A263,Actual!$A:$D,4,FALSE),IFERROR(VLOOKUP($A263,FC!$A:$AD,29,FALSE),"Not Found"))</f>
        <v>0</v>
      </c>
      <c r="P263" s="5" t="str">
        <f>IFERROR(VLOOKUP($A263,Actual!$A:$D,3,FALSE),"0")</f>
        <v>0</v>
      </c>
    </row>
    <row r="264" spans="1:16" x14ac:dyDescent="0.2">
      <c r="A264" t="s">
        <v>259</v>
      </c>
      <c r="B264" t="s">
        <v>490</v>
      </c>
      <c r="C264" t="s">
        <v>5</v>
      </c>
      <c r="D264">
        <v>4500</v>
      </c>
      <c r="E264">
        <v>9.2262378941639902</v>
      </c>
      <c r="F264">
        <v>7.8</v>
      </c>
      <c r="G264">
        <v>1.4262378941639899</v>
      </c>
      <c r="H264">
        <v>2.0502750875919902</v>
      </c>
      <c r="I264">
        <v>2.30655947354099</v>
      </c>
      <c r="J264">
        <v>28.065594735409899</v>
      </c>
      <c r="K264">
        <v>0.892204164727467</v>
      </c>
      <c r="L264" t="s">
        <v>482</v>
      </c>
      <c r="M264">
        <v>4.8759209318687997</v>
      </c>
      <c r="N264">
        <v>41766939</v>
      </c>
      <c r="O264">
        <f>IFERROR(VLOOKUP($A264,Actual!$A:$D,4,FALSE),IFERROR(VLOOKUP($A264,FC!$A:$AD,29,FALSE),"Not Found"))</f>
        <v>4.5</v>
      </c>
      <c r="P264" s="5">
        <f>IFERROR(VLOOKUP($A264,Actual!$A:$D,3,FALSE),"0")</f>
        <v>8.3999999999999995E-3</v>
      </c>
    </row>
    <row r="265" spans="1:16" x14ac:dyDescent="0.2">
      <c r="A265" t="s">
        <v>397</v>
      </c>
      <c r="B265" t="s">
        <v>506</v>
      </c>
      <c r="C265" t="s">
        <v>17</v>
      </c>
      <c r="D265">
        <v>3000</v>
      </c>
      <c r="E265">
        <v>7.76055325926247</v>
      </c>
      <c r="F265">
        <v>6.5</v>
      </c>
      <c r="G265">
        <v>1.26055325926247</v>
      </c>
      <c r="H265">
        <v>2.5868510864208201</v>
      </c>
      <c r="I265">
        <v>1.9401383148156099</v>
      </c>
      <c r="J265">
        <v>24.4013831481561</v>
      </c>
      <c r="K265">
        <v>1.19364520759126</v>
      </c>
      <c r="L265" t="s">
        <v>482</v>
      </c>
      <c r="M265">
        <v>3.5377431283812499</v>
      </c>
      <c r="N265">
        <v>41767699</v>
      </c>
      <c r="O265">
        <f>IFERROR(VLOOKUP($A265,Actual!$A:$D,4,FALSE),IFERROR(VLOOKUP($A265,FC!$A:$AD,29,FALSE),"Not Found"))</f>
        <v>1.5</v>
      </c>
      <c r="P265" s="5">
        <f>IFERROR(VLOOKUP($A265,Actual!$A:$D,3,FALSE),"0")</f>
        <v>1.6999999999999999E-3</v>
      </c>
    </row>
    <row r="266" spans="1:16" x14ac:dyDescent="0.2">
      <c r="A266" t="s">
        <v>417</v>
      </c>
      <c r="B266" t="s">
        <v>490</v>
      </c>
      <c r="C266" t="s">
        <v>5</v>
      </c>
      <c r="D266">
        <v>2700</v>
      </c>
      <c r="E266">
        <v>4.8947766709915896</v>
      </c>
      <c r="F266">
        <v>4.3099999999999996</v>
      </c>
      <c r="G266">
        <v>0.58477667099159003</v>
      </c>
      <c r="H266">
        <v>1.8128802485154001</v>
      </c>
      <c r="I266">
        <v>1.2236941677478901</v>
      </c>
      <c r="J266">
        <v>17.236941677478899</v>
      </c>
      <c r="K266">
        <v>0.68225251145056598</v>
      </c>
      <c r="L266" t="s">
        <v>482</v>
      </c>
      <c r="M266">
        <v>2.9096563314213402</v>
      </c>
      <c r="N266">
        <v>41766631</v>
      </c>
      <c r="O266">
        <f>IFERROR(VLOOKUP($A266,Actual!$A:$D,4,FALSE),IFERROR(VLOOKUP($A266,FC!$A:$AD,29,FALSE),"Not Found"))</f>
        <v>0</v>
      </c>
      <c r="P266" s="5">
        <f>IFERROR(VLOOKUP($A266,Actual!$A:$D,3,FALSE),"0")</f>
        <v>1.6999999999999999E-3</v>
      </c>
    </row>
    <row r="267" spans="1:16" x14ac:dyDescent="0.2">
      <c r="A267" t="s">
        <v>564</v>
      </c>
      <c r="B267" t="s">
        <v>481</v>
      </c>
      <c r="C267" t="s">
        <v>5</v>
      </c>
      <c r="D267">
        <v>2500</v>
      </c>
      <c r="E267">
        <v>5.2430678716228396</v>
      </c>
      <c r="F267">
        <v>4.6399999999999997</v>
      </c>
      <c r="G267">
        <v>0.60306787162284603</v>
      </c>
      <c r="H267">
        <v>2.0972271486491301</v>
      </c>
      <c r="I267">
        <v>1.3107669679057099</v>
      </c>
      <c r="J267">
        <v>18.1076696790571</v>
      </c>
      <c r="K267">
        <v>0.17733250479055199</v>
      </c>
      <c r="L267" t="s">
        <v>482</v>
      </c>
      <c r="M267">
        <v>4.4533450408349902</v>
      </c>
      <c r="N267">
        <v>41767359</v>
      </c>
      <c r="O267">
        <f>IFERROR(VLOOKUP($A267,Actual!$A:$D,4,FALSE),IFERROR(VLOOKUP($A267,FC!$A:$AD,29,FALSE),"Not Found"))</f>
        <v>12.6</v>
      </c>
      <c r="P267" s="5" t="str">
        <f>IFERROR(VLOOKUP($A267,Actual!$A:$D,3,FALSE),"0")</f>
        <v>0</v>
      </c>
    </row>
    <row r="268" spans="1:16" x14ac:dyDescent="0.2">
      <c r="A268" t="s">
        <v>552</v>
      </c>
      <c r="B268" t="s">
        <v>478</v>
      </c>
      <c r="C268" t="s">
        <v>17</v>
      </c>
      <c r="D268">
        <v>2500</v>
      </c>
      <c r="E268">
        <v>5.4494249988802501</v>
      </c>
      <c r="F268">
        <v>4.76</v>
      </c>
      <c r="G268">
        <v>0.68942499888025299</v>
      </c>
      <c r="H268">
        <v>2.1797699995521</v>
      </c>
      <c r="I268">
        <v>1.3623562497200601</v>
      </c>
      <c r="J268">
        <v>18.623562497200599</v>
      </c>
      <c r="K268">
        <v>0.69196823628479198</v>
      </c>
      <c r="L268" t="s">
        <v>482</v>
      </c>
      <c r="M268">
        <v>3.2207608169087401</v>
      </c>
      <c r="N268">
        <v>41767991</v>
      </c>
      <c r="O268">
        <f>IFERROR(VLOOKUP($A268,Actual!$A:$D,4,FALSE),IFERROR(VLOOKUP($A268,FC!$A:$AD,29,FALSE),"Not Found"))</f>
        <v>6.3</v>
      </c>
      <c r="P268" s="5" t="str">
        <f>IFERROR(VLOOKUP($A268,Actual!$A:$D,3,FALSE),"0")</f>
        <v>0</v>
      </c>
    </row>
    <row r="269" spans="1:16" x14ac:dyDescent="0.2">
      <c r="A269" t="s">
        <v>295</v>
      </c>
      <c r="B269" t="s">
        <v>508</v>
      </c>
      <c r="C269" t="s">
        <v>10</v>
      </c>
      <c r="D269">
        <v>6000</v>
      </c>
      <c r="E269">
        <v>12.491577271904699</v>
      </c>
      <c r="F269">
        <v>10.72</v>
      </c>
      <c r="G269">
        <v>1.77157727190474</v>
      </c>
      <c r="H269">
        <v>2.08192954531745</v>
      </c>
      <c r="I269">
        <v>3.1228943179761801</v>
      </c>
      <c r="J269">
        <v>36.228943179761799</v>
      </c>
      <c r="K269">
        <v>1.2967439412809101</v>
      </c>
      <c r="L269" t="s">
        <v>482</v>
      </c>
      <c r="M269">
        <v>5.4388201694517404</v>
      </c>
      <c r="N269">
        <v>41766859</v>
      </c>
      <c r="O269">
        <f>IFERROR(VLOOKUP($A269,Actual!$A:$D,4,FALSE),IFERROR(VLOOKUP($A269,FC!$A:$AD,29,FALSE),"Not Found"))</f>
        <v>14.5</v>
      </c>
      <c r="P269" s="5">
        <f>IFERROR(VLOOKUP($A269,Actual!$A:$D,3,FALSE),"0")</f>
        <v>6.7000000000000002E-3</v>
      </c>
    </row>
    <row r="270" spans="1:16" x14ac:dyDescent="0.2">
      <c r="A270" t="s">
        <v>352</v>
      </c>
      <c r="B270" t="s">
        <v>502</v>
      </c>
      <c r="C270" t="s">
        <v>10</v>
      </c>
      <c r="D270">
        <v>3400</v>
      </c>
      <c r="E270">
        <v>7.5666512495121303</v>
      </c>
      <c r="F270">
        <v>6.48</v>
      </c>
      <c r="G270">
        <v>1.0866512495121301</v>
      </c>
      <c r="H270">
        <v>2.2254856616212102</v>
      </c>
      <c r="I270">
        <v>1.8916628123780299</v>
      </c>
      <c r="J270">
        <v>23.916628123780299</v>
      </c>
      <c r="K270">
        <v>0.26599875718582899</v>
      </c>
      <c r="L270" t="s">
        <v>482</v>
      </c>
      <c r="M270">
        <v>5.9768235999946304</v>
      </c>
      <c r="N270">
        <v>41767035</v>
      </c>
      <c r="O270">
        <f>IFERROR(VLOOKUP($A270,Actual!$A:$D,4,FALSE),IFERROR(VLOOKUP($A270,FC!$A:$AD,29,FALSE),"Not Found"))</f>
        <v>11</v>
      </c>
      <c r="P270" s="5">
        <f>IFERROR(VLOOKUP($A270,Actual!$A:$D,3,FALSE),"0")</f>
        <v>3.3999999999999998E-3</v>
      </c>
    </row>
    <row r="271" spans="1:16" x14ac:dyDescent="0.2">
      <c r="A271" t="s">
        <v>217</v>
      </c>
      <c r="B271" t="s">
        <v>504</v>
      </c>
      <c r="C271" t="s">
        <v>5</v>
      </c>
      <c r="D271">
        <v>3500</v>
      </c>
      <c r="E271">
        <v>6.5685720941155799</v>
      </c>
      <c r="F271">
        <v>5.69</v>
      </c>
      <c r="G271">
        <v>0.87857209411558701</v>
      </c>
      <c r="H271">
        <v>1.87673488403302</v>
      </c>
      <c r="I271">
        <v>1.6421430235288901</v>
      </c>
      <c r="J271">
        <v>21.421430235288899</v>
      </c>
      <c r="K271">
        <v>2.9422139556305602</v>
      </c>
      <c r="L271" t="s">
        <v>482</v>
      </c>
      <c r="M271">
        <v>1.6662140025996901</v>
      </c>
      <c r="N271">
        <v>41766563</v>
      </c>
      <c r="O271">
        <f>IFERROR(VLOOKUP($A271,Actual!$A:$D,4,FALSE),IFERROR(VLOOKUP($A271,FC!$A:$AD,29,FALSE),"Not Found"))</f>
        <v>3</v>
      </c>
      <c r="P271" s="5">
        <f>IFERROR(VLOOKUP($A271,Actual!$A:$D,3,FALSE),"0")</f>
        <v>1.18E-2</v>
      </c>
    </row>
    <row r="272" spans="1:16" x14ac:dyDescent="0.2">
      <c r="A272" t="s">
        <v>524</v>
      </c>
      <c r="B272" t="s">
        <v>508</v>
      </c>
      <c r="C272" t="s">
        <v>10</v>
      </c>
      <c r="D272">
        <v>2700</v>
      </c>
      <c r="E272">
        <v>6.6359557801700397</v>
      </c>
      <c r="F272">
        <v>5.76</v>
      </c>
      <c r="G272">
        <v>0.87595578017004705</v>
      </c>
      <c r="H272">
        <v>2.4577614000629802</v>
      </c>
      <c r="I272">
        <v>1.6589889450425099</v>
      </c>
      <c r="J272">
        <v>21.589889450425101</v>
      </c>
      <c r="K272">
        <v>1.0233787671758401</v>
      </c>
      <c r="L272" t="s">
        <v>482</v>
      </c>
      <c r="M272">
        <v>3.2796409094636498</v>
      </c>
      <c r="N272">
        <v>41766627</v>
      </c>
      <c r="O272">
        <f>IFERROR(VLOOKUP($A272,Actual!$A:$D,4,FALSE),IFERROR(VLOOKUP($A272,FC!$A:$AD,29,FALSE),"Not Found"))</f>
        <v>3</v>
      </c>
      <c r="P272" s="5" t="str">
        <f>IFERROR(VLOOKUP($A272,Actual!$A:$D,3,FALSE),"0")</f>
        <v>0</v>
      </c>
    </row>
    <row r="273" spans="1:16" x14ac:dyDescent="0.2">
      <c r="A273" t="s">
        <v>539</v>
      </c>
      <c r="B273" t="s">
        <v>505</v>
      </c>
      <c r="C273" t="s">
        <v>17</v>
      </c>
      <c r="D273">
        <v>2500</v>
      </c>
      <c r="E273">
        <v>5.9943730439680696</v>
      </c>
      <c r="F273">
        <v>4.8099999999999996</v>
      </c>
      <c r="G273">
        <v>1.18437304396807</v>
      </c>
      <c r="H273">
        <v>2.3977492175872199</v>
      </c>
      <c r="I273">
        <v>1.4985932609920101</v>
      </c>
      <c r="J273">
        <v>19.985932609920098</v>
      </c>
      <c r="K273">
        <v>0.69196823628479198</v>
      </c>
      <c r="L273" t="s">
        <v>482</v>
      </c>
      <c r="M273">
        <v>3.54284017596598</v>
      </c>
      <c r="N273">
        <v>41767933</v>
      </c>
      <c r="O273">
        <f>IFERROR(VLOOKUP($A273,Actual!$A:$D,4,FALSE),IFERROR(VLOOKUP($A273,FC!$A:$AD,29,FALSE),"Not Found"))</f>
        <v>2.8</v>
      </c>
      <c r="P273" s="5" t="str">
        <f>IFERROR(VLOOKUP($A273,Actual!$A:$D,3,FALSE),"0")</f>
        <v>0</v>
      </c>
    </row>
    <row r="274" spans="1:16" x14ac:dyDescent="0.2">
      <c r="A274" t="s">
        <v>169</v>
      </c>
      <c r="B274" t="s">
        <v>493</v>
      </c>
      <c r="C274" t="s">
        <v>5</v>
      </c>
      <c r="D274">
        <v>6100</v>
      </c>
      <c r="E274">
        <v>11.7177587717159</v>
      </c>
      <c r="F274">
        <v>9.26</v>
      </c>
      <c r="G274">
        <v>2.4577587717159202</v>
      </c>
      <c r="H274">
        <v>1.9209440609370301</v>
      </c>
      <c r="I274">
        <v>2.9294396929289799</v>
      </c>
      <c r="J274">
        <v>34.294396929289803</v>
      </c>
      <c r="K274">
        <v>0.99417035498203499</v>
      </c>
      <c r="L274" t="s">
        <v>482</v>
      </c>
      <c r="M274">
        <v>5.8760069030418798</v>
      </c>
      <c r="N274">
        <v>41766855</v>
      </c>
      <c r="O274">
        <f>IFERROR(VLOOKUP($A274,Actual!$A:$D,4,FALSE),IFERROR(VLOOKUP($A274,FC!$A:$AD,29,FALSE),"Not Found"))</f>
        <v>1.5</v>
      </c>
      <c r="P274" s="5">
        <f>IFERROR(VLOOKUP($A274,Actual!$A:$D,3,FALSE),"0")</f>
        <v>1.6799999999999999E-2</v>
      </c>
    </row>
    <row r="275" spans="1:16" x14ac:dyDescent="0.2">
      <c r="A275" t="s">
        <v>67</v>
      </c>
      <c r="B275" t="s">
        <v>509</v>
      </c>
      <c r="C275" t="s">
        <v>5</v>
      </c>
      <c r="D275">
        <v>5300</v>
      </c>
      <c r="E275">
        <v>11.5109403284821</v>
      </c>
      <c r="F275">
        <v>10.119999999999999</v>
      </c>
      <c r="G275">
        <v>1.39094032848213</v>
      </c>
      <c r="H275">
        <v>2.1718755336758702</v>
      </c>
      <c r="I275">
        <v>2.8777350821205299</v>
      </c>
      <c r="J275">
        <v>33.777350821205303</v>
      </c>
      <c r="K275">
        <v>1.2102943451955199</v>
      </c>
      <c r="L275" t="s">
        <v>482</v>
      </c>
      <c r="M275">
        <v>5.2078766583750502</v>
      </c>
      <c r="N275">
        <v>41766891</v>
      </c>
      <c r="O275">
        <f>IFERROR(VLOOKUP($A275,Actual!$A:$D,4,FALSE),IFERROR(VLOOKUP($A275,FC!$A:$AD,29,FALSE),"Not Found"))</f>
        <v>1.3</v>
      </c>
      <c r="P275" s="5">
        <f>IFERROR(VLOOKUP($A275,Actual!$A:$D,3,FALSE),"0")</f>
        <v>4.0399999999999998E-2</v>
      </c>
    </row>
    <row r="276" spans="1:16" x14ac:dyDescent="0.2">
      <c r="A276" t="s">
        <v>359</v>
      </c>
      <c r="B276" t="s">
        <v>496</v>
      </c>
      <c r="C276" t="s">
        <v>17</v>
      </c>
      <c r="D276">
        <v>2500</v>
      </c>
      <c r="E276">
        <v>6.6351409905666099</v>
      </c>
      <c r="F276">
        <v>5.66</v>
      </c>
      <c r="G276">
        <v>0.97514099056661796</v>
      </c>
      <c r="H276">
        <v>2.6540563962266401</v>
      </c>
      <c r="I276">
        <v>1.65878524764165</v>
      </c>
      <c r="J276">
        <v>21.587852476416501</v>
      </c>
      <c r="K276">
        <v>1.19364520759126</v>
      </c>
      <c r="L276" t="s">
        <v>482</v>
      </c>
      <c r="M276">
        <v>3.0247101799348499</v>
      </c>
      <c r="N276">
        <v>41767911</v>
      </c>
      <c r="O276">
        <f>IFERROR(VLOOKUP($A276,Actual!$A:$D,4,FALSE),IFERROR(VLOOKUP($A276,FC!$A:$AD,29,FALSE),"Not Found"))</f>
        <v>2.6</v>
      </c>
      <c r="P276" s="5">
        <f>IFERROR(VLOOKUP($A276,Actual!$A:$D,3,FALSE),"0")</f>
        <v>3.3999999999999998E-3</v>
      </c>
    </row>
    <row r="277" spans="1:16" x14ac:dyDescent="0.2">
      <c r="A277" t="s">
        <v>12</v>
      </c>
      <c r="B277" t="s">
        <v>505</v>
      </c>
      <c r="C277" t="s">
        <v>5</v>
      </c>
      <c r="D277">
        <v>4400</v>
      </c>
      <c r="E277">
        <v>9.2744418712465393</v>
      </c>
      <c r="F277">
        <v>8.61</v>
      </c>
      <c r="G277">
        <v>0.66444187124654497</v>
      </c>
      <c r="H277">
        <v>2.1078276980105701</v>
      </c>
      <c r="I277">
        <v>2.3186104678116299</v>
      </c>
      <c r="J277">
        <v>28.186104678116301</v>
      </c>
      <c r="K277">
        <v>3.83767037690943</v>
      </c>
      <c r="L277" t="s">
        <v>482</v>
      </c>
      <c r="M277">
        <v>1.9171297646723</v>
      </c>
      <c r="N277">
        <v>41766533</v>
      </c>
      <c r="O277">
        <f>IFERROR(VLOOKUP($A277,Actual!$A:$D,4,FALSE),IFERROR(VLOOKUP($A277,FC!$A:$AD,29,FALSE),"Not Found"))</f>
        <v>10</v>
      </c>
      <c r="P277" s="5">
        <f>IFERROR(VLOOKUP($A277,Actual!$A:$D,3,FALSE),"0")</f>
        <v>0.12790000000000001</v>
      </c>
    </row>
    <row r="278" spans="1:16" x14ac:dyDescent="0.2">
      <c r="A278" t="s">
        <v>52</v>
      </c>
      <c r="B278" t="s">
        <v>489</v>
      </c>
      <c r="C278" t="s">
        <v>10</v>
      </c>
      <c r="D278">
        <v>3900</v>
      </c>
      <c r="E278">
        <v>9.7211104426852408</v>
      </c>
      <c r="F278">
        <v>7.84</v>
      </c>
      <c r="G278">
        <v>1.8811104426852401</v>
      </c>
      <c r="H278">
        <v>2.4925924212013402</v>
      </c>
      <c r="I278">
        <v>2.4302776106713102</v>
      </c>
      <c r="J278">
        <v>29.3027761067131</v>
      </c>
      <c r="K278">
        <v>1.5560927295370901</v>
      </c>
      <c r="L278" t="s">
        <v>482</v>
      </c>
      <c r="M278">
        <v>3.8031133731387299</v>
      </c>
      <c r="N278">
        <v>41766977</v>
      </c>
      <c r="O278">
        <f>IFERROR(VLOOKUP($A278,Actual!$A:$D,4,FALSE),IFERROR(VLOOKUP($A278,FC!$A:$AD,29,FALSE),"Not Found"))</f>
        <v>6</v>
      </c>
      <c r="P278" s="5">
        <f>IFERROR(VLOOKUP($A278,Actual!$A:$D,3,FALSE),"0")</f>
        <v>4.8800000000000003E-2</v>
      </c>
    </row>
    <row r="279" spans="1:16" x14ac:dyDescent="0.2">
      <c r="A279" t="s">
        <v>203</v>
      </c>
      <c r="B279" t="s">
        <v>486</v>
      </c>
      <c r="C279" t="s">
        <v>5</v>
      </c>
      <c r="D279">
        <v>3900</v>
      </c>
      <c r="E279">
        <v>8.3569591431335297</v>
      </c>
      <c r="F279">
        <v>6.59</v>
      </c>
      <c r="G279">
        <v>1.7669591431335301</v>
      </c>
      <c r="H279">
        <v>2.1428100367009</v>
      </c>
      <c r="I279">
        <v>2.0892397857833802</v>
      </c>
      <c r="J279">
        <v>25.892397857833799</v>
      </c>
      <c r="K279">
        <v>2.3537711645044501</v>
      </c>
      <c r="L279" t="s">
        <v>482</v>
      </c>
      <c r="M279">
        <v>2.4918095878400002</v>
      </c>
      <c r="N279">
        <v>41766549</v>
      </c>
      <c r="O279">
        <f>IFERROR(VLOOKUP($A279,Actual!$A:$D,4,FALSE),IFERROR(VLOOKUP($A279,FC!$A:$AD,29,FALSE),"Not Found"))</f>
        <v>11.5</v>
      </c>
      <c r="P279" s="5">
        <f>IFERROR(VLOOKUP($A279,Actual!$A:$D,3,FALSE),"0")</f>
        <v>1.35E-2</v>
      </c>
    </row>
    <row r="280" spans="1:16" x14ac:dyDescent="0.2">
      <c r="A280" t="s">
        <v>445</v>
      </c>
      <c r="B280" t="s">
        <v>506</v>
      </c>
      <c r="C280" t="s">
        <v>5</v>
      </c>
      <c r="D280">
        <v>2500</v>
      </c>
      <c r="E280">
        <v>4.4420067343623204</v>
      </c>
      <c r="F280">
        <v>4.66</v>
      </c>
      <c r="G280">
        <v>-0.21799326563767699</v>
      </c>
      <c r="H280">
        <v>1.7768026937449199</v>
      </c>
      <c r="I280">
        <v>1.1105016835905801</v>
      </c>
      <c r="J280">
        <v>16.105016835905801</v>
      </c>
      <c r="K280">
        <v>0.68225251145056598</v>
      </c>
      <c r="L280" t="s">
        <v>482</v>
      </c>
      <c r="M280">
        <v>2.64051128122976</v>
      </c>
      <c r="N280">
        <v>41766759</v>
      </c>
      <c r="O280">
        <f>IFERROR(VLOOKUP($A280,Actual!$A:$D,4,FALSE),IFERROR(VLOOKUP($A280,FC!$A:$AD,29,FALSE),"Not Found"))</f>
        <v>18.2</v>
      </c>
      <c r="P280" s="5">
        <f>IFERROR(VLOOKUP($A280,Actual!$A:$D,3,FALSE),"0")</f>
        <v>1.6999999999999999E-3</v>
      </c>
    </row>
    <row r="281" spans="1:16" x14ac:dyDescent="0.2">
      <c r="A281" t="s">
        <v>106</v>
      </c>
      <c r="B281" t="s">
        <v>510</v>
      </c>
      <c r="C281" t="s">
        <v>10</v>
      </c>
      <c r="D281">
        <v>5300</v>
      </c>
      <c r="E281">
        <v>10.847199321478101</v>
      </c>
      <c r="F281">
        <v>8.7899999999999991</v>
      </c>
      <c r="G281">
        <v>2.0571993214781701</v>
      </c>
      <c r="H281">
        <v>2.0466413814109701</v>
      </c>
      <c r="I281">
        <v>2.7117998303695399</v>
      </c>
      <c r="J281">
        <v>32.117998303695401</v>
      </c>
      <c r="K281">
        <v>1.2102943451955199</v>
      </c>
      <c r="L281" t="s">
        <v>482</v>
      </c>
      <c r="M281">
        <v>4.9075813567801596</v>
      </c>
      <c r="N281">
        <v>41766889</v>
      </c>
      <c r="O281">
        <f>IFERROR(VLOOKUP($A281,Actual!$A:$D,4,FALSE),IFERROR(VLOOKUP($A281,FC!$A:$AD,29,FALSE),"Not Found"))</f>
        <v>17</v>
      </c>
      <c r="P281" s="5">
        <f>IFERROR(VLOOKUP($A281,Actual!$A:$D,3,FALSE),"0")</f>
        <v>2.69E-2</v>
      </c>
    </row>
    <row r="282" spans="1:16" x14ac:dyDescent="0.2">
      <c r="A282" t="s">
        <v>198</v>
      </c>
      <c r="B282" t="s">
        <v>498</v>
      </c>
      <c r="C282" t="s">
        <v>17</v>
      </c>
      <c r="D282">
        <v>3500</v>
      </c>
      <c r="E282">
        <v>8.4599705177432494</v>
      </c>
      <c r="F282">
        <v>6.7</v>
      </c>
      <c r="G282">
        <v>1.7599705177432501</v>
      </c>
      <c r="H282">
        <v>2.41713443364092</v>
      </c>
      <c r="I282">
        <v>2.1149926294358101</v>
      </c>
      <c r="J282">
        <v>26.149926294358099</v>
      </c>
      <c r="K282">
        <v>2.3872904151825298</v>
      </c>
      <c r="L282" t="s">
        <v>482</v>
      </c>
      <c r="M282">
        <v>2.4975627952725601</v>
      </c>
      <c r="N282">
        <v>41767621</v>
      </c>
      <c r="O282">
        <f>IFERROR(VLOOKUP($A282,Actual!$A:$D,4,FALSE),IFERROR(VLOOKUP($A282,FC!$A:$AD,29,FALSE),"Not Found"))</f>
        <v>3</v>
      </c>
      <c r="P282" s="5">
        <f>IFERROR(VLOOKUP($A282,Actual!$A:$D,3,FALSE),"0")</f>
        <v>1.35E-2</v>
      </c>
    </row>
    <row r="283" spans="1:16" x14ac:dyDescent="0.2">
      <c r="A283" t="s">
        <v>390</v>
      </c>
      <c r="B283" t="s">
        <v>509</v>
      </c>
      <c r="C283" t="s">
        <v>5</v>
      </c>
      <c r="D283">
        <v>2900</v>
      </c>
      <c r="E283">
        <v>5.6996456723575202</v>
      </c>
      <c r="F283">
        <v>5.08</v>
      </c>
      <c r="G283">
        <v>0.61964567235752399</v>
      </c>
      <c r="H283">
        <v>1.96539505943362</v>
      </c>
      <c r="I283">
        <v>1.42491141808938</v>
      </c>
      <c r="J283">
        <v>19.249114180893802</v>
      </c>
      <c r="K283">
        <v>0.20393238050913501</v>
      </c>
      <c r="L283" t="s">
        <v>482</v>
      </c>
      <c r="M283">
        <v>4.7341908604096004</v>
      </c>
      <c r="N283">
        <v>41767115</v>
      </c>
      <c r="O283">
        <f>IFERROR(VLOOKUP($A283,Actual!$A:$D,4,FALSE),IFERROR(VLOOKUP($A283,FC!$A:$AD,29,FALSE),"Not Found"))</f>
        <v>6.5</v>
      </c>
      <c r="P283" s="5">
        <f>IFERROR(VLOOKUP($A283,Actual!$A:$D,3,FALSE),"0")</f>
        <v>1.6999999999999999E-3</v>
      </c>
    </row>
    <row r="284" spans="1:16" x14ac:dyDescent="0.2">
      <c r="A284" t="s">
        <v>461</v>
      </c>
      <c r="B284" t="s">
        <v>502</v>
      </c>
      <c r="C284" t="s">
        <v>10</v>
      </c>
      <c r="D284">
        <v>2900</v>
      </c>
      <c r="E284">
        <v>6.4919794598163403</v>
      </c>
      <c r="F284">
        <v>5.59</v>
      </c>
      <c r="G284">
        <v>0.90197945981634498</v>
      </c>
      <c r="H284">
        <v>2.2386136068332201</v>
      </c>
      <c r="I284">
        <v>1.62299486495408</v>
      </c>
      <c r="J284">
        <v>21.229948649540798</v>
      </c>
      <c r="K284">
        <v>0.26599875718582899</v>
      </c>
      <c r="L284" t="s">
        <v>482</v>
      </c>
      <c r="M284">
        <v>5.1279508948707599</v>
      </c>
      <c r="N284">
        <v>41767113</v>
      </c>
      <c r="O284">
        <f>IFERROR(VLOOKUP($A284,Actual!$A:$D,4,FALSE),IFERROR(VLOOKUP($A284,FC!$A:$AD,29,FALSE),"Not Found"))</f>
        <v>5.8</v>
      </c>
      <c r="P284" s="5">
        <f>IFERROR(VLOOKUP($A284,Actual!$A:$D,3,FALSE),"0")</f>
        <v>1.6999999999999999E-3</v>
      </c>
    </row>
    <row r="285" spans="1:16" x14ac:dyDescent="0.2">
      <c r="A285" t="s">
        <v>105</v>
      </c>
      <c r="B285" t="s">
        <v>481</v>
      </c>
      <c r="C285" t="s">
        <v>5</v>
      </c>
      <c r="D285">
        <v>5200</v>
      </c>
      <c r="E285">
        <v>10.2782686527277</v>
      </c>
      <c r="F285">
        <v>8.7200000000000006</v>
      </c>
      <c r="G285">
        <v>1.5582686527277201</v>
      </c>
      <c r="H285">
        <v>1.9765901255245599</v>
      </c>
      <c r="I285">
        <v>2.5695671631819299</v>
      </c>
      <c r="J285">
        <v>30.695671631819302</v>
      </c>
      <c r="K285">
        <v>4.46235783270635</v>
      </c>
      <c r="L285" t="s">
        <v>482</v>
      </c>
      <c r="M285">
        <v>1.88165421737581</v>
      </c>
      <c r="N285">
        <v>41766505</v>
      </c>
      <c r="O285">
        <f>IFERROR(VLOOKUP($A285,Actual!$A:$D,4,FALSE),IFERROR(VLOOKUP($A285,FC!$A:$AD,29,FALSE),"Not Found"))</f>
        <v>4.5</v>
      </c>
      <c r="P285" s="5">
        <f>IFERROR(VLOOKUP($A285,Actual!$A:$D,3,FALSE),"0")</f>
        <v>2.69E-2</v>
      </c>
    </row>
    <row r="286" spans="1:16" x14ac:dyDescent="0.2">
      <c r="A286" t="s">
        <v>317</v>
      </c>
      <c r="B286" t="s">
        <v>489</v>
      </c>
      <c r="C286" t="s">
        <v>17</v>
      </c>
      <c r="D286">
        <v>3200</v>
      </c>
      <c r="E286">
        <v>8.5110988327039205</v>
      </c>
      <c r="F286">
        <v>6.51</v>
      </c>
      <c r="G286">
        <v>2.0010988327039199</v>
      </c>
      <c r="H286">
        <v>2.6597183852199699</v>
      </c>
      <c r="I286">
        <v>2.1277747081759801</v>
      </c>
      <c r="J286">
        <v>26.277747081759799</v>
      </c>
      <c r="K286">
        <v>1.03795235442718</v>
      </c>
      <c r="L286" t="s">
        <v>482</v>
      </c>
      <c r="M286">
        <v>4.1762992222142197</v>
      </c>
      <c r="N286">
        <v>41767659</v>
      </c>
      <c r="O286">
        <f>IFERROR(VLOOKUP($A286,Actual!$A:$D,4,FALSE),IFERROR(VLOOKUP($A286,FC!$A:$AD,29,FALSE),"Not Found"))</f>
        <v>4.3</v>
      </c>
      <c r="P286" s="5">
        <f>IFERROR(VLOOKUP($A286,Actual!$A:$D,3,FALSE),"0")</f>
        <v>5.1000000000000004E-3</v>
      </c>
    </row>
    <row r="287" spans="1:16" x14ac:dyDescent="0.2">
      <c r="A287" t="s">
        <v>284</v>
      </c>
      <c r="B287" t="s">
        <v>509</v>
      </c>
      <c r="C287" t="s">
        <v>10</v>
      </c>
      <c r="D287">
        <v>3300</v>
      </c>
      <c r="E287">
        <v>7.1354139463222497</v>
      </c>
      <c r="F287">
        <v>6.7</v>
      </c>
      <c r="G287">
        <v>0.435413946322249</v>
      </c>
      <c r="H287">
        <v>2.1622466504006801</v>
      </c>
      <c r="I287">
        <v>1.78385348658056</v>
      </c>
      <c r="J287">
        <v>22.838534865805599</v>
      </c>
      <c r="K287">
        <v>0.78459038816815097</v>
      </c>
      <c r="L287" t="s">
        <v>482</v>
      </c>
      <c r="M287">
        <v>3.9983483008930798</v>
      </c>
      <c r="N287">
        <v>41766575</v>
      </c>
      <c r="O287">
        <f>IFERROR(VLOOKUP($A287,Actual!$A:$D,4,FALSE),IFERROR(VLOOKUP($A287,FC!$A:$AD,29,FALSE),"Not Found"))</f>
        <v>4.3</v>
      </c>
      <c r="P287" s="5">
        <f>IFERROR(VLOOKUP($A287,Actual!$A:$D,3,FALSE),"0")</f>
        <v>6.7000000000000002E-3</v>
      </c>
    </row>
    <row r="288" spans="1:16" x14ac:dyDescent="0.2">
      <c r="A288" t="s">
        <v>349</v>
      </c>
      <c r="B288" t="s">
        <v>502</v>
      </c>
      <c r="C288" t="s">
        <v>5</v>
      </c>
      <c r="D288">
        <v>3200</v>
      </c>
      <c r="E288">
        <v>7.6177077111097899</v>
      </c>
      <c r="F288">
        <v>6.18</v>
      </c>
      <c r="G288">
        <v>1.43770771110979</v>
      </c>
      <c r="H288">
        <v>2.3805336597218099</v>
      </c>
      <c r="I288">
        <v>1.9044269277774399</v>
      </c>
      <c r="J288">
        <v>24.044269277774401</v>
      </c>
      <c r="K288">
        <v>1.17688558225222</v>
      </c>
      <c r="L288" t="s">
        <v>482</v>
      </c>
      <c r="M288">
        <v>3.4993606339330099</v>
      </c>
      <c r="N288">
        <v>41766583</v>
      </c>
      <c r="O288">
        <f>IFERROR(VLOOKUP($A288,Actual!$A:$D,4,FALSE),IFERROR(VLOOKUP($A288,FC!$A:$AD,29,FALSE),"Not Found"))</f>
        <v>14.1</v>
      </c>
      <c r="P288" s="5">
        <f>IFERROR(VLOOKUP($A288,Actual!$A:$D,3,FALSE),"0")</f>
        <v>3.3999999999999998E-3</v>
      </c>
    </row>
    <row r="289" spans="1:16" x14ac:dyDescent="0.2">
      <c r="A289" t="s">
        <v>99</v>
      </c>
      <c r="B289" t="s">
        <v>484</v>
      </c>
      <c r="C289" t="s">
        <v>17</v>
      </c>
      <c r="D289">
        <v>4200</v>
      </c>
      <c r="E289">
        <v>9.4800263398289601</v>
      </c>
      <c r="F289">
        <v>8.16</v>
      </c>
      <c r="G289">
        <v>1.32002633982896</v>
      </c>
      <c r="H289">
        <v>2.2571491285306999</v>
      </c>
      <c r="I289">
        <v>2.37000658495724</v>
      </c>
      <c r="J289">
        <v>28.7000658495724</v>
      </c>
      <c r="K289">
        <v>4.04801418226603</v>
      </c>
      <c r="L289" t="s">
        <v>482</v>
      </c>
      <c r="M289">
        <v>1.8779714155980001</v>
      </c>
      <c r="N289">
        <v>41767585</v>
      </c>
      <c r="O289">
        <f>IFERROR(VLOOKUP($A289,Actual!$A:$D,4,FALSE),IFERROR(VLOOKUP($A289,FC!$A:$AD,29,FALSE),"Not Found"))</f>
        <v>3</v>
      </c>
      <c r="P289" s="5">
        <f>IFERROR(VLOOKUP($A289,Actual!$A:$D,3,FALSE),"0")</f>
        <v>2.86E-2</v>
      </c>
    </row>
    <row r="290" spans="1:16" x14ac:dyDescent="0.2">
      <c r="A290" t="s">
        <v>330</v>
      </c>
      <c r="B290" t="s">
        <v>502</v>
      </c>
      <c r="C290" t="s">
        <v>5</v>
      </c>
      <c r="D290">
        <v>3300</v>
      </c>
      <c r="E290">
        <v>6.6468558665147102</v>
      </c>
      <c r="F290">
        <v>5.24</v>
      </c>
      <c r="G290">
        <v>1.40685586651471</v>
      </c>
      <c r="H290">
        <v>2.0141987474287002</v>
      </c>
      <c r="I290">
        <v>1.66171396662867</v>
      </c>
      <c r="J290">
        <v>21.6171396662867</v>
      </c>
      <c r="K290">
        <v>0.20393238050913501</v>
      </c>
      <c r="L290" t="s">
        <v>482</v>
      </c>
      <c r="M290">
        <v>5.5209544772803598</v>
      </c>
      <c r="N290">
        <v>41767051</v>
      </c>
      <c r="O290">
        <f>IFERROR(VLOOKUP($A290,Actual!$A:$D,4,FALSE),IFERROR(VLOOKUP($A290,FC!$A:$AD,29,FALSE),"Not Found"))</f>
        <v>3</v>
      </c>
      <c r="P290" s="5">
        <f>IFERROR(VLOOKUP($A290,Actual!$A:$D,3,FALSE),"0")</f>
        <v>5.1000000000000004E-3</v>
      </c>
    </row>
    <row r="291" spans="1:16" x14ac:dyDescent="0.2">
      <c r="A291" t="s">
        <v>395</v>
      </c>
      <c r="B291" t="s">
        <v>500</v>
      </c>
      <c r="C291" t="s">
        <v>17</v>
      </c>
      <c r="D291">
        <v>2500</v>
      </c>
      <c r="E291">
        <v>4.36297617787476</v>
      </c>
      <c r="F291">
        <v>3.74</v>
      </c>
      <c r="G291">
        <v>0.622976177874765</v>
      </c>
      <c r="H291">
        <v>1.7451904711499</v>
      </c>
      <c r="I291">
        <v>1.09074404446869</v>
      </c>
      <c r="J291">
        <v>15.9074404446869</v>
      </c>
      <c r="K291">
        <v>0.69196823628479198</v>
      </c>
      <c r="L291" t="s">
        <v>482</v>
      </c>
      <c r="M291">
        <v>2.5786395301692799</v>
      </c>
      <c r="N291">
        <v>41767841</v>
      </c>
      <c r="O291">
        <f>IFERROR(VLOOKUP($A291,Actual!$A:$D,4,FALSE),IFERROR(VLOOKUP($A291,FC!$A:$AD,29,FALSE),"Not Found"))</f>
        <v>1.5</v>
      </c>
      <c r="P291" s="5">
        <f>IFERROR(VLOOKUP($A291,Actual!$A:$D,3,FALSE),"0")</f>
        <v>1.6999999999999999E-3</v>
      </c>
    </row>
    <row r="292" spans="1:16" x14ac:dyDescent="0.2">
      <c r="A292" t="s">
        <v>335</v>
      </c>
      <c r="B292" t="s">
        <v>500</v>
      </c>
      <c r="C292" t="s">
        <v>5</v>
      </c>
      <c r="D292">
        <v>4500</v>
      </c>
      <c r="E292">
        <v>8.2386976304090407</v>
      </c>
      <c r="F292">
        <v>7.44</v>
      </c>
      <c r="G292">
        <v>0.79869763040904496</v>
      </c>
      <c r="H292">
        <v>1.83082169564645</v>
      </c>
      <c r="I292">
        <v>2.0596744076022602</v>
      </c>
      <c r="J292">
        <v>25.596744076022599</v>
      </c>
      <c r="K292">
        <v>0.892204164727467</v>
      </c>
      <c r="L292" t="s">
        <v>482</v>
      </c>
      <c r="M292">
        <v>4.3540215078194997</v>
      </c>
      <c r="N292">
        <v>41766937</v>
      </c>
      <c r="O292">
        <f>IFERROR(VLOOKUP($A292,Actual!$A:$D,4,FALSE),IFERROR(VLOOKUP($A292,FC!$A:$AD,29,FALSE),"Not Found"))</f>
        <v>5</v>
      </c>
      <c r="P292" s="5">
        <f>IFERROR(VLOOKUP($A292,Actual!$A:$D,3,FALSE),"0")</f>
        <v>3.3999999999999998E-3</v>
      </c>
    </row>
    <row r="293" spans="1:16" x14ac:dyDescent="0.2">
      <c r="A293" t="s">
        <v>562</v>
      </c>
      <c r="B293" t="s">
        <v>488</v>
      </c>
      <c r="C293" t="s">
        <v>5</v>
      </c>
      <c r="D293">
        <v>2900</v>
      </c>
      <c r="E293">
        <v>5.2831834576564098</v>
      </c>
      <c r="F293">
        <v>4.67</v>
      </c>
      <c r="G293">
        <v>0.61318345765641302</v>
      </c>
      <c r="H293">
        <v>1.8217873991918601</v>
      </c>
      <c r="I293">
        <v>1.3207958644141</v>
      </c>
      <c r="J293">
        <v>18.207958644141002</v>
      </c>
      <c r="K293">
        <v>0.17733250479055199</v>
      </c>
      <c r="L293" t="s">
        <v>482</v>
      </c>
      <c r="M293">
        <v>4.4874183258843097</v>
      </c>
      <c r="N293">
        <v>41767125</v>
      </c>
      <c r="O293">
        <f>IFERROR(VLOOKUP($A293,Actual!$A:$D,4,FALSE),IFERROR(VLOOKUP($A293,FC!$A:$AD,29,FALSE),"Not Found"))</f>
        <v>14.3</v>
      </c>
      <c r="P293" s="5" t="str">
        <f>IFERROR(VLOOKUP($A293,Actual!$A:$D,3,FALSE),"0")</f>
        <v>0</v>
      </c>
    </row>
    <row r="294" spans="1:16" x14ac:dyDescent="0.2">
      <c r="A294" t="s">
        <v>551</v>
      </c>
      <c r="B294" t="s">
        <v>508</v>
      </c>
      <c r="C294" t="s">
        <v>17</v>
      </c>
      <c r="D294">
        <v>2500</v>
      </c>
      <c r="E294">
        <v>5.4581119291029303</v>
      </c>
      <c r="F294">
        <v>4.96</v>
      </c>
      <c r="G294">
        <v>0.498111929102939</v>
      </c>
      <c r="H294">
        <v>2.1832447716411698</v>
      </c>
      <c r="I294">
        <v>1.3645279822757299</v>
      </c>
      <c r="J294">
        <v>18.645279822757299</v>
      </c>
      <c r="K294">
        <v>0.69196823628479198</v>
      </c>
      <c r="L294" t="s">
        <v>482</v>
      </c>
      <c r="M294">
        <v>3.2258950328097198</v>
      </c>
      <c r="N294">
        <v>41767923</v>
      </c>
      <c r="O294">
        <f>IFERROR(VLOOKUP($A294,Actual!$A:$D,4,FALSE),IFERROR(VLOOKUP($A294,FC!$A:$AD,29,FALSE),"Not Found"))</f>
        <v>1.5</v>
      </c>
      <c r="P294" s="5" t="str">
        <f>IFERROR(VLOOKUP($A294,Actual!$A:$D,3,FALSE),"0")</f>
        <v>0</v>
      </c>
    </row>
    <row r="295" spans="1:16" x14ac:dyDescent="0.2">
      <c r="A295" t="s">
        <v>556</v>
      </c>
      <c r="B295" t="s">
        <v>502</v>
      </c>
      <c r="C295" t="s">
        <v>17</v>
      </c>
      <c r="D295">
        <v>2500</v>
      </c>
      <c r="E295">
        <v>5.33343247173132</v>
      </c>
      <c r="F295">
        <v>2.83</v>
      </c>
      <c r="G295">
        <v>2.5034324717313199</v>
      </c>
      <c r="H295">
        <v>2.1333729886925301</v>
      </c>
      <c r="I295">
        <v>1.33335811793283</v>
      </c>
      <c r="J295">
        <v>18.333581179328299</v>
      </c>
      <c r="K295">
        <v>0.79576347172751105</v>
      </c>
      <c r="L295" t="s">
        <v>482</v>
      </c>
      <c r="M295">
        <v>2.97000833110866</v>
      </c>
      <c r="N295">
        <v>41767859</v>
      </c>
      <c r="O295">
        <f>IFERROR(VLOOKUP($A295,Actual!$A:$D,4,FALSE),IFERROR(VLOOKUP($A295,FC!$A:$AD,29,FALSE),"Not Found"))</f>
        <v>1.3</v>
      </c>
      <c r="P295" s="5" t="str">
        <f>IFERROR(VLOOKUP($A295,Actual!$A:$D,3,FALSE),"0")</f>
        <v>0</v>
      </c>
    </row>
    <row r="296" spans="1:16" x14ac:dyDescent="0.2">
      <c r="A296" t="s">
        <v>302</v>
      </c>
      <c r="B296" t="s">
        <v>484</v>
      </c>
      <c r="C296" t="s">
        <v>10</v>
      </c>
      <c r="D296">
        <v>5000</v>
      </c>
      <c r="E296">
        <v>10.782514264176299</v>
      </c>
      <c r="F296">
        <v>9.67</v>
      </c>
      <c r="G296">
        <v>1.1125142641763901</v>
      </c>
      <c r="H296">
        <v>2.1565028528352701</v>
      </c>
      <c r="I296">
        <v>2.69562856604409</v>
      </c>
      <c r="J296">
        <v>31.956285660440901</v>
      </c>
      <c r="K296">
        <v>0.92789233131656601</v>
      </c>
      <c r="L296" t="s">
        <v>482</v>
      </c>
      <c r="M296">
        <v>5.5929027202535497</v>
      </c>
      <c r="N296">
        <v>41766909</v>
      </c>
      <c r="O296">
        <f>IFERROR(VLOOKUP($A296,Actual!$A:$D,4,FALSE),IFERROR(VLOOKUP($A296,FC!$A:$AD,29,FALSE),"Not Found"))</f>
        <v>9.5</v>
      </c>
      <c r="P296" s="5">
        <f>IFERROR(VLOOKUP($A296,Actual!$A:$D,3,FALSE),"0")</f>
        <v>6.7000000000000002E-3</v>
      </c>
    </row>
    <row r="297" spans="1:16" x14ac:dyDescent="0.2">
      <c r="A297" t="s">
        <v>323</v>
      </c>
      <c r="B297" t="s">
        <v>508</v>
      </c>
      <c r="C297" t="s">
        <v>10</v>
      </c>
      <c r="D297">
        <v>3600</v>
      </c>
      <c r="E297">
        <v>6.9646063374184202</v>
      </c>
      <c r="F297">
        <v>6.32</v>
      </c>
      <c r="G297">
        <v>0.64460633741842199</v>
      </c>
      <c r="H297">
        <v>1.9346128715051101</v>
      </c>
      <c r="I297">
        <v>1.7411515843545999</v>
      </c>
      <c r="J297">
        <v>22.411515843545999</v>
      </c>
      <c r="K297">
        <v>0.53199751437165799</v>
      </c>
      <c r="L297" t="s">
        <v>482</v>
      </c>
      <c r="M297">
        <v>4.5460950635255601</v>
      </c>
      <c r="N297">
        <v>41767017</v>
      </c>
      <c r="O297">
        <f>IFERROR(VLOOKUP($A297,Actual!$A:$D,4,FALSE),IFERROR(VLOOKUP($A297,FC!$A:$AD,29,FALSE),"Not Found"))</f>
        <v>3</v>
      </c>
      <c r="P297" s="5">
        <f>IFERROR(VLOOKUP($A297,Actual!$A:$D,3,FALSE),"0")</f>
        <v>5.1000000000000004E-3</v>
      </c>
    </row>
    <row r="298" spans="1:16" x14ac:dyDescent="0.2">
      <c r="A298" t="s">
        <v>388</v>
      </c>
      <c r="B298" t="s">
        <v>495</v>
      </c>
      <c r="C298" t="s">
        <v>17</v>
      </c>
      <c r="D298">
        <v>2600</v>
      </c>
      <c r="E298">
        <v>5.4991887580081604</v>
      </c>
      <c r="F298">
        <v>4.72</v>
      </c>
      <c r="G298">
        <v>0.77918875800816401</v>
      </c>
      <c r="H298">
        <v>2.1150725992338999</v>
      </c>
      <c r="I298">
        <v>1.3747971895020401</v>
      </c>
      <c r="J298">
        <v>18.747971895020399</v>
      </c>
      <c r="K298">
        <v>0.69196823628479198</v>
      </c>
      <c r="L298" t="s">
        <v>482</v>
      </c>
      <c r="M298">
        <v>3.2501725742105099</v>
      </c>
      <c r="N298">
        <v>41767767</v>
      </c>
      <c r="O298">
        <f>IFERROR(VLOOKUP($A298,Actual!$A:$D,4,FALSE),IFERROR(VLOOKUP($A298,FC!$A:$AD,29,FALSE),"Not Found"))</f>
        <v>0</v>
      </c>
      <c r="P298" s="5">
        <f>IFERROR(VLOOKUP($A298,Actual!$A:$D,3,FALSE),"0")</f>
        <v>1.6999999999999999E-3</v>
      </c>
    </row>
    <row r="299" spans="1:16" x14ac:dyDescent="0.2">
      <c r="A299" t="s">
        <v>29</v>
      </c>
      <c r="B299" t="s">
        <v>505</v>
      </c>
      <c r="C299" t="s">
        <v>10</v>
      </c>
      <c r="D299">
        <v>5700</v>
      </c>
      <c r="E299">
        <v>12.7384756007192</v>
      </c>
      <c r="F299">
        <v>11.09</v>
      </c>
      <c r="G299">
        <v>1.64847560071929</v>
      </c>
      <c r="H299">
        <v>2.23482028082794</v>
      </c>
      <c r="I299">
        <v>3.18461890017982</v>
      </c>
      <c r="J299">
        <v>36.846189001798201</v>
      </c>
      <c r="K299">
        <v>1.2967439412809101</v>
      </c>
      <c r="L299" t="s">
        <v>482</v>
      </c>
      <c r="M299">
        <v>5.5463194532756299</v>
      </c>
      <c r="N299">
        <v>41766873</v>
      </c>
      <c r="O299">
        <f>IFERROR(VLOOKUP($A299,Actual!$A:$D,4,FALSE),IFERROR(VLOOKUP($A299,FC!$A:$AD,29,FALSE),"Not Found"))</f>
        <v>16.3</v>
      </c>
      <c r="P299" s="5">
        <f>IFERROR(VLOOKUP($A299,Actual!$A:$D,3,FALSE),"0")</f>
        <v>6.9000000000000006E-2</v>
      </c>
    </row>
    <row r="300" spans="1:16" x14ac:dyDescent="0.2">
      <c r="A300" t="s">
        <v>368</v>
      </c>
      <c r="B300" t="s">
        <v>497</v>
      </c>
      <c r="C300" t="s">
        <v>5</v>
      </c>
      <c r="D300">
        <v>2500</v>
      </c>
      <c r="E300">
        <v>4.9137307399734702</v>
      </c>
      <c r="F300">
        <v>4.79</v>
      </c>
      <c r="G300">
        <v>0.123730739973471</v>
      </c>
      <c r="H300">
        <v>1.9654922959893799</v>
      </c>
      <c r="I300">
        <v>1.22843268499336</v>
      </c>
      <c r="J300">
        <v>17.284326849933599</v>
      </c>
      <c r="K300">
        <v>0.68225251145056598</v>
      </c>
      <c r="L300" t="s">
        <v>482</v>
      </c>
      <c r="M300">
        <v>2.92092340866026</v>
      </c>
      <c r="N300">
        <v>41766663</v>
      </c>
      <c r="O300">
        <f>IFERROR(VLOOKUP($A300,Actual!$A:$D,4,FALSE),IFERROR(VLOOKUP($A300,FC!$A:$AD,29,FALSE),"Not Found"))</f>
        <v>12.6</v>
      </c>
      <c r="P300" s="5">
        <f>IFERROR(VLOOKUP($A300,Actual!$A:$D,3,FALSE),"0")</f>
        <v>3.3999999999999998E-3</v>
      </c>
    </row>
    <row r="301" spans="1:16" x14ac:dyDescent="0.2">
      <c r="A301" t="s">
        <v>519</v>
      </c>
      <c r="B301" t="s">
        <v>490</v>
      </c>
      <c r="C301" t="s">
        <v>10</v>
      </c>
      <c r="D301">
        <v>2900</v>
      </c>
      <c r="E301">
        <v>7.2082353723556798</v>
      </c>
      <c r="F301">
        <v>6.37</v>
      </c>
      <c r="G301">
        <v>0.83823537235568202</v>
      </c>
      <c r="H301">
        <v>2.4855984042605801</v>
      </c>
      <c r="I301">
        <v>1.8020588430889199</v>
      </c>
      <c r="J301">
        <v>23.020588430889202</v>
      </c>
      <c r="K301">
        <v>0.30589857076370303</v>
      </c>
      <c r="L301" t="s">
        <v>482</v>
      </c>
      <c r="M301">
        <v>5.5197513296459304</v>
      </c>
      <c r="N301">
        <v>41767119</v>
      </c>
      <c r="O301">
        <f>IFERROR(VLOOKUP($A301,Actual!$A:$D,4,FALSE),IFERROR(VLOOKUP($A301,FC!$A:$AD,29,FALSE),"Not Found"))</f>
        <v>11.5</v>
      </c>
      <c r="P301" s="5" t="str">
        <f>IFERROR(VLOOKUP($A301,Actual!$A:$D,3,FALSE),"0")</f>
        <v>0</v>
      </c>
    </row>
    <row r="302" spans="1:16" x14ac:dyDescent="0.2">
      <c r="A302" t="s">
        <v>263</v>
      </c>
      <c r="B302" t="s">
        <v>502</v>
      </c>
      <c r="C302" t="s">
        <v>5</v>
      </c>
      <c r="D302">
        <v>5700</v>
      </c>
      <c r="E302">
        <v>11.2660363818927</v>
      </c>
      <c r="F302">
        <v>9.1199999999999992</v>
      </c>
      <c r="G302">
        <v>2.1460363818927202</v>
      </c>
      <c r="H302">
        <v>1.9764976108583701</v>
      </c>
      <c r="I302">
        <v>2.81650909547318</v>
      </c>
      <c r="J302">
        <v>33.165090954731802</v>
      </c>
      <c r="K302">
        <v>3.9911771919858099</v>
      </c>
      <c r="L302" t="s">
        <v>482</v>
      </c>
      <c r="M302">
        <v>2.2571902275844402</v>
      </c>
      <c r="N302">
        <v>41766495</v>
      </c>
      <c r="O302">
        <f>IFERROR(VLOOKUP($A302,Actual!$A:$D,4,FALSE),IFERROR(VLOOKUP($A302,FC!$A:$AD,29,FALSE),"Not Found"))</f>
        <v>4.5</v>
      </c>
      <c r="P302" s="5">
        <f>IFERROR(VLOOKUP($A302,Actual!$A:$D,3,FALSE),"0")</f>
        <v>8.3999999999999995E-3</v>
      </c>
    </row>
    <row r="303" spans="1:16" x14ac:dyDescent="0.2">
      <c r="A303" t="s">
        <v>404</v>
      </c>
      <c r="B303" t="s">
        <v>509</v>
      </c>
      <c r="C303" t="s">
        <v>10</v>
      </c>
      <c r="D303">
        <v>3800</v>
      </c>
      <c r="E303">
        <v>7.9239022149272902</v>
      </c>
      <c r="F303">
        <v>6.75</v>
      </c>
      <c r="G303">
        <v>1.17390221492729</v>
      </c>
      <c r="H303">
        <v>2.0852374249808601</v>
      </c>
      <c r="I303">
        <v>1.9809755537318201</v>
      </c>
      <c r="J303">
        <v>24.8097555373182</v>
      </c>
      <c r="K303">
        <v>0.79799627155748598</v>
      </c>
      <c r="L303" t="s">
        <v>482</v>
      </c>
      <c r="M303">
        <v>4.407073774443</v>
      </c>
      <c r="N303">
        <v>41766997</v>
      </c>
      <c r="O303">
        <f>IFERROR(VLOOKUP($A303,Actual!$A:$D,4,FALSE),IFERROR(VLOOKUP($A303,FC!$A:$AD,29,FALSE),"Not Found"))</f>
        <v>1.3</v>
      </c>
      <c r="P303" s="5">
        <f>IFERROR(VLOOKUP($A303,Actual!$A:$D,3,FALSE),"0")</f>
        <v>1.6999999999999999E-3</v>
      </c>
    </row>
    <row r="304" spans="1:16" x14ac:dyDescent="0.2">
      <c r="A304" t="s">
        <v>236</v>
      </c>
      <c r="B304" t="s">
        <v>495</v>
      </c>
      <c r="C304" t="s">
        <v>5</v>
      </c>
      <c r="D304">
        <v>3800</v>
      </c>
      <c r="E304">
        <v>8.9576269658765302</v>
      </c>
      <c r="F304">
        <v>7.62</v>
      </c>
      <c r="G304">
        <v>1.3376269658765301</v>
      </c>
      <c r="H304">
        <v>2.3572702541780299</v>
      </c>
      <c r="I304">
        <v>2.2394067414691299</v>
      </c>
      <c r="J304">
        <v>27.3940674146913</v>
      </c>
      <c r="K304">
        <v>0.91769571229110902</v>
      </c>
      <c r="L304" t="s">
        <v>482</v>
      </c>
      <c r="M304">
        <v>4.6710366553276899</v>
      </c>
      <c r="N304">
        <v>41766993</v>
      </c>
      <c r="O304">
        <f>IFERROR(VLOOKUP($A304,Actual!$A:$D,4,FALSE),IFERROR(VLOOKUP($A304,FC!$A:$AD,29,FALSE),"Not Found"))</f>
        <v>8</v>
      </c>
      <c r="P304" s="5">
        <f>IFERROR(VLOOKUP($A304,Actual!$A:$D,3,FALSE),"0")</f>
        <v>1.01E-2</v>
      </c>
    </row>
    <row r="305" spans="1:16" x14ac:dyDescent="0.2">
      <c r="A305" t="s">
        <v>668</v>
      </c>
      <c r="B305" t="s">
        <v>507</v>
      </c>
      <c r="C305" t="s">
        <v>5</v>
      </c>
      <c r="D305">
        <v>2500</v>
      </c>
      <c r="E305">
        <v>3.5833224256727001</v>
      </c>
      <c r="F305">
        <v>3.86</v>
      </c>
      <c r="G305">
        <v>-0.27667757432729301</v>
      </c>
      <c r="H305">
        <v>1.4333289702690799</v>
      </c>
      <c r="I305">
        <v>0.89583060641817602</v>
      </c>
      <c r="J305">
        <v>13.9583060641817</v>
      </c>
      <c r="K305">
        <v>0.409351506870339</v>
      </c>
      <c r="L305" t="s">
        <v>482</v>
      </c>
      <c r="M305">
        <v>2.54253279483836</v>
      </c>
      <c r="N305">
        <v>41766735</v>
      </c>
      <c r="O305">
        <f>IFERROR(VLOOKUP($A305,Actual!$A:$D,4,FALSE),IFERROR(VLOOKUP($A305,FC!$A:$AD,29,FALSE),"Not Found"))</f>
        <v>2.8</v>
      </c>
      <c r="P305" s="5" t="str">
        <f>IFERROR(VLOOKUP($A305,Actual!$A:$D,3,FALSE),"0")</f>
        <v>0</v>
      </c>
    </row>
    <row r="306" spans="1:16" x14ac:dyDescent="0.2">
      <c r="A306" t="s">
        <v>304</v>
      </c>
      <c r="B306" t="s">
        <v>480</v>
      </c>
      <c r="C306" t="s">
        <v>10</v>
      </c>
      <c r="D306">
        <v>3500</v>
      </c>
      <c r="E306">
        <v>7.1088996466347103</v>
      </c>
      <c r="F306">
        <v>5.97</v>
      </c>
      <c r="G306">
        <v>1.1388996466347101</v>
      </c>
      <c r="H306">
        <v>2.0311141847527701</v>
      </c>
      <c r="I306">
        <v>1.77722491165867</v>
      </c>
      <c r="J306">
        <v>22.7722491165867</v>
      </c>
      <c r="K306">
        <v>0.61179714152740605</v>
      </c>
      <c r="L306" t="s">
        <v>482</v>
      </c>
      <c r="M306">
        <v>4.4105424085179896</v>
      </c>
      <c r="N306">
        <v>41767029</v>
      </c>
      <c r="O306">
        <f>IFERROR(VLOOKUP($A306,Actual!$A:$D,4,FALSE),IFERROR(VLOOKUP($A306,FC!$A:$AD,29,FALSE),"Not Found"))</f>
        <v>4.5</v>
      </c>
      <c r="P306" s="5">
        <f>IFERROR(VLOOKUP($A306,Actual!$A:$D,3,FALSE),"0")</f>
        <v>6.7000000000000002E-3</v>
      </c>
    </row>
    <row r="307" spans="1:16" x14ac:dyDescent="0.2">
      <c r="A307" t="s">
        <v>215</v>
      </c>
      <c r="B307" t="s">
        <v>509</v>
      </c>
      <c r="C307" t="s">
        <v>10</v>
      </c>
      <c r="D307">
        <v>4900</v>
      </c>
      <c r="E307">
        <v>11.251627282302699</v>
      </c>
      <c r="F307">
        <v>9.64</v>
      </c>
      <c r="G307">
        <v>1.61162728230277</v>
      </c>
      <c r="H307">
        <v>2.2962504657760698</v>
      </c>
      <c r="I307">
        <v>2.81290682057569</v>
      </c>
      <c r="J307">
        <v>33.129068205756901</v>
      </c>
      <c r="K307">
        <v>0.92789233131656601</v>
      </c>
      <c r="L307" t="s">
        <v>482</v>
      </c>
      <c r="M307">
        <v>5.8362321896985696</v>
      </c>
      <c r="N307">
        <v>41766913</v>
      </c>
      <c r="O307">
        <f>IFERROR(VLOOKUP($A307,Actual!$A:$D,4,FALSE),IFERROR(VLOOKUP($A307,FC!$A:$AD,29,FALSE),"Not Found"))</f>
        <v>18.5</v>
      </c>
      <c r="P307" s="5">
        <f>IFERROR(VLOOKUP($A307,Actual!$A:$D,3,FALSE),"0")</f>
        <v>1.18E-2</v>
      </c>
    </row>
    <row r="308" spans="1:16" x14ac:dyDescent="0.2">
      <c r="A308" t="s">
        <v>440</v>
      </c>
      <c r="B308" t="s">
        <v>487</v>
      </c>
      <c r="C308" t="s">
        <v>5</v>
      </c>
      <c r="D308">
        <v>2500</v>
      </c>
      <c r="E308">
        <v>4.5037079609535198</v>
      </c>
      <c r="F308">
        <v>3.98</v>
      </c>
      <c r="G308">
        <v>0.52370796095352301</v>
      </c>
      <c r="H308">
        <v>1.8014831843814001</v>
      </c>
      <c r="I308">
        <v>1.1259269902383799</v>
      </c>
      <c r="J308">
        <v>16.259269902383799</v>
      </c>
      <c r="K308">
        <v>0.17733250479055199</v>
      </c>
      <c r="L308" t="s">
        <v>482</v>
      </c>
      <c r="M308">
        <v>3.8253492047726398</v>
      </c>
      <c r="N308">
        <v>41767495</v>
      </c>
      <c r="O308">
        <f>IFERROR(VLOOKUP($A308,Actual!$A:$D,4,FALSE),IFERROR(VLOOKUP($A308,FC!$A:$AD,29,FALSE),"Not Found"))</f>
        <v>1.5</v>
      </c>
      <c r="P308" s="5">
        <f>IFERROR(VLOOKUP($A308,Actual!$A:$D,3,FALSE),"0")</f>
        <v>1.6999999999999999E-3</v>
      </c>
    </row>
    <row r="309" spans="1:16" x14ac:dyDescent="0.2">
      <c r="A309" t="s">
        <v>558</v>
      </c>
      <c r="B309" t="s">
        <v>506</v>
      </c>
      <c r="C309" t="s">
        <v>17</v>
      </c>
      <c r="D309">
        <v>2500</v>
      </c>
      <c r="E309">
        <v>5.3219636530641496</v>
      </c>
      <c r="F309">
        <v>3.9</v>
      </c>
      <c r="G309">
        <v>1.42196365306415</v>
      </c>
      <c r="H309">
        <v>2.12878546122566</v>
      </c>
      <c r="I309">
        <v>1.3304909132660301</v>
      </c>
      <c r="J309">
        <v>18.304909132660299</v>
      </c>
      <c r="K309">
        <v>0.69196823628479198</v>
      </c>
      <c r="L309" t="s">
        <v>482</v>
      </c>
      <c r="M309">
        <v>3.1454276380211801</v>
      </c>
      <c r="N309">
        <v>41768007</v>
      </c>
      <c r="O309">
        <f>IFERROR(VLOOKUP($A309,Actual!$A:$D,4,FALSE),IFERROR(VLOOKUP($A309,FC!$A:$AD,29,FALSE),"Not Found"))</f>
        <v>9.3000000000000007</v>
      </c>
      <c r="P309" s="5" t="str">
        <f>IFERROR(VLOOKUP($A309,Actual!$A:$D,3,FALSE),"0")</f>
        <v>0</v>
      </c>
    </row>
    <row r="310" spans="1:16" x14ac:dyDescent="0.2">
      <c r="A310" t="s">
        <v>156</v>
      </c>
      <c r="B310" t="s">
        <v>494</v>
      </c>
      <c r="C310" t="s">
        <v>5</v>
      </c>
      <c r="D310">
        <v>3500</v>
      </c>
      <c r="E310">
        <v>7.0042019507940898</v>
      </c>
      <c r="F310">
        <v>6.65</v>
      </c>
      <c r="G310">
        <v>0.354201950794093</v>
      </c>
      <c r="H310">
        <v>2.00120055736974</v>
      </c>
      <c r="I310">
        <v>1.75105048769852</v>
      </c>
      <c r="J310">
        <v>22.510504876985198</v>
      </c>
      <c r="K310">
        <v>2.0467575343516899</v>
      </c>
      <c r="L310" t="s">
        <v>482</v>
      </c>
      <c r="M310">
        <v>2.2989036284715301</v>
      </c>
      <c r="N310">
        <v>41766565</v>
      </c>
      <c r="O310">
        <f>IFERROR(VLOOKUP($A310,Actual!$A:$D,4,FALSE),IFERROR(VLOOKUP($A310,FC!$A:$AD,29,FALSE),"Not Found"))</f>
        <v>3</v>
      </c>
      <c r="P310" s="5">
        <f>IFERROR(VLOOKUP($A310,Actual!$A:$D,3,FALSE),"0")</f>
        <v>1.6799999999999999E-2</v>
      </c>
    </row>
    <row r="311" spans="1:16" x14ac:dyDescent="0.2">
      <c r="A311" t="s">
        <v>241</v>
      </c>
      <c r="B311" t="s">
        <v>500</v>
      </c>
      <c r="C311" t="s">
        <v>10</v>
      </c>
      <c r="D311">
        <v>6800</v>
      </c>
      <c r="E311">
        <v>12.5082716445568</v>
      </c>
      <c r="F311">
        <v>10.36</v>
      </c>
      <c r="G311">
        <v>2.14827164455683</v>
      </c>
      <c r="H311">
        <v>1.83945171243482</v>
      </c>
      <c r="I311">
        <v>3.1270679111391999</v>
      </c>
      <c r="J311">
        <v>36.270679111392099</v>
      </c>
      <c r="K311">
        <v>0.95094555693933802</v>
      </c>
      <c r="L311" t="s">
        <v>482</v>
      </c>
      <c r="M311">
        <v>6.4113893901682797</v>
      </c>
      <c r="N311">
        <v>41766827</v>
      </c>
      <c r="O311">
        <f>IFERROR(VLOOKUP($A311,Actual!$A:$D,4,FALSE),IFERROR(VLOOKUP($A311,FC!$A:$AD,29,FALSE),"Not Found"))</f>
        <v>11</v>
      </c>
      <c r="P311" s="5">
        <f>IFERROR(VLOOKUP($A311,Actual!$A:$D,3,FALSE),"0")</f>
        <v>1.01E-2</v>
      </c>
    </row>
    <row r="312" spans="1:16" x14ac:dyDescent="0.2">
      <c r="A312" t="s">
        <v>581</v>
      </c>
      <c r="B312" t="s">
        <v>485</v>
      </c>
      <c r="C312" t="s">
        <v>5</v>
      </c>
      <c r="D312">
        <v>2500</v>
      </c>
      <c r="E312">
        <v>4.9163310909934399</v>
      </c>
      <c r="F312">
        <v>4.63</v>
      </c>
      <c r="G312">
        <v>0.286331090993448</v>
      </c>
      <c r="H312">
        <v>1.96653243639737</v>
      </c>
      <c r="I312">
        <v>1.22908277274836</v>
      </c>
      <c r="J312">
        <v>17.290827727483599</v>
      </c>
      <c r="K312">
        <v>0.68225251145056598</v>
      </c>
      <c r="L312" t="s">
        <v>482</v>
      </c>
      <c r="M312">
        <v>2.9224691641293501</v>
      </c>
      <c r="N312">
        <v>41766661</v>
      </c>
      <c r="O312">
        <f>IFERROR(VLOOKUP($A312,Actual!$A:$D,4,FALSE),IFERROR(VLOOKUP($A312,FC!$A:$AD,29,FALSE),"Not Found"))</f>
        <v>9.3000000000000007</v>
      </c>
      <c r="P312" s="5" t="str">
        <f>IFERROR(VLOOKUP($A312,Actual!$A:$D,3,FALSE),"0")</f>
        <v>0</v>
      </c>
    </row>
    <row r="313" spans="1:16" x14ac:dyDescent="0.2">
      <c r="A313" t="s">
        <v>366</v>
      </c>
      <c r="B313" t="s">
        <v>506</v>
      </c>
      <c r="C313" t="s">
        <v>10</v>
      </c>
      <c r="D313">
        <v>2500</v>
      </c>
      <c r="E313">
        <v>5.8031879242440203</v>
      </c>
      <c r="F313">
        <v>4.46</v>
      </c>
      <c r="G313">
        <v>1.3431879242440199</v>
      </c>
      <c r="H313">
        <v>2.3212751696975999</v>
      </c>
      <c r="I313">
        <v>1.450796981061</v>
      </c>
      <c r="J313">
        <v>19.50796981061</v>
      </c>
      <c r="K313">
        <v>0.17733250479055199</v>
      </c>
      <c r="L313" t="s">
        <v>482</v>
      </c>
      <c r="M313">
        <v>4.9290985347222698</v>
      </c>
      <c r="N313">
        <v>41767429</v>
      </c>
      <c r="O313">
        <f>IFERROR(VLOOKUP($A313,Actual!$A:$D,4,FALSE),IFERROR(VLOOKUP($A313,FC!$A:$AD,29,FALSE),"Not Found"))</f>
        <v>6.3</v>
      </c>
      <c r="P313" s="5">
        <f>IFERROR(VLOOKUP($A313,Actual!$A:$D,3,FALSE),"0")</f>
        <v>3.3999999999999998E-3</v>
      </c>
    </row>
    <row r="314" spans="1:16" x14ac:dyDescent="0.2">
      <c r="A314" t="s">
        <v>403</v>
      </c>
      <c r="B314" t="s">
        <v>506</v>
      </c>
      <c r="C314" t="s">
        <v>10</v>
      </c>
      <c r="D314">
        <v>2900</v>
      </c>
      <c r="E314">
        <v>6.7942637587221801</v>
      </c>
      <c r="F314">
        <v>6.43</v>
      </c>
      <c r="G314">
        <v>0.36426375872218197</v>
      </c>
      <c r="H314">
        <v>2.3428495719731601</v>
      </c>
      <c r="I314">
        <v>1.6985659396805399</v>
      </c>
      <c r="J314">
        <v>21.985659396805399</v>
      </c>
      <c r="K314">
        <v>1.17688558225222</v>
      </c>
      <c r="L314" t="s">
        <v>482</v>
      </c>
      <c r="M314">
        <v>3.1210936459475098</v>
      </c>
      <c r="N314">
        <v>41766609</v>
      </c>
      <c r="O314">
        <f>IFERROR(VLOOKUP($A314,Actual!$A:$D,4,FALSE),IFERROR(VLOOKUP($A314,FC!$A:$AD,29,FALSE),"Not Found"))</f>
        <v>1.5</v>
      </c>
      <c r="P314" s="5">
        <f>IFERROR(VLOOKUP($A314,Actual!$A:$D,3,FALSE),"0")</f>
        <v>1.6999999999999999E-3</v>
      </c>
    </row>
    <row r="315" spans="1:16" x14ac:dyDescent="0.2">
      <c r="A315" t="s">
        <v>86</v>
      </c>
      <c r="B315" t="s">
        <v>492</v>
      </c>
      <c r="C315" t="s">
        <v>5</v>
      </c>
      <c r="D315">
        <v>3100</v>
      </c>
      <c r="E315">
        <v>5.1923265538430901</v>
      </c>
      <c r="F315">
        <v>4.76</v>
      </c>
      <c r="G315">
        <v>0.43232655384309399</v>
      </c>
      <c r="H315">
        <v>1.6749440496268</v>
      </c>
      <c r="I315">
        <v>1.2980816384607701</v>
      </c>
      <c r="J315">
        <v>17.980816384607699</v>
      </c>
      <c r="K315">
        <v>0.25491547563641898</v>
      </c>
      <c r="L315" t="s">
        <v>482</v>
      </c>
      <c r="M315">
        <v>4.1375906621996599</v>
      </c>
      <c r="N315">
        <v>41767087</v>
      </c>
      <c r="O315">
        <f>IFERROR(VLOOKUP($A315,Actual!$A:$D,4,FALSE),IFERROR(VLOOKUP($A315,FC!$A:$AD,29,FALSE),"Not Found"))</f>
        <v>3</v>
      </c>
      <c r="P315" s="5">
        <f>IFERROR(VLOOKUP($A315,Actual!$A:$D,3,FALSE),"0")</f>
        <v>3.3700000000000001E-2</v>
      </c>
    </row>
    <row r="316" spans="1:16" x14ac:dyDescent="0.2">
      <c r="A316" t="s">
        <v>149</v>
      </c>
      <c r="B316" t="s">
        <v>510</v>
      </c>
      <c r="C316" t="s">
        <v>10</v>
      </c>
      <c r="D316">
        <v>4600</v>
      </c>
      <c r="E316">
        <v>9.3684017699397995</v>
      </c>
      <c r="F316">
        <v>7.26</v>
      </c>
      <c r="G316">
        <v>2.1084017699398001</v>
      </c>
      <c r="H316">
        <v>2.0366090804216901</v>
      </c>
      <c r="I316">
        <v>2.3421004424849499</v>
      </c>
      <c r="J316">
        <v>28.4210044248495</v>
      </c>
      <c r="K316">
        <v>0.892204164727467</v>
      </c>
      <c r="L316" t="s">
        <v>482</v>
      </c>
      <c r="M316">
        <v>4.9510522937090702</v>
      </c>
      <c r="N316">
        <v>41766929</v>
      </c>
      <c r="O316">
        <f>IFERROR(VLOOKUP($A316,Actual!$A:$D,4,FALSE),IFERROR(VLOOKUP($A316,FC!$A:$AD,29,FALSE),"Not Found"))</f>
        <v>5.8</v>
      </c>
      <c r="P316" s="5">
        <f>IFERROR(VLOOKUP($A316,Actual!$A:$D,3,FALSE),"0")</f>
        <v>1.8499999999999999E-2</v>
      </c>
    </row>
    <row r="317" spans="1:16" x14ac:dyDescent="0.2">
      <c r="A317" t="s">
        <v>392</v>
      </c>
      <c r="B317" t="s">
        <v>496</v>
      </c>
      <c r="C317" t="s">
        <v>10</v>
      </c>
      <c r="D317">
        <v>3000</v>
      </c>
      <c r="E317">
        <v>5.9009936560104403</v>
      </c>
      <c r="F317">
        <v>5.63</v>
      </c>
      <c r="G317">
        <v>0.27099365601044301</v>
      </c>
      <c r="H317">
        <v>1.96699788533681</v>
      </c>
      <c r="I317">
        <v>1.4752484140026101</v>
      </c>
      <c r="J317">
        <v>19.752484140026102</v>
      </c>
      <c r="K317">
        <v>0.20393238050913501</v>
      </c>
      <c r="L317" t="s">
        <v>482</v>
      </c>
      <c r="M317">
        <v>4.90143279767502</v>
      </c>
      <c r="N317">
        <v>41767099</v>
      </c>
      <c r="O317">
        <f>IFERROR(VLOOKUP($A317,Actual!$A:$D,4,FALSE),IFERROR(VLOOKUP($A317,FC!$A:$AD,29,FALSE),"Not Found"))</f>
        <v>0</v>
      </c>
      <c r="P317" s="5">
        <f>IFERROR(VLOOKUP($A317,Actual!$A:$D,3,FALSE),"0")</f>
        <v>1.6999999999999999E-3</v>
      </c>
    </row>
    <row r="318" spans="1:16" x14ac:dyDescent="0.2">
      <c r="A318" t="s">
        <v>283</v>
      </c>
      <c r="B318" t="s">
        <v>508</v>
      </c>
      <c r="C318" t="s">
        <v>10</v>
      </c>
      <c r="D318">
        <v>4500</v>
      </c>
      <c r="E318">
        <v>9.0996823546323906</v>
      </c>
      <c r="F318">
        <v>7.62</v>
      </c>
      <c r="G318">
        <v>1.4796823546323901</v>
      </c>
      <c r="H318">
        <v>2.0221516343627499</v>
      </c>
      <c r="I318">
        <v>2.2749205886580901</v>
      </c>
      <c r="J318">
        <v>27.749205886580899</v>
      </c>
      <c r="K318">
        <v>2.7460663585885201</v>
      </c>
      <c r="L318" t="s">
        <v>482</v>
      </c>
      <c r="M318">
        <v>2.4291300483158098</v>
      </c>
      <c r="N318">
        <v>41766529</v>
      </c>
      <c r="O318">
        <f>IFERROR(VLOOKUP($A318,Actual!$A:$D,4,FALSE),IFERROR(VLOOKUP($A318,FC!$A:$AD,29,FALSE),"Not Found"))</f>
        <v>1.5</v>
      </c>
      <c r="P318" s="5">
        <f>IFERROR(VLOOKUP($A318,Actual!$A:$D,3,FALSE),"0")</f>
        <v>6.7000000000000002E-3</v>
      </c>
    </row>
    <row r="319" spans="1:16" x14ac:dyDescent="0.2">
      <c r="A319" t="s">
        <v>527</v>
      </c>
      <c r="B319" t="s">
        <v>481</v>
      </c>
      <c r="C319" t="s">
        <v>10</v>
      </c>
      <c r="D319">
        <v>2700</v>
      </c>
      <c r="E319">
        <v>6.41028995653578</v>
      </c>
      <c r="F319">
        <v>5.03</v>
      </c>
      <c r="G319">
        <v>1.38028995653578</v>
      </c>
      <c r="H319">
        <v>2.3741814653836202</v>
      </c>
      <c r="I319">
        <v>1.6025724891339399</v>
      </c>
      <c r="J319">
        <v>21.025724891339401</v>
      </c>
      <c r="K319">
        <v>0.26599875718582899</v>
      </c>
      <c r="L319" t="s">
        <v>482</v>
      </c>
      <c r="M319">
        <v>5.0634251575294797</v>
      </c>
      <c r="N319">
        <v>41767157</v>
      </c>
      <c r="O319">
        <f>IFERROR(VLOOKUP($A319,Actual!$A:$D,4,FALSE),IFERROR(VLOOKUP($A319,FC!$A:$AD,29,FALSE),"Not Found"))</f>
        <v>3</v>
      </c>
      <c r="P319" s="5" t="str">
        <f>IFERROR(VLOOKUP($A319,Actual!$A:$D,3,FALSE),"0")</f>
        <v>0</v>
      </c>
    </row>
    <row r="320" spans="1:16" x14ac:dyDescent="0.2">
      <c r="A320" t="s">
        <v>422</v>
      </c>
      <c r="B320" t="s">
        <v>483</v>
      </c>
      <c r="C320" t="s">
        <v>17</v>
      </c>
      <c r="D320">
        <v>2500</v>
      </c>
      <c r="E320">
        <v>7.6773213214038698</v>
      </c>
      <c r="F320">
        <v>5.68</v>
      </c>
      <c r="G320">
        <v>1.9973213214038701</v>
      </c>
      <c r="H320">
        <v>3.07092852856155</v>
      </c>
      <c r="I320">
        <v>1.9193303303509599</v>
      </c>
      <c r="J320">
        <v>24.193303303509602</v>
      </c>
      <c r="K320">
        <v>1.03795235442718</v>
      </c>
      <c r="L320" t="s">
        <v>482</v>
      </c>
      <c r="M320">
        <v>3.76717409743455</v>
      </c>
      <c r="N320">
        <v>41767879</v>
      </c>
      <c r="O320">
        <f>IFERROR(VLOOKUP($A320,Actual!$A:$D,4,FALSE),IFERROR(VLOOKUP($A320,FC!$A:$AD,29,FALSE),"Not Found"))</f>
        <v>1.5</v>
      </c>
      <c r="P320" s="5">
        <f>IFERROR(VLOOKUP($A320,Actual!$A:$D,3,FALSE),"0")</f>
        <v>1.6999999999999999E-3</v>
      </c>
    </row>
    <row r="321" spans="1:16" x14ac:dyDescent="0.2">
      <c r="A321" t="s">
        <v>161</v>
      </c>
      <c r="B321" t="s">
        <v>495</v>
      </c>
      <c r="C321" t="s">
        <v>10</v>
      </c>
      <c r="D321">
        <v>2600</v>
      </c>
      <c r="E321">
        <v>8.9356844907655208</v>
      </c>
      <c r="F321">
        <v>7.28</v>
      </c>
      <c r="G321">
        <v>1.6556844907655199</v>
      </c>
      <c r="H321">
        <v>3.4368017272175</v>
      </c>
      <c r="I321">
        <v>2.2339211226913802</v>
      </c>
      <c r="J321">
        <v>27.3392112269138</v>
      </c>
      <c r="K321">
        <v>0.31919850862299398</v>
      </c>
      <c r="L321" t="s">
        <v>482</v>
      </c>
      <c r="M321">
        <v>6.7735707949615298</v>
      </c>
      <c r="N321">
        <v>41767175</v>
      </c>
      <c r="O321">
        <f>IFERROR(VLOOKUP($A321,Actual!$A:$D,4,FALSE),IFERROR(VLOOKUP($A321,FC!$A:$AD,29,FALSE),"Not Found"))</f>
        <v>10.6</v>
      </c>
      <c r="P321" s="5">
        <f>IFERROR(VLOOKUP($A321,Actual!$A:$D,3,FALSE),"0")</f>
        <v>1.6799999999999999E-2</v>
      </c>
    </row>
    <row r="322" spans="1:16" x14ac:dyDescent="0.2">
      <c r="A322" t="s">
        <v>190</v>
      </c>
      <c r="B322" t="s">
        <v>498</v>
      </c>
      <c r="C322" t="s">
        <v>10</v>
      </c>
      <c r="D322">
        <v>4000</v>
      </c>
      <c r="E322">
        <v>10.2389415018653</v>
      </c>
      <c r="F322">
        <v>8.1199999999999992</v>
      </c>
      <c r="G322">
        <v>2.1189415018653501</v>
      </c>
      <c r="H322">
        <v>2.5597353754663299</v>
      </c>
      <c r="I322">
        <v>2.5597353754663299</v>
      </c>
      <c r="J322">
        <v>30.597353754663299</v>
      </c>
      <c r="K322">
        <v>1.19300442597844</v>
      </c>
      <c r="L322" t="s">
        <v>482</v>
      </c>
      <c r="M322">
        <v>4.6689105505553599</v>
      </c>
      <c r="N322">
        <v>41766969</v>
      </c>
      <c r="O322">
        <f>IFERROR(VLOOKUP($A322,Actual!$A:$D,4,FALSE),IFERROR(VLOOKUP($A322,FC!$A:$AD,29,FALSE),"Not Found"))</f>
        <v>7.8</v>
      </c>
      <c r="P322" s="5">
        <f>IFERROR(VLOOKUP($A322,Actual!$A:$D,3,FALSE),"0")</f>
        <v>1.52E-2</v>
      </c>
    </row>
    <row r="323" spans="1:16" x14ac:dyDescent="0.2">
      <c r="A323" t="s">
        <v>385</v>
      </c>
      <c r="B323" t="s">
        <v>491</v>
      </c>
      <c r="C323" t="s">
        <v>5</v>
      </c>
      <c r="D323">
        <v>2600</v>
      </c>
      <c r="E323">
        <v>5.3872004361407102</v>
      </c>
      <c r="F323">
        <v>4.66</v>
      </c>
      <c r="G323">
        <v>0.72720043614071095</v>
      </c>
      <c r="H323">
        <v>2.0720001677464199</v>
      </c>
      <c r="I323">
        <v>1.34680010903517</v>
      </c>
      <c r="J323">
        <v>18.468001090351699</v>
      </c>
      <c r="K323">
        <v>1.0233787671758401</v>
      </c>
      <c r="L323" t="s">
        <v>482</v>
      </c>
      <c r="M323">
        <v>2.6624774973100802</v>
      </c>
      <c r="N323">
        <v>41766633</v>
      </c>
      <c r="O323">
        <f>IFERROR(VLOOKUP($A323,Actual!$A:$D,4,FALSE),IFERROR(VLOOKUP($A323,FC!$A:$AD,29,FALSE),"Not Found"))</f>
        <v>1.3</v>
      </c>
      <c r="P323" s="5">
        <f>IFERROR(VLOOKUP($A323,Actual!$A:$D,3,FALSE),"0")</f>
        <v>1.6999999999999999E-3</v>
      </c>
    </row>
    <row r="324" spans="1:16" x14ac:dyDescent="0.2">
      <c r="A324" t="s">
        <v>328</v>
      </c>
      <c r="B324" t="s">
        <v>507</v>
      </c>
      <c r="C324" t="s">
        <v>10</v>
      </c>
      <c r="D324">
        <v>4300</v>
      </c>
      <c r="E324">
        <v>8.9131841131433607</v>
      </c>
      <c r="F324">
        <v>8.0399999999999991</v>
      </c>
      <c r="G324">
        <v>0.87318411314336297</v>
      </c>
      <c r="H324">
        <v>2.0728335146845001</v>
      </c>
      <c r="I324">
        <v>2.2282960282858402</v>
      </c>
      <c r="J324">
        <v>27.282960282858401</v>
      </c>
      <c r="K324">
        <v>0.79799627155748598</v>
      </c>
      <c r="L324" t="s">
        <v>482</v>
      </c>
      <c r="M324">
        <v>4.9572873170768297</v>
      </c>
      <c r="N324">
        <v>41766951</v>
      </c>
      <c r="O324">
        <f>IFERROR(VLOOKUP($A324,Actual!$A:$D,4,FALSE),IFERROR(VLOOKUP($A324,FC!$A:$AD,29,FALSE),"Not Found"))</f>
        <v>10</v>
      </c>
      <c r="P324" s="5">
        <f>IFERROR(VLOOKUP($A324,Actual!$A:$D,3,FALSE),"0")</f>
        <v>5.1000000000000004E-3</v>
      </c>
    </row>
    <row r="325" spans="1:16" x14ac:dyDescent="0.2">
      <c r="A325" t="s">
        <v>332</v>
      </c>
      <c r="B325" t="s">
        <v>505</v>
      </c>
      <c r="C325" t="s">
        <v>5</v>
      </c>
      <c r="D325">
        <v>3400</v>
      </c>
      <c r="E325">
        <v>5.9729313855732098</v>
      </c>
      <c r="F325">
        <v>5.69</v>
      </c>
      <c r="G325">
        <v>0.28293138557321801</v>
      </c>
      <c r="H325">
        <v>1.75674452516859</v>
      </c>
      <c r="I325">
        <v>1.4932328463933</v>
      </c>
      <c r="J325">
        <v>19.932328463933001</v>
      </c>
      <c r="K325">
        <v>0.78459038816815097</v>
      </c>
      <c r="L325" t="s">
        <v>482</v>
      </c>
      <c r="M325">
        <v>3.3469480868964601</v>
      </c>
      <c r="N325">
        <v>41766571</v>
      </c>
      <c r="O325">
        <f>IFERROR(VLOOKUP($A325,Actual!$A:$D,4,FALSE),IFERROR(VLOOKUP($A325,FC!$A:$AD,29,FALSE),"Not Found"))</f>
        <v>21.3</v>
      </c>
      <c r="P325" s="5">
        <f>IFERROR(VLOOKUP($A325,Actual!$A:$D,3,FALSE),"0")</f>
        <v>3.3999999999999998E-3</v>
      </c>
    </row>
    <row r="326" spans="1:16" x14ac:dyDescent="0.2">
      <c r="A326" t="s">
        <v>455</v>
      </c>
      <c r="B326" t="s">
        <v>508</v>
      </c>
      <c r="C326" t="s">
        <v>10</v>
      </c>
      <c r="D326">
        <v>3400</v>
      </c>
      <c r="E326">
        <v>6.5658029824764004</v>
      </c>
      <c r="F326">
        <v>5.51</v>
      </c>
      <c r="G326">
        <v>1.0558029824763999</v>
      </c>
      <c r="H326">
        <v>1.93111852425776</v>
      </c>
      <c r="I326">
        <v>1.6414507456191001</v>
      </c>
      <c r="J326">
        <v>21.414507456191</v>
      </c>
      <c r="K326">
        <v>0.26599875718582899</v>
      </c>
      <c r="L326" t="s">
        <v>482</v>
      </c>
      <c r="M326">
        <v>5.1862633712780504</v>
      </c>
      <c r="N326">
        <v>41767041</v>
      </c>
      <c r="O326">
        <f>IFERROR(VLOOKUP($A326,Actual!$A:$D,4,FALSE),IFERROR(VLOOKUP($A326,FC!$A:$AD,29,FALSE),"Not Found"))</f>
        <v>2.8</v>
      </c>
      <c r="P326" s="5">
        <f>IFERROR(VLOOKUP($A326,Actual!$A:$D,3,FALSE),"0")</f>
        <v>1.6999999999999999E-3</v>
      </c>
    </row>
    <row r="327" spans="1:16" x14ac:dyDescent="0.2">
      <c r="A327" t="s">
        <v>142</v>
      </c>
      <c r="B327" t="s">
        <v>509</v>
      </c>
      <c r="C327" t="s">
        <v>5</v>
      </c>
      <c r="D327">
        <v>4400</v>
      </c>
      <c r="E327">
        <v>9.2721784033452401</v>
      </c>
      <c r="F327">
        <v>8.35</v>
      </c>
      <c r="G327">
        <v>0.92217840334524703</v>
      </c>
      <c r="H327">
        <v>2.1073132734875499</v>
      </c>
      <c r="I327">
        <v>2.31804460083631</v>
      </c>
      <c r="J327">
        <v>28.180446008363099</v>
      </c>
      <c r="K327">
        <v>3.83767037690943</v>
      </c>
      <c r="L327" t="s">
        <v>482</v>
      </c>
      <c r="M327">
        <v>1.9166618808098299</v>
      </c>
      <c r="N327">
        <v>41766531</v>
      </c>
      <c r="O327">
        <f>IFERROR(VLOOKUP($A327,Actual!$A:$D,4,FALSE),IFERROR(VLOOKUP($A327,FC!$A:$AD,29,FALSE),"Not Found"))</f>
        <v>7.8</v>
      </c>
      <c r="P327" s="5">
        <f>IFERROR(VLOOKUP($A327,Actual!$A:$D,3,FALSE),"0")</f>
        <v>2.0199999999999999E-2</v>
      </c>
    </row>
    <row r="328" spans="1:16" x14ac:dyDescent="0.2">
      <c r="A328" t="s">
        <v>272</v>
      </c>
      <c r="B328" t="s">
        <v>498</v>
      </c>
      <c r="C328" t="s">
        <v>5</v>
      </c>
      <c r="D328">
        <v>3000</v>
      </c>
      <c r="E328">
        <v>6.7895298577567704</v>
      </c>
      <c r="F328">
        <v>5.84</v>
      </c>
      <c r="G328">
        <v>0.94952985775677501</v>
      </c>
      <c r="H328">
        <v>2.26317661925225</v>
      </c>
      <c r="I328">
        <v>1.6973824644391899</v>
      </c>
      <c r="J328">
        <v>21.9738246443919</v>
      </c>
      <c r="K328">
        <v>1.53506815076377</v>
      </c>
      <c r="L328" t="s">
        <v>482</v>
      </c>
      <c r="M328">
        <v>2.6782435240295999</v>
      </c>
      <c r="N328">
        <v>41766599</v>
      </c>
      <c r="O328">
        <f>IFERROR(VLOOKUP($A328,Actual!$A:$D,4,FALSE),IFERROR(VLOOKUP($A328,FC!$A:$AD,29,FALSE),"Not Found"))</f>
        <v>11.5</v>
      </c>
      <c r="P328" s="5">
        <f>IFERROR(VLOOKUP($A328,Actual!$A:$D,3,FALSE),"0")</f>
        <v>8.3999999999999995E-3</v>
      </c>
    </row>
    <row r="329" spans="1:16" x14ac:dyDescent="0.2">
      <c r="A329" t="s">
        <v>425</v>
      </c>
      <c r="B329" t="s">
        <v>480</v>
      </c>
      <c r="C329" t="s">
        <v>17</v>
      </c>
      <c r="D329">
        <v>2500</v>
      </c>
      <c r="E329">
        <v>4.7304377803596704</v>
      </c>
      <c r="F329">
        <v>5.0599999999999996</v>
      </c>
      <c r="G329">
        <v>-0.329562219640328</v>
      </c>
      <c r="H329">
        <v>1.8921751121438599</v>
      </c>
      <c r="I329">
        <v>1.1826094450899101</v>
      </c>
      <c r="J329">
        <v>16.826094450899099</v>
      </c>
      <c r="K329">
        <v>0.69196823628479198</v>
      </c>
      <c r="L329" t="s">
        <v>482</v>
      </c>
      <c r="M329">
        <v>2.7958194952564299</v>
      </c>
      <c r="N329">
        <v>41767971</v>
      </c>
      <c r="O329">
        <f>IFERROR(VLOOKUP($A329,Actual!$A:$D,4,FALSE),IFERROR(VLOOKUP($A329,FC!$A:$AD,29,FALSE),"Not Found"))</f>
        <v>0</v>
      </c>
      <c r="P329" s="5">
        <f>IFERROR(VLOOKUP($A329,Actual!$A:$D,3,FALSE),"0")</f>
        <v>1.6999999999999999E-3</v>
      </c>
    </row>
    <row r="330" spans="1:16" x14ac:dyDescent="0.2">
      <c r="A330" t="s">
        <v>572</v>
      </c>
      <c r="B330" t="s">
        <v>494</v>
      </c>
      <c r="C330" t="s">
        <v>17</v>
      </c>
      <c r="D330">
        <v>2800</v>
      </c>
      <c r="E330">
        <v>5.1041326757091197</v>
      </c>
      <c r="F330">
        <v>3.98</v>
      </c>
      <c r="G330">
        <v>1.1241326757091199</v>
      </c>
      <c r="H330">
        <v>1.8229045270389701</v>
      </c>
      <c r="I330">
        <v>1.2760331689272799</v>
      </c>
      <c r="J330">
        <v>17.7603316892728</v>
      </c>
      <c r="K330">
        <v>0.69196823628479198</v>
      </c>
      <c r="L330" t="s">
        <v>482</v>
      </c>
      <c r="M330">
        <v>3.0166835087381498</v>
      </c>
      <c r="N330">
        <v>41767733</v>
      </c>
      <c r="O330">
        <f>IFERROR(VLOOKUP($A330,Actual!$A:$D,4,FALSE),IFERROR(VLOOKUP($A330,FC!$A:$AD,29,FALSE),"Not Found"))</f>
        <v>6.3</v>
      </c>
      <c r="P330" s="5" t="str">
        <f>IFERROR(VLOOKUP($A330,Actual!$A:$D,3,FALSE),"0")</f>
        <v>0</v>
      </c>
    </row>
    <row r="331" spans="1:16" x14ac:dyDescent="0.2">
      <c r="A331" t="s">
        <v>132</v>
      </c>
      <c r="B331" t="s">
        <v>490</v>
      </c>
      <c r="C331" t="s">
        <v>5</v>
      </c>
      <c r="D331">
        <v>5800</v>
      </c>
      <c r="E331">
        <v>11.907990240083601</v>
      </c>
      <c r="F331">
        <v>9.9499999999999993</v>
      </c>
      <c r="G331">
        <v>1.9579902400836899</v>
      </c>
      <c r="H331">
        <v>2.0531017655316699</v>
      </c>
      <c r="I331">
        <v>2.9769975600209202</v>
      </c>
      <c r="J331">
        <v>34.7699756002092</v>
      </c>
      <c r="K331">
        <v>3.9911771919858099</v>
      </c>
      <c r="L331" t="s">
        <v>482</v>
      </c>
      <c r="M331">
        <v>2.3858079531225602</v>
      </c>
      <c r="N331">
        <v>41766489</v>
      </c>
      <c r="O331">
        <f>IFERROR(VLOOKUP($A331,Actual!$A:$D,4,FALSE),IFERROR(VLOOKUP($A331,FC!$A:$AD,29,FALSE),"Not Found"))</f>
        <v>4.5</v>
      </c>
      <c r="P331" s="5">
        <f>IFERROR(VLOOKUP($A331,Actual!$A:$D,3,FALSE),"0")</f>
        <v>2.1899999999999999E-2</v>
      </c>
    </row>
    <row r="332" spans="1:16" x14ac:dyDescent="0.2">
      <c r="A332" t="s">
        <v>637</v>
      </c>
      <c r="B332" t="s">
        <v>510</v>
      </c>
      <c r="C332" t="s">
        <v>5</v>
      </c>
      <c r="D332">
        <v>2500</v>
      </c>
      <c r="E332">
        <v>4.1453036264674203</v>
      </c>
      <c r="F332">
        <v>3.58</v>
      </c>
      <c r="G332">
        <v>0.56530362646742605</v>
      </c>
      <c r="H332">
        <v>1.6581214505869699</v>
      </c>
      <c r="I332">
        <v>1.03632590661685</v>
      </c>
      <c r="J332">
        <v>15.363259066168499</v>
      </c>
      <c r="K332">
        <v>0.17733250479055199</v>
      </c>
      <c r="L332" t="s">
        <v>482</v>
      </c>
      <c r="M332">
        <v>3.5209285478828001</v>
      </c>
      <c r="N332">
        <v>41767251</v>
      </c>
      <c r="O332">
        <f>IFERROR(VLOOKUP($A332,Actual!$A:$D,4,FALSE),IFERROR(VLOOKUP($A332,FC!$A:$AD,29,FALSE),"Not Found"))</f>
        <v>4.3</v>
      </c>
      <c r="P332" s="5" t="str">
        <f>IFERROR(VLOOKUP($A332,Actual!$A:$D,3,FALSE),"0")</f>
        <v>0</v>
      </c>
    </row>
    <row r="333" spans="1:16" x14ac:dyDescent="0.2">
      <c r="A333" t="s">
        <v>220</v>
      </c>
      <c r="B333" t="s">
        <v>510</v>
      </c>
      <c r="C333" t="s">
        <v>17</v>
      </c>
      <c r="D333">
        <v>2700</v>
      </c>
      <c r="E333">
        <v>6.7746553838741104</v>
      </c>
      <c r="F333">
        <v>4.79</v>
      </c>
      <c r="G333">
        <v>1.9846553838741099</v>
      </c>
      <c r="H333">
        <v>2.50913162365707</v>
      </c>
      <c r="I333">
        <v>1.69366384596852</v>
      </c>
      <c r="J333">
        <v>21.936638459685199</v>
      </c>
      <c r="K333">
        <v>1.19364520759126</v>
      </c>
      <c r="L333" t="s">
        <v>482</v>
      </c>
      <c r="M333">
        <v>3.0883095226292401</v>
      </c>
      <c r="N333">
        <v>41767747</v>
      </c>
      <c r="O333">
        <f>IFERROR(VLOOKUP($A333,Actual!$A:$D,4,FALSE),IFERROR(VLOOKUP($A333,FC!$A:$AD,29,FALSE),"Not Found"))</f>
        <v>2.6</v>
      </c>
      <c r="P333" s="5">
        <f>IFERROR(VLOOKUP($A333,Actual!$A:$D,3,FALSE),"0")</f>
        <v>1.18E-2</v>
      </c>
    </row>
    <row r="334" spans="1:16" x14ac:dyDescent="0.2">
      <c r="A334" t="s">
        <v>267</v>
      </c>
      <c r="B334" t="s">
        <v>493</v>
      </c>
      <c r="C334" t="s">
        <v>10</v>
      </c>
      <c r="D334">
        <v>2700</v>
      </c>
      <c r="E334">
        <v>8.5593238523650808</v>
      </c>
      <c r="F334">
        <v>6.5</v>
      </c>
      <c r="G334">
        <v>2.0593238523650799</v>
      </c>
      <c r="H334">
        <v>3.1701199453203999</v>
      </c>
      <c r="I334">
        <v>2.1398309630912702</v>
      </c>
      <c r="J334">
        <v>26.398309630912699</v>
      </c>
      <c r="K334">
        <v>0.36707828491644301</v>
      </c>
      <c r="L334" t="s">
        <v>482</v>
      </c>
      <c r="M334">
        <v>6.2610341681260904</v>
      </c>
      <c r="N334">
        <v>41767163</v>
      </c>
      <c r="O334">
        <f>IFERROR(VLOOKUP($A334,Actual!$A:$D,4,FALSE),IFERROR(VLOOKUP($A334,FC!$A:$AD,29,FALSE),"Not Found"))</f>
        <v>2.8</v>
      </c>
      <c r="P334" s="5">
        <f>IFERROR(VLOOKUP($A334,Actual!$A:$D,3,FALSE),"0")</f>
        <v>8.3999999999999995E-3</v>
      </c>
    </row>
    <row r="335" spans="1:16" x14ac:dyDescent="0.2">
      <c r="A335" t="s">
        <v>450</v>
      </c>
      <c r="B335" t="s">
        <v>496</v>
      </c>
      <c r="C335" t="s">
        <v>5</v>
      </c>
      <c r="D335">
        <v>3000</v>
      </c>
      <c r="E335">
        <v>5.8284756310662704</v>
      </c>
      <c r="F335">
        <v>5.09</v>
      </c>
      <c r="G335">
        <v>0.73847563106627301</v>
      </c>
      <c r="H335">
        <v>1.94282521035542</v>
      </c>
      <c r="I335">
        <v>1.4571189077665601</v>
      </c>
      <c r="J335">
        <v>19.571189077665601</v>
      </c>
      <c r="K335">
        <v>1.0233787671758401</v>
      </c>
      <c r="L335" t="s">
        <v>482</v>
      </c>
      <c r="M335">
        <v>2.88056577721304</v>
      </c>
      <c r="N335">
        <v>41766601</v>
      </c>
      <c r="O335">
        <f>IFERROR(VLOOKUP($A335,Actual!$A:$D,4,FALSE),IFERROR(VLOOKUP($A335,FC!$A:$AD,29,FALSE),"Not Found"))</f>
        <v>1.3</v>
      </c>
      <c r="P335" s="5">
        <f>IFERROR(VLOOKUP($A335,Actual!$A:$D,3,FALSE),"0")</f>
        <v>1.6999999999999999E-3</v>
      </c>
    </row>
    <row r="336" spans="1:16" x14ac:dyDescent="0.2">
      <c r="A336" t="s">
        <v>177</v>
      </c>
      <c r="B336" t="s">
        <v>508</v>
      </c>
      <c r="C336" t="s">
        <v>10</v>
      </c>
      <c r="D336">
        <v>3400</v>
      </c>
      <c r="E336">
        <v>9.0585593713164396</v>
      </c>
      <c r="F336">
        <v>7.46</v>
      </c>
      <c r="G336">
        <v>1.5985593713164401</v>
      </c>
      <c r="H336">
        <v>2.6642821680342399</v>
      </c>
      <c r="I336">
        <v>2.2646398428291099</v>
      </c>
      <c r="J336">
        <v>27.6463984282911</v>
      </c>
      <c r="K336">
        <v>0.49874766972342899</v>
      </c>
      <c r="L336" t="s">
        <v>482</v>
      </c>
      <c r="M336">
        <v>6.0440857085623003</v>
      </c>
      <c r="N336">
        <v>41767039</v>
      </c>
      <c r="O336">
        <f>IFERROR(VLOOKUP($A336,Actual!$A:$D,4,FALSE),IFERROR(VLOOKUP($A336,FC!$A:$AD,29,FALSE),"Not Found"))</f>
        <v>5.8</v>
      </c>
      <c r="P336" s="5">
        <f>IFERROR(VLOOKUP($A336,Actual!$A:$D,3,FALSE),"0")</f>
        <v>1.52E-2</v>
      </c>
    </row>
    <row r="337" spans="1:16" x14ac:dyDescent="0.2">
      <c r="A337" t="s">
        <v>54</v>
      </c>
      <c r="B337" t="s">
        <v>481</v>
      </c>
      <c r="C337" t="s">
        <v>10</v>
      </c>
      <c r="D337">
        <v>9200</v>
      </c>
      <c r="E337">
        <v>20.903638572446798</v>
      </c>
      <c r="F337">
        <v>16.59</v>
      </c>
      <c r="G337">
        <v>4.3136385724468296</v>
      </c>
      <c r="H337">
        <v>2.2721346274398702</v>
      </c>
      <c r="I337">
        <v>5.2259096431116996</v>
      </c>
      <c r="J337">
        <v>57.259096431117001</v>
      </c>
      <c r="K337">
        <v>1.72899192170788</v>
      </c>
      <c r="L337" t="s">
        <v>482</v>
      </c>
      <c r="M337">
        <v>7.6598389339916704</v>
      </c>
      <c r="N337">
        <v>41766799</v>
      </c>
      <c r="O337">
        <f>IFERROR(VLOOKUP($A337,Actual!$A:$D,4,FALSE),IFERROR(VLOOKUP($A337,FC!$A:$AD,29,FALSE),"Not Found"))</f>
        <v>17.8</v>
      </c>
      <c r="P337" s="5">
        <f>IFERROR(VLOOKUP($A337,Actual!$A:$D,3,FALSE),"0")</f>
        <v>4.8800000000000003E-2</v>
      </c>
    </row>
    <row r="338" spans="1:16" x14ac:dyDescent="0.2">
      <c r="A338" t="s">
        <v>93</v>
      </c>
      <c r="B338" t="s">
        <v>478</v>
      </c>
      <c r="C338" t="s">
        <v>10</v>
      </c>
      <c r="D338">
        <v>4300</v>
      </c>
      <c r="E338">
        <v>8.00190542184178</v>
      </c>
      <c r="F338">
        <v>6.58</v>
      </c>
      <c r="G338">
        <v>1.4219054218417799</v>
      </c>
      <c r="H338">
        <v>1.86090823763762</v>
      </c>
      <c r="I338">
        <v>2.0004763554604401</v>
      </c>
      <c r="J338">
        <v>25.004763554604398</v>
      </c>
      <c r="K338">
        <v>0.79799627155748598</v>
      </c>
      <c r="L338" t="s">
        <v>482</v>
      </c>
      <c r="M338">
        <v>4.4504571830453497</v>
      </c>
      <c r="N338">
        <v>41766947</v>
      </c>
      <c r="O338">
        <f>IFERROR(VLOOKUP($A338,Actual!$A:$D,4,FALSE),IFERROR(VLOOKUP($A338,FC!$A:$AD,29,FALSE),"Not Found"))</f>
        <v>1.5</v>
      </c>
      <c r="P338" s="5">
        <f>IFERROR(VLOOKUP($A338,Actual!$A:$D,3,FALSE),"0")</f>
        <v>3.0300000000000001E-2</v>
      </c>
    </row>
    <row r="339" spans="1:16" x14ac:dyDescent="0.2">
      <c r="A339" t="s">
        <v>138</v>
      </c>
      <c r="B339" t="s">
        <v>488</v>
      </c>
      <c r="C339" t="s">
        <v>5</v>
      </c>
      <c r="D339">
        <v>5800</v>
      </c>
      <c r="E339">
        <v>11.3529344816611</v>
      </c>
      <c r="F339">
        <v>9.68</v>
      </c>
      <c r="G339">
        <v>1.67293448166119</v>
      </c>
      <c r="H339">
        <v>1.9574024968381301</v>
      </c>
      <c r="I339">
        <v>2.83823362041529</v>
      </c>
      <c r="J339">
        <v>33.382336204152899</v>
      </c>
      <c r="K339">
        <v>3.9911771919858099</v>
      </c>
      <c r="L339" t="s">
        <v>482</v>
      </c>
      <c r="M339">
        <v>2.27460056915836</v>
      </c>
      <c r="N339">
        <v>41766491</v>
      </c>
      <c r="O339">
        <f>IFERROR(VLOOKUP($A339,Actual!$A:$D,4,FALSE),IFERROR(VLOOKUP($A339,FC!$A:$AD,29,FALSE),"Not Found"))</f>
        <v>8</v>
      </c>
      <c r="P339" s="5">
        <f>IFERROR(VLOOKUP($A339,Actual!$A:$D,3,FALSE),"0")</f>
        <v>2.0199999999999999E-2</v>
      </c>
    </row>
    <row r="340" spans="1:16" x14ac:dyDescent="0.2">
      <c r="A340" t="s">
        <v>434</v>
      </c>
      <c r="B340" t="s">
        <v>490</v>
      </c>
      <c r="C340" t="s">
        <v>5</v>
      </c>
      <c r="D340">
        <v>2500</v>
      </c>
      <c r="E340">
        <v>4.3442208260645003</v>
      </c>
      <c r="F340">
        <v>3.3</v>
      </c>
      <c r="G340">
        <v>1.0442208260645001</v>
      </c>
      <c r="H340">
        <v>1.7376883304258</v>
      </c>
      <c r="I340">
        <v>1.08605520651612</v>
      </c>
      <c r="J340">
        <v>15.860552065161199</v>
      </c>
      <c r="K340">
        <v>0.17733250479055199</v>
      </c>
      <c r="L340" t="s">
        <v>482</v>
      </c>
      <c r="M340">
        <v>3.68988438558174</v>
      </c>
      <c r="N340">
        <v>41767377</v>
      </c>
      <c r="O340">
        <f>IFERROR(VLOOKUP($A340,Actual!$A:$D,4,FALSE),IFERROR(VLOOKUP($A340,FC!$A:$AD,29,FALSE),"Not Found"))</f>
        <v>1.5</v>
      </c>
      <c r="P340" s="5">
        <f>IFERROR(VLOOKUP($A340,Actual!$A:$D,3,FALSE),"0")</f>
        <v>1.6999999999999999E-3</v>
      </c>
    </row>
    <row r="341" spans="1:16" x14ac:dyDescent="0.2">
      <c r="A341" t="s">
        <v>303</v>
      </c>
      <c r="B341" t="s">
        <v>498</v>
      </c>
      <c r="C341" t="s">
        <v>5</v>
      </c>
      <c r="D341">
        <v>3600</v>
      </c>
      <c r="E341">
        <v>8.4707803423592303</v>
      </c>
      <c r="F341">
        <v>6.51</v>
      </c>
      <c r="G341">
        <v>1.96078034235923</v>
      </c>
      <c r="H341">
        <v>2.35299453954423</v>
      </c>
      <c r="I341">
        <v>2.1176950855898</v>
      </c>
      <c r="J341">
        <v>26.176950855897999</v>
      </c>
      <c r="K341">
        <v>3.5306567467566699</v>
      </c>
      <c r="L341" t="s">
        <v>482</v>
      </c>
      <c r="M341">
        <v>1.86965837754606</v>
      </c>
      <c r="N341">
        <v>41766559</v>
      </c>
      <c r="O341">
        <f>IFERROR(VLOOKUP($A341,Actual!$A:$D,4,FALSE),IFERROR(VLOOKUP($A341,FC!$A:$AD,29,FALSE),"Not Found"))</f>
        <v>4.3</v>
      </c>
      <c r="P341" s="5">
        <f>IFERROR(VLOOKUP($A341,Actual!$A:$D,3,FALSE),"0")</f>
        <v>6.7000000000000002E-3</v>
      </c>
    </row>
    <row r="342" spans="1:16" x14ac:dyDescent="0.2">
      <c r="A342" t="s">
        <v>167</v>
      </c>
      <c r="B342" t="s">
        <v>510</v>
      </c>
      <c r="C342" t="s">
        <v>5</v>
      </c>
      <c r="D342">
        <v>3800</v>
      </c>
      <c r="E342">
        <v>7.6924519695721498</v>
      </c>
      <c r="F342">
        <v>6</v>
      </c>
      <c r="G342">
        <v>1.6924519695721501</v>
      </c>
      <c r="H342">
        <v>2.02432946567688</v>
      </c>
      <c r="I342">
        <v>1.9231129923930299</v>
      </c>
      <c r="J342">
        <v>24.2311299239303</v>
      </c>
      <c r="K342">
        <v>0.79799627155748598</v>
      </c>
      <c r="L342" t="s">
        <v>482</v>
      </c>
      <c r="M342">
        <v>4.2783470084221404</v>
      </c>
      <c r="N342">
        <v>41766991</v>
      </c>
      <c r="O342">
        <f>IFERROR(VLOOKUP($A342,Actual!$A:$D,4,FALSE),IFERROR(VLOOKUP($A342,FC!$A:$AD,29,FALSE),"Not Found"))</f>
        <v>3</v>
      </c>
      <c r="P342" s="5">
        <f>IFERROR(VLOOKUP($A342,Actual!$A:$D,3,FALSE),"0")</f>
        <v>1.6799999999999999E-2</v>
      </c>
    </row>
    <row r="343" spans="1:16" x14ac:dyDescent="0.2">
      <c r="A343" t="s">
        <v>204</v>
      </c>
      <c r="B343" t="s">
        <v>483</v>
      </c>
      <c r="C343" t="s">
        <v>5</v>
      </c>
      <c r="D343">
        <v>6100</v>
      </c>
      <c r="E343">
        <v>13.8769271808015</v>
      </c>
      <c r="F343">
        <v>11.32</v>
      </c>
      <c r="G343">
        <v>2.5569271808015701</v>
      </c>
      <c r="H343">
        <v>2.2749060952133702</v>
      </c>
      <c r="I343">
        <v>3.4692317952003902</v>
      </c>
      <c r="J343">
        <v>39.692317952003897</v>
      </c>
      <c r="K343">
        <v>5.98676578797871</v>
      </c>
      <c r="L343" t="s">
        <v>479</v>
      </c>
      <c r="M343">
        <v>1.98617323120776</v>
      </c>
      <c r="N343">
        <v>41766477</v>
      </c>
      <c r="O343">
        <f>IFERROR(VLOOKUP($A343,Actual!$A:$D,4,FALSE),IFERROR(VLOOKUP($A343,FC!$A:$AD,29,FALSE),"Not Found"))</f>
        <v>5</v>
      </c>
      <c r="P343" s="5">
        <f>IFERROR(VLOOKUP($A343,Actual!$A:$D,3,FALSE),"0")</f>
        <v>1.35E-2</v>
      </c>
    </row>
    <row r="344" spans="1:16" x14ac:dyDescent="0.2">
      <c r="A344" t="s">
        <v>387</v>
      </c>
      <c r="B344" t="s">
        <v>491</v>
      </c>
      <c r="C344" t="s">
        <v>5</v>
      </c>
      <c r="D344">
        <v>3100</v>
      </c>
      <c r="E344">
        <v>5.4641936108621199</v>
      </c>
      <c r="F344">
        <v>4.8</v>
      </c>
      <c r="G344">
        <v>0.66419361086212803</v>
      </c>
      <c r="H344">
        <v>1.7626431002781</v>
      </c>
      <c r="I344">
        <v>1.36604840271553</v>
      </c>
      <c r="J344">
        <v>18.660484027155299</v>
      </c>
      <c r="K344">
        <v>0.17733250479055199</v>
      </c>
      <c r="L344" t="s">
        <v>482</v>
      </c>
      <c r="M344">
        <v>4.6411643173261403</v>
      </c>
      <c r="N344">
        <v>41767075</v>
      </c>
      <c r="O344">
        <f>IFERROR(VLOOKUP($A344,Actual!$A:$D,4,FALSE),IFERROR(VLOOKUP($A344,FC!$A:$AD,29,FALSE),"Not Found"))</f>
        <v>12.3</v>
      </c>
      <c r="P344" s="5">
        <f>IFERROR(VLOOKUP($A344,Actual!$A:$D,3,FALSE),"0")</f>
        <v>1.6999999999999999E-3</v>
      </c>
    </row>
    <row r="345" spans="1:16" x14ac:dyDescent="0.2">
      <c r="A345" t="s">
        <v>208</v>
      </c>
      <c r="B345" t="s">
        <v>506</v>
      </c>
      <c r="C345" t="s">
        <v>10</v>
      </c>
      <c r="D345">
        <v>3700</v>
      </c>
      <c r="E345">
        <v>8.3763285733919393</v>
      </c>
      <c r="F345">
        <v>6.47</v>
      </c>
      <c r="G345">
        <v>1.90632857339194</v>
      </c>
      <c r="H345">
        <v>2.2638725874032199</v>
      </c>
      <c r="I345">
        <v>2.0940821433479799</v>
      </c>
      <c r="J345">
        <v>25.940821433479801</v>
      </c>
      <c r="K345">
        <v>0.61179714152740605</v>
      </c>
      <c r="L345" t="s">
        <v>482</v>
      </c>
      <c r="M345">
        <v>5.1968875968189003</v>
      </c>
      <c r="N345">
        <v>41767011</v>
      </c>
      <c r="O345">
        <f>IFERROR(VLOOKUP($A345,Actual!$A:$D,4,FALSE),IFERROR(VLOOKUP($A345,FC!$A:$AD,29,FALSE),"Not Found"))</f>
        <v>9.5</v>
      </c>
      <c r="P345" s="5">
        <f>IFERROR(VLOOKUP($A345,Actual!$A:$D,3,FALSE),"0")</f>
        <v>1.18E-2</v>
      </c>
    </row>
    <row r="346" spans="1:16" x14ac:dyDescent="0.2">
      <c r="A346" t="s">
        <v>459</v>
      </c>
      <c r="B346" t="s">
        <v>496</v>
      </c>
      <c r="C346" t="s">
        <v>5</v>
      </c>
      <c r="D346">
        <v>3200</v>
      </c>
      <c r="E346">
        <v>6.5534886724832004</v>
      </c>
      <c r="F346">
        <v>5.61</v>
      </c>
      <c r="G346">
        <v>0.943488672483205</v>
      </c>
      <c r="H346">
        <v>2.0479652101510002</v>
      </c>
      <c r="I346">
        <v>1.6383721681208001</v>
      </c>
      <c r="J346">
        <v>21.383721681208002</v>
      </c>
      <c r="K346">
        <v>0.20393238050913501</v>
      </c>
      <c r="L346" t="s">
        <v>482</v>
      </c>
      <c r="M346">
        <v>5.4434026184358997</v>
      </c>
      <c r="N346">
        <v>41767067</v>
      </c>
      <c r="O346">
        <f>IFERROR(VLOOKUP($A346,Actual!$A:$D,4,FALSE),IFERROR(VLOOKUP($A346,FC!$A:$AD,29,FALSE),"Not Found"))</f>
        <v>7.1</v>
      </c>
      <c r="P346" s="5">
        <f>IFERROR(VLOOKUP($A346,Actual!$A:$D,3,FALSE),"0")</f>
        <v>1.6999999999999999E-3</v>
      </c>
    </row>
    <row r="347" spans="1:16" x14ac:dyDescent="0.2">
      <c r="A347" t="s">
        <v>382</v>
      </c>
      <c r="B347" t="s">
        <v>489</v>
      </c>
      <c r="C347" t="s">
        <v>17</v>
      </c>
      <c r="D347">
        <v>2800</v>
      </c>
      <c r="E347">
        <v>6.4577480279688597</v>
      </c>
      <c r="F347">
        <v>6.25</v>
      </c>
      <c r="G347">
        <v>0.20774802796886199</v>
      </c>
      <c r="H347">
        <v>2.30633858141745</v>
      </c>
      <c r="I347">
        <v>1.61443700699221</v>
      </c>
      <c r="J347">
        <v>21.1443700699221</v>
      </c>
      <c r="K347">
        <v>0.69196823628479198</v>
      </c>
      <c r="L347" t="s">
        <v>482</v>
      </c>
      <c r="M347">
        <v>3.81670760093506</v>
      </c>
      <c r="N347">
        <v>41767729</v>
      </c>
      <c r="O347">
        <f>IFERROR(VLOOKUP($A347,Actual!$A:$D,4,FALSE),IFERROR(VLOOKUP($A347,FC!$A:$AD,29,FALSE),"Not Found"))</f>
        <v>1.3</v>
      </c>
      <c r="P347" s="5">
        <f>IFERROR(VLOOKUP($A347,Actual!$A:$D,3,FALSE),"0")</f>
        <v>3.3999999999999998E-3</v>
      </c>
    </row>
    <row r="348" spans="1:16" x14ac:dyDescent="0.2">
      <c r="A348" t="s">
        <v>597</v>
      </c>
      <c r="B348" t="s">
        <v>481</v>
      </c>
      <c r="C348" t="s">
        <v>17</v>
      </c>
      <c r="D348">
        <v>2500</v>
      </c>
      <c r="E348">
        <v>4.6460553336411099</v>
      </c>
      <c r="F348">
        <v>2.81</v>
      </c>
      <c r="G348">
        <v>1.8360553336411101</v>
      </c>
      <c r="H348">
        <v>1.8584221334564399</v>
      </c>
      <c r="I348">
        <v>1.1615138334102699</v>
      </c>
      <c r="J348">
        <v>16.615138334102699</v>
      </c>
      <c r="K348">
        <v>0.69196823628479198</v>
      </c>
      <c r="L348" t="s">
        <v>482</v>
      </c>
      <c r="M348">
        <v>2.7459471365980699</v>
      </c>
      <c r="N348">
        <v>41767939</v>
      </c>
      <c r="O348">
        <f>IFERROR(VLOOKUP($A348,Actual!$A:$D,4,FALSE),IFERROR(VLOOKUP($A348,FC!$A:$AD,29,FALSE),"Not Found"))</f>
        <v>10.5</v>
      </c>
      <c r="P348" s="5" t="str">
        <f>IFERROR(VLOOKUP($A348,Actual!$A:$D,3,FALSE),"0")</f>
        <v>0</v>
      </c>
    </row>
    <row r="349" spans="1:16" x14ac:dyDescent="0.2">
      <c r="A349" t="s">
        <v>153</v>
      </c>
      <c r="B349" t="s">
        <v>478</v>
      </c>
      <c r="C349" t="s">
        <v>10</v>
      </c>
      <c r="D349">
        <v>5100</v>
      </c>
      <c r="E349">
        <v>11.457170649677501</v>
      </c>
      <c r="F349">
        <v>9.06</v>
      </c>
      <c r="G349">
        <v>2.3971706496775602</v>
      </c>
      <c r="H349">
        <v>2.2465040489563801</v>
      </c>
      <c r="I349">
        <v>2.8642926624193898</v>
      </c>
      <c r="J349">
        <v>33.642926624193898</v>
      </c>
      <c r="K349">
        <v>0.92789233131656601</v>
      </c>
      <c r="L349" t="s">
        <v>482</v>
      </c>
      <c r="M349">
        <v>5.94284777400064</v>
      </c>
      <c r="N349">
        <v>41766899</v>
      </c>
      <c r="O349">
        <f>IFERROR(VLOOKUP($A349,Actual!$A:$D,4,FALSE),IFERROR(VLOOKUP($A349,FC!$A:$AD,29,FALSE),"Not Found"))</f>
        <v>5</v>
      </c>
      <c r="P349" s="5">
        <f>IFERROR(VLOOKUP($A349,Actual!$A:$D,3,FALSE),"0")</f>
        <v>1.6799999999999999E-2</v>
      </c>
    </row>
    <row r="350" spans="1:16" x14ac:dyDescent="0.2">
      <c r="A350" t="s">
        <v>621</v>
      </c>
      <c r="B350" t="s">
        <v>487</v>
      </c>
      <c r="C350" t="s">
        <v>17</v>
      </c>
      <c r="D350">
        <v>2500</v>
      </c>
      <c r="E350">
        <v>4.3575079884884902</v>
      </c>
      <c r="F350">
        <v>3.92</v>
      </c>
      <c r="G350">
        <v>0.43750798848849398</v>
      </c>
      <c r="H350">
        <v>1.7430031953953899</v>
      </c>
      <c r="I350">
        <v>1.0893769971221201</v>
      </c>
      <c r="J350">
        <v>15.8937699712212</v>
      </c>
      <c r="K350">
        <v>0.69196823628479198</v>
      </c>
      <c r="L350" t="s">
        <v>482</v>
      </c>
      <c r="M350">
        <v>2.5754076790806999</v>
      </c>
      <c r="N350">
        <v>41768059</v>
      </c>
      <c r="O350">
        <f>IFERROR(VLOOKUP($A350,Actual!$A:$D,4,FALSE),IFERROR(VLOOKUP($A350,FC!$A:$AD,29,FALSE),"Not Found"))</f>
        <v>13.4</v>
      </c>
      <c r="P350" s="5" t="str">
        <f>IFERROR(VLOOKUP($A350,Actual!$A:$D,3,FALSE),"0")</f>
        <v>0</v>
      </c>
    </row>
    <row r="351" spans="1:16" x14ac:dyDescent="0.2">
      <c r="A351" t="s">
        <v>179</v>
      </c>
      <c r="B351" t="s">
        <v>494</v>
      </c>
      <c r="C351" t="s">
        <v>10</v>
      </c>
      <c r="D351">
        <v>5000</v>
      </c>
      <c r="E351">
        <v>10.0566188731253</v>
      </c>
      <c r="F351">
        <v>8.57</v>
      </c>
      <c r="G351">
        <v>1.4866188731253001</v>
      </c>
      <c r="H351">
        <v>2.0113237746250601</v>
      </c>
      <c r="I351">
        <v>2.5141547182813202</v>
      </c>
      <c r="J351">
        <v>30.141547182813198</v>
      </c>
      <c r="K351">
        <v>0.92789233131656601</v>
      </c>
      <c r="L351" t="s">
        <v>482</v>
      </c>
      <c r="M351">
        <v>5.2163799345877297</v>
      </c>
      <c r="N351">
        <v>41766907</v>
      </c>
      <c r="O351">
        <f>IFERROR(VLOOKUP($A351,Actual!$A:$D,4,FALSE),IFERROR(VLOOKUP($A351,FC!$A:$AD,29,FALSE),"Not Found"))</f>
        <v>0</v>
      </c>
      <c r="P351" s="5">
        <f>IFERROR(VLOOKUP($A351,Actual!$A:$D,3,FALSE),"0")</f>
        <v>1.52E-2</v>
      </c>
    </row>
    <row r="352" spans="1:16" x14ac:dyDescent="0.2">
      <c r="A352" t="s">
        <v>393</v>
      </c>
      <c r="B352" t="s">
        <v>492</v>
      </c>
      <c r="C352" t="s">
        <v>10</v>
      </c>
      <c r="D352">
        <v>2600</v>
      </c>
      <c r="E352">
        <v>5.2821482709916001</v>
      </c>
      <c r="F352">
        <v>4.9800000000000004</v>
      </c>
      <c r="G352">
        <v>0.30214827099160602</v>
      </c>
      <c r="H352">
        <v>2.0315954888429202</v>
      </c>
      <c r="I352">
        <v>1.3205370677479</v>
      </c>
      <c r="J352">
        <v>18.205370677478999</v>
      </c>
      <c r="K352">
        <v>0.78459038816815097</v>
      </c>
      <c r="L352" t="s">
        <v>482</v>
      </c>
      <c r="M352">
        <v>2.9598659199401101</v>
      </c>
      <c r="N352">
        <v>41766639</v>
      </c>
      <c r="O352">
        <f>IFERROR(VLOOKUP($A352,Actual!$A:$D,4,FALSE),IFERROR(VLOOKUP($A352,FC!$A:$AD,29,FALSE),"Not Found"))</f>
        <v>4.3</v>
      </c>
      <c r="P352" s="5">
        <f>IFERROR(VLOOKUP($A352,Actual!$A:$D,3,FALSE),"0")</f>
        <v>1.6999999999999999E-3</v>
      </c>
    </row>
    <row r="353" spans="1:16" x14ac:dyDescent="0.2">
      <c r="A353" t="s">
        <v>235</v>
      </c>
      <c r="B353" t="s">
        <v>497</v>
      </c>
      <c r="C353" t="s">
        <v>10</v>
      </c>
      <c r="D353">
        <v>4200</v>
      </c>
      <c r="E353">
        <v>8.8874615415620593</v>
      </c>
      <c r="F353">
        <v>7.54</v>
      </c>
      <c r="G353">
        <v>1.3474615415620601</v>
      </c>
      <c r="H353">
        <v>2.11606227180049</v>
      </c>
      <c r="I353">
        <v>2.2218653853905099</v>
      </c>
      <c r="J353">
        <v>27.218653853905099</v>
      </c>
      <c r="K353">
        <v>0.79799627155748598</v>
      </c>
      <c r="L353" t="s">
        <v>482</v>
      </c>
      <c r="M353">
        <v>4.9429810740727698</v>
      </c>
      <c r="N353">
        <v>41766955</v>
      </c>
      <c r="O353">
        <f>IFERROR(VLOOKUP($A353,Actual!$A:$D,4,FALSE),IFERROR(VLOOKUP($A353,FC!$A:$AD,29,FALSE),"Not Found"))</f>
        <v>14.3</v>
      </c>
      <c r="P353" s="5">
        <f>IFERROR(VLOOKUP($A353,Actual!$A:$D,3,FALSE),"0")</f>
        <v>1.01E-2</v>
      </c>
    </row>
    <row r="354" spans="1:16" x14ac:dyDescent="0.2">
      <c r="A354" t="s">
        <v>333</v>
      </c>
      <c r="B354" t="s">
        <v>500</v>
      </c>
      <c r="C354" t="s">
        <v>10</v>
      </c>
      <c r="D354">
        <v>4700</v>
      </c>
      <c r="E354">
        <v>9.3788877918102695</v>
      </c>
      <c r="F354">
        <v>7.67</v>
      </c>
      <c r="G354">
        <v>1.7088877918102701</v>
      </c>
      <c r="H354">
        <v>1.99550804081069</v>
      </c>
      <c r="I354">
        <v>2.3447219479525598</v>
      </c>
      <c r="J354">
        <v>28.4472194795256</v>
      </c>
      <c r="K354">
        <v>1.1637445626880001</v>
      </c>
      <c r="L354" t="s">
        <v>482</v>
      </c>
      <c r="M354">
        <v>4.3345633091546398</v>
      </c>
      <c r="N354">
        <v>41766923</v>
      </c>
      <c r="O354">
        <f>IFERROR(VLOOKUP($A354,Actual!$A:$D,4,FALSE),IFERROR(VLOOKUP($A354,FC!$A:$AD,29,FALSE),"Not Found"))</f>
        <v>8.6</v>
      </c>
      <c r="P354" s="5">
        <f>IFERROR(VLOOKUP($A354,Actual!$A:$D,3,FALSE),"0")</f>
        <v>3.3999999999999998E-3</v>
      </c>
    </row>
    <row r="355" spans="1:16" x14ac:dyDescent="0.2">
      <c r="A355" t="s">
        <v>567</v>
      </c>
      <c r="B355" t="s">
        <v>485</v>
      </c>
      <c r="C355" t="s">
        <v>10</v>
      </c>
      <c r="D355">
        <v>2500</v>
      </c>
      <c r="E355">
        <v>5.2057110561225404</v>
      </c>
      <c r="F355">
        <v>5.12</v>
      </c>
      <c r="G355">
        <v>8.5711056122541096E-2</v>
      </c>
      <c r="H355">
        <v>2.08228442244901</v>
      </c>
      <c r="I355">
        <v>1.30142776403063</v>
      </c>
      <c r="J355">
        <v>18.0142776403063</v>
      </c>
      <c r="K355">
        <v>0.17733250479055199</v>
      </c>
      <c r="L355" t="s">
        <v>482</v>
      </c>
      <c r="M355">
        <v>4.4216149940144804</v>
      </c>
      <c r="N355">
        <v>41767225</v>
      </c>
      <c r="O355">
        <f>IFERROR(VLOOKUP($A355,Actual!$A:$D,4,FALSE),IFERROR(VLOOKUP($A355,FC!$A:$AD,29,FALSE),"Not Found"))</f>
        <v>11.3</v>
      </c>
      <c r="P355" s="5" t="str">
        <f>IFERROR(VLOOKUP($A355,Actual!$A:$D,3,FALSE),"0")</f>
        <v>0</v>
      </c>
    </row>
    <row r="356" spans="1:16" x14ac:dyDescent="0.2">
      <c r="A356" t="s">
        <v>278</v>
      </c>
      <c r="B356" t="s">
        <v>488</v>
      </c>
      <c r="C356" t="s">
        <v>5</v>
      </c>
      <c r="D356">
        <v>2700</v>
      </c>
      <c r="E356">
        <v>4.8880433118389499</v>
      </c>
      <c r="F356">
        <v>4.3899999999999997</v>
      </c>
      <c r="G356">
        <v>0.498043311838957</v>
      </c>
      <c r="H356">
        <v>1.8103864117921999</v>
      </c>
      <c r="I356">
        <v>1.2220108279597299</v>
      </c>
      <c r="J356">
        <v>17.220108279597302</v>
      </c>
      <c r="K356">
        <v>0.22166563098819</v>
      </c>
      <c r="L356" t="s">
        <v>482</v>
      </c>
      <c r="M356">
        <v>4.0011302502510997</v>
      </c>
      <c r="N356">
        <v>41767165</v>
      </c>
      <c r="O356">
        <f>IFERROR(VLOOKUP($A356,Actual!$A:$D,4,FALSE),IFERROR(VLOOKUP($A356,FC!$A:$AD,29,FALSE),"Not Found"))</f>
        <v>3</v>
      </c>
      <c r="P356" s="5">
        <f>IFERROR(VLOOKUP($A356,Actual!$A:$D,3,FALSE),"0")</f>
        <v>8.3999999999999995E-3</v>
      </c>
    </row>
    <row r="357" spans="1:16" x14ac:dyDescent="0.2">
      <c r="A357" t="s">
        <v>448</v>
      </c>
      <c r="B357" t="s">
        <v>483</v>
      </c>
      <c r="C357" t="s">
        <v>17</v>
      </c>
      <c r="D357">
        <v>2500</v>
      </c>
      <c r="E357">
        <v>6.0545064648060896</v>
      </c>
      <c r="F357">
        <v>5.16</v>
      </c>
      <c r="G357">
        <v>0.89450646480609797</v>
      </c>
      <c r="H357">
        <v>2.4218025859224301</v>
      </c>
      <c r="I357">
        <v>1.5136266162015199</v>
      </c>
      <c r="J357">
        <v>20.1362661620152</v>
      </c>
      <c r="K357">
        <v>0.69196823628479198</v>
      </c>
      <c r="L357" t="s">
        <v>482</v>
      </c>
      <c r="M357">
        <v>3.5783806899948201</v>
      </c>
      <c r="N357">
        <v>41767881</v>
      </c>
      <c r="O357">
        <f>IFERROR(VLOOKUP($A357,Actual!$A:$D,4,FALSE),IFERROR(VLOOKUP($A357,FC!$A:$AD,29,FALSE),"Not Found"))</f>
        <v>1.3</v>
      </c>
      <c r="P357" s="5">
        <f>IFERROR(VLOOKUP($A357,Actual!$A:$D,3,FALSE),"0")</f>
        <v>1.6999999999999999E-3</v>
      </c>
    </row>
    <row r="358" spans="1:16" x14ac:dyDescent="0.2">
      <c r="A358" t="s">
        <v>128</v>
      </c>
      <c r="B358" t="s">
        <v>510</v>
      </c>
      <c r="C358" t="s">
        <v>5</v>
      </c>
      <c r="D358">
        <v>3000</v>
      </c>
      <c r="E358">
        <v>10.4547779634312</v>
      </c>
      <c r="F358">
        <v>8.4499999999999993</v>
      </c>
      <c r="G358">
        <v>2.0047779634312302</v>
      </c>
      <c r="H358">
        <v>3.48492598781041</v>
      </c>
      <c r="I358">
        <v>2.6136944908577999</v>
      </c>
      <c r="J358">
        <v>31.136944908577998</v>
      </c>
      <c r="K358">
        <v>1.5964708767943201</v>
      </c>
      <c r="L358" t="s">
        <v>482</v>
      </c>
      <c r="M358">
        <v>4.0265338836917701</v>
      </c>
      <c r="N358">
        <v>41766597</v>
      </c>
      <c r="O358">
        <f>IFERROR(VLOOKUP($A358,Actual!$A:$D,4,FALSE),IFERROR(VLOOKUP($A358,FC!$A:$AD,29,FALSE),"Not Found"))</f>
        <v>13.5</v>
      </c>
      <c r="P358" s="5">
        <f>IFERROR(VLOOKUP($A358,Actual!$A:$D,3,FALSE),"0")</f>
        <v>2.1899999999999999E-2</v>
      </c>
    </row>
    <row r="359" spans="1:16" x14ac:dyDescent="0.2">
      <c r="A359" t="s">
        <v>30</v>
      </c>
      <c r="B359" t="s">
        <v>485</v>
      </c>
      <c r="C359" t="s">
        <v>5</v>
      </c>
      <c r="D359">
        <v>3000</v>
      </c>
      <c r="E359">
        <v>6.6137305345188304</v>
      </c>
      <c r="F359">
        <v>6.19</v>
      </c>
      <c r="G359">
        <v>0.42373053451883402</v>
      </c>
      <c r="H359">
        <v>2.2045768448396101</v>
      </c>
      <c r="I359">
        <v>1.6534326336297001</v>
      </c>
      <c r="J359">
        <v>21.534326336296999</v>
      </c>
      <c r="K359">
        <v>0.78459038816815097</v>
      </c>
      <c r="L359" t="s">
        <v>482</v>
      </c>
      <c r="M359">
        <v>3.7060216049396599</v>
      </c>
      <c r="N359">
        <v>41766595</v>
      </c>
      <c r="O359">
        <f>IFERROR(VLOOKUP($A359,Actual!$A:$D,4,FALSE),IFERROR(VLOOKUP($A359,FC!$A:$AD,29,FALSE),"Not Found"))</f>
        <v>26</v>
      </c>
      <c r="P359" s="5">
        <f>IFERROR(VLOOKUP($A359,Actual!$A:$D,3,FALSE),"0")</f>
        <v>6.9000000000000006E-2</v>
      </c>
    </row>
    <row r="360" spans="1:16" x14ac:dyDescent="0.2">
      <c r="A360" t="s">
        <v>168</v>
      </c>
      <c r="B360" t="s">
        <v>481</v>
      </c>
      <c r="C360" t="s">
        <v>5</v>
      </c>
      <c r="D360">
        <v>7000</v>
      </c>
      <c r="E360">
        <v>15.041502487366399</v>
      </c>
      <c r="F360">
        <v>12.82</v>
      </c>
      <c r="G360">
        <v>2.2215024873664899</v>
      </c>
      <c r="H360">
        <v>2.1487860696237799</v>
      </c>
      <c r="I360">
        <v>3.7603756218416202</v>
      </c>
      <c r="J360">
        <v>42.603756218416201</v>
      </c>
      <c r="K360">
        <v>0.95094555693933802</v>
      </c>
      <c r="L360" t="s">
        <v>482</v>
      </c>
      <c r="M360">
        <v>7.7098525040153998</v>
      </c>
      <c r="N360">
        <v>41766821</v>
      </c>
      <c r="O360">
        <f>IFERROR(VLOOKUP($A360,Actual!$A:$D,4,FALSE),IFERROR(VLOOKUP($A360,FC!$A:$AD,29,FALSE),"Not Found"))</f>
        <v>1.5</v>
      </c>
      <c r="P360" s="5">
        <f>IFERROR(VLOOKUP($A360,Actual!$A:$D,3,FALSE),"0")</f>
        <v>1.6799999999999999E-2</v>
      </c>
    </row>
    <row r="361" spans="1:16" x14ac:dyDescent="0.2">
      <c r="A361" t="s">
        <v>219</v>
      </c>
      <c r="B361" t="s">
        <v>510</v>
      </c>
      <c r="C361" t="s">
        <v>5</v>
      </c>
      <c r="D361">
        <v>4500</v>
      </c>
      <c r="E361">
        <v>8.9327180953536995</v>
      </c>
      <c r="F361">
        <v>7.08</v>
      </c>
      <c r="G361">
        <v>1.8527180953536999</v>
      </c>
      <c r="H361">
        <v>1.9850484656341501</v>
      </c>
      <c r="I361">
        <v>2.23317952383842</v>
      </c>
      <c r="J361">
        <v>27.331795238384199</v>
      </c>
      <c r="K361">
        <v>2.7460663585885201</v>
      </c>
      <c r="L361" t="s">
        <v>482</v>
      </c>
      <c r="M361">
        <v>2.3845594926191902</v>
      </c>
      <c r="N361">
        <v>41766527</v>
      </c>
      <c r="O361">
        <f>IFERROR(VLOOKUP($A361,Actual!$A:$D,4,FALSE),IFERROR(VLOOKUP($A361,FC!$A:$AD,29,FALSE),"Not Found"))</f>
        <v>1.5</v>
      </c>
      <c r="P361" s="5">
        <f>IFERROR(VLOOKUP($A361,Actual!$A:$D,3,FALSE),"0")</f>
        <v>1.18E-2</v>
      </c>
    </row>
    <row r="362" spans="1:16" x14ac:dyDescent="0.2">
      <c r="A362" t="s">
        <v>288</v>
      </c>
      <c r="B362" t="s">
        <v>485</v>
      </c>
      <c r="C362" t="s">
        <v>5</v>
      </c>
      <c r="D362">
        <v>3000</v>
      </c>
      <c r="E362">
        <v>6.59087711964834</v>
      </c>
      <c r="F362">
        <v>5.7</v>
      </c>
      <c r="G362">
        <v>0.89087711964834504</v>
      </c>
      <c r="H362">
        <v>2.1969590398827799</v>
      </c>
      <c r="I362">
        <v>1.6477192799120799</v>
      </c>
      <c r="J362">
        <v>21.4771927991208</v>
      </c>
      <c r="K362">
        <v>0.20393238050913501</v>
      </c>
      <c r="L362" t="s">
        <v>482</v>
      </c>
      <c r="M362">
        <v>5.4744578901192904</v>
      </c>
      <c r="N362">
        <v>41767091</v>
      </c>
      <c r="O362">
        <f>IFERROR(VLOOKUP($A362,Actual!$A:$D,4,FALSE),IFERROR(VLOOKUP($A362,FC!$A:$AD,29,FALSE),"Not Found"))</f>
        <v>23</v>
      </c>
      <c r="P362" s="5">
        <f>IFERROR(VLOOKUP($A362,Actual!$A:$D,3,FALSE),"0")</f>
        <v>6.7000000000000002E-3</v>
      </c>
    </row>
    <row r="363" spans="1:16" x14ac:dyDescent="0.2">
      <c r="A363" t="s">
        <v>282</v>
      </c>
      <c r="B363" t="s">
        <v>494</v>
      </c>
      <c r="C363" t="s">
        <v>10</v>
      </c>
      <c r="D363">
        <v>3300</v>
      </c>
      <c r="E363">
        <v>6.2130824147668804</v>
      </c>
      <c r="F363">
        <v>5.1100000000000003</v>
      </c>
      <c r="G363">
        <v>1.1030824147668801</v>
      </c>
      <c r="H363">
        <v>1.8827522468990501</v>
      </c>
      <c r="I363">
        <v>1.5532706036917201</v>
      </c>
      <c r="J363">
        <v>20.532706036917201</v>
      </c>
      <c r="K363">
        <v>0.26599875718582899</v>
      </c>
      <c r="L363" t="s">
        <v>482</v>
      </c>
      <c r="M363">
        <v>4.9076528547135796</v>
      </c>
      <c r="N363">
        <v>41767053</v>
      </c>
      <c r="O363">
        <f>IFERROR(VLOOKUP($A363,Actual!$A:$D,4,FALSE),IFERROR(VLOOKUP($A363,FC!$A:$AD,29,FALSE),"Not Found"))</f>
        <v>0</v>
      </c>
      <c r="P363" s="5">
        <f>IFERROR(VLOOKUP($A363,Actual!$A:$D,3,FALSE),"0")</f>
        <v>6.7000000000000002E-3</v>
      </c>
    </row>
    <row r="364" spans="1:16" x14ac:dyDescent="0.2">
      <c r="A364" t="s">
        <v>315</v>
      </c>
      <c r="B364" t="s">
        <v>498</v>
      </c>
      <c r="C364" t="s">
        <v>10</v>
      </c>
      <c r="D364">
        <v>2800</v>
      </c>
      <c r="E364">
        <v>5.8570707150799004</v>
      </c>
      <c r="F364">
        <v>5.26</v>
      </c>
      <c r="G364">
        <v>0.59707071507990095</v>
      </c>
      <c r="H364">
        <v>2.09181096967139</v>
      </c>
      <c r="I364">
        <v>1.46426767876997</v>
      </c>
      <c r="J364">
        <v>19.642676787699699</v>
      </c>
      <c r="K364">
        <v>0.17733250479055199</v>
      </c>
      <c r="L364" t="s">
        <v>482</v>
      </c>
      <c r="M364">
        <v>4.9748653768137201</v>
      </c>
      <c r="N364">
        <v>41767135</v>
      </c>
      <c r="O364">
        <f>IFERROR(VLOOKUP($A364,Actual!$A:$D,4,FALSE),IFERROR(VLOOKUP($A364,FC!$A:$AD,29,FALSE),"Not Found"))</f>
        <v>6.3</v>
      </c>
      <c r="P364" s="5">
        <f>IFERROR(VLOOKUP($A364,Actual!$A:$D,3,FALSE),"0")</f>
        <v>5.1000000000000004E-3</v>
      </c>
    </row>
    <row r="365" spans="1:16" x14ac:dyDescent="0.2">
      <c r="A365" t="s">
        <v>24</v>
      </c>
      <c r="B365" t="s">
        <v>505</v>
      </c>
      <c r="C365" t="s">
        <v>10</v>
      </c>
      <c r="D365">
        <v>4700</v>
      </c>
      <c r="E365">
        <v>11.1804959008431</v>
      </c>
      <c r="F365">
        <v>9.18</v>
      </c>
      <c r="G365">
        <v>2.0004959008431702</v>
      </c>
      <c r="H365">
        <v>2.3788289150730102</v>
      </c>
      <c r="I365">
        <v>2.7951239752107901</v>
      </c>
      <c r="J365">
        <v>32.951239752107902</v>
      </c>
      <c r="K365">
        <v>1.99499067889371</v>
      </c>
      <c r="L365" t="s">
        <v>482</v>
      </c>
      <c r="M365">
        <v>3.7330653412827899</v>
      </c>
      <c r="N365">
        <v>41766925</v>
      </c>
      <c r="O365">
        <f>IFERROR(VLOOKUP($A365,Actual!$A:$D,4,FALSE),IFERROR(VLOOKUP($A365,FC!$A:$AD,29,FALSE),"Not Found"))</f>
        <v>5</v>
      </c>
      <c r="P365" s="5">
        <f>IFERROR(VLOOKUP($A365,Actual!$A:$D,3,FALSE),"0")</f>
        <v>8.2500000000000004E-2</v>
      </c>
    </row>
    <row r="366" spans="1:16" x14ac:dyDescent="0.2">
      <c r="A366" t="s">
        <v>163</v>
      </c>
      <c r="B366" t="s">
        <v>486</v>
      </c>
      <c r="C366" t="s">
        <v>10</v>
      </c>
      <c r="D366">
        <v>3400</v>
      </c>
      <c r="E366">
        <v>10.101788537711201</v>
      </c>
      <c r="F366">
        <v>7.52</v>
      </c>
      <c r="G366">
        <v>2.5817885377112102</v>
      </c>
      <c r="H366">
        <v>2.9711142757974098</v>
      </c>
      <c r="I366">
        <v>2.5254471344278002</v>
      </c>
      <c r="J366">
        <v>30.254471344277999</v>
      </c>
      <c r="K366">
        <v>0.47720177039137701</v>
      </c>
      <c r="L366" t="s">
        <v>482</v>
      </c>
      <c r="M366">
        <v>6.8384622467889304</v>
      </c>
      <c r="N366">
        <v>41767045</v>
      </c>
      <c r="O366">
        <f>IFERROR(VLOOKUP($A366,Actual!$A:$D,4,FALSE),IFERROR(VLOOKUP($A366,FC!$A:$AD,29,FALSE),"Not Found"))</f>
        <v>19.5</v>
      </c>
      <c r="P366" s="5">
        <f>IFERROR(VLOOKUP($A366,Actual!$A:$D,3,FALSE),"0")</f>
        <v>1.6799999999999999E-2</v>
      </c>
    </row>
    <row r="367" spans="1:16" x14ac:dyDescent="0.2">
      <c r="A367" t="s">
        <v>548</v>
      </c>
      <c r="B367" t="s">
        <v>501</v>
      </c>
      <c r="C367" t="s">
        <v>17</v>
      </c>
      <c r="D367">
        <v>3000</v>
      </c>
      <c r="E367">
        <v>5.5263374411257198</v>
      </c>
      <c r="F367">
        <v>4.24</v>
      </c>
      <c r="G367">
        <v>1.28633744112572</v>
      </c>
      <c r="H367">
        <v>1.84211248037524</v>
      </c>
      <c r="I367">
        <v>1.3815843602814299</v>
      </c>
      <c r="J367">
        <v>18.815843602814301</v>
      </c>
      <c r="K367">
        <v>0.79576347172751105</v>
      </c>
      <c r="L367" t="s">
        <v>482</v>
      </c>
      <c r="M367">
        <v>3.0774305904604602</v>
      </c>
      <c r="N367">
        <v>41767701</v>
      </c>
      <c r="O367">
        <f>IFERROR(VLOOKUP($A367,Actual!$A:$D,4,FALSE),IFERROR(VLOOKUP($A367,FC!$A:$AD,29,FALSE),"Not Found"))</f>
        <v>0</v>
      </c>
      <c r="P367" s="5" t="str">
        <f>IFERROR(VLOOKUP($A367,Actual!$A:$D,3,FALSE),"0")</f>
        <v>0</v>
      </c>
    </row>
    <row r="368" spans="1:16" x14ac:dyDescent="0.2">
      <c r="A368" t="s">
        <v>294</v>
      </c>
      <c r="B368" t="s">
        <v>509</v>
      </c>
      <c r="C368" t="s">
        <v>17</v>
      </c>
      <c r="D368">
        <v>3100</v>
      </c>
      <c r="E368">
        <v>5.5894783380981004</v>
      </c>
      <c r="F368">
        <v>6.14</v>
      </c>
      <c r="G368">
        <v>-0.550521661901895</v>
      </c>
      <c r="H368">
        <v>1.80305752841874</v>
      </c>
      <c r="I368">
        <v>1.39736958452452</v>
      </c>
      <c r="J368">
        <v>18.973695845245199</v>
      </c>
      <c r="K368">
        <v>0.69196823628479198</v>
      </c>
      <c r="L368" t="s">
        <v>482</v>
      </c>
      <c r="M368">
        <v>3.3035362119867102</v>
      </c>
      <c r="N368">
        <v>41767673</v>
      </c>
      <c r="O368">
        <f>IFERROR(VLOOKUP($A368,Actual!$A:$D,4,FALSE),IFERROR(VLOOKUP($A368,FC!$A:$AD,29,FALSE),"Not Found"))</f>
        <v>5.6</v>
      </c>
      <c r="P368" s="5">
        <f>IFERROR(VLOOKUP($A368,Actual!$A:$D,3,FALSE),"0")</f>
        <v>6.7000000000000002E-3</v>
      </c>
    </row>
    <row r="369" spans="1:16" x14ac:dyDescent="0.2">
      <c r="A369" t="s">
        <v>522</v>
      </c>
      <c r="B369" t="s">
        <v>499</v>
      </c>
      <c r="C369" t="s">
        <v>5</v>
      </c>
      <c r="D369">
        <v>2500</v>
      </c>
      <c r="E369">
        <v>6.9287910359868796</v>
      </c>
      <c r="F369">
        <v>5.65</v>
      </c>
      <c r="G369">
        <v>1.2787910359868799</v>
      </c>
      <c r="H369">
        <v>2.7715164143947502</v>
      </c>
      <c r="I369">
        <v>1.7321977589967199</v>
      </c>
      <c r="J369">
        <v>22.321977589967201</v>
      </c>
      <c r="K369">
        <v>0.26599875718582899</v>
      </c>
      <c r="L369" t="s">
        <v>482</v>
      </c>
      <c r="M369">
        <v>5.4729840741619604</v>
      </c>
      <c r="N369">
        <v>41767411</v>
      </c>
      <c r="O369">
        <f>IFERROR(VLOOKUP($A369,Actual!$A:$D,4,FALSE),IFERROR(VLOOKUP($A369,FC!$A:$AD,29,FALSE),"Not Found"))</f>
        <v>20</v>
      </c>
      <c r="P369" s="5" t="str">
        <f>IFERROR(VLOOKUP($A369,Actual!$A:$D,3,FALSE),"0")</f>
        <v>0</v>
      </c>
    </row>
    <row r="370" spans="1:16" x14ac:dyDescent="0.2">
      <c r="A370" t="s">
        <v>559</v>
      </c>
      <c r="B370" t="s">
        <v>484</v>
      </c>
      <c r="C370" t="s">
        <v>17</v>
      </c>
      <c r="D370">
        <v>2500</v>
      </c>
      <c r="E370">
        <v>5.3130585550640204</v>
      </c>
      <c r="F370">
        <v>3.68</v>
      </c>
      <c r="G370">
        <v>1.63305855506402</v>
      </c>
      <c r="H370">
        <v>2.1252234220255999</v>
      </c>
      <c r="I370">
        <v>1.328264638766</v>
      </c>
      <c r="J370">
        <v>18.282646387660002</v>
      </c>
      <c r="K370">
        <v>0.69196823628479198</v>
      </c>
      <c r="L370" t="s">
        <v>482</v>
      </c>
      <c r="M370">
        <v>3.1401644789327601</v>
      </c>
      <c r="N370">
        <v>41768041</v>
      </c>
      <c r="O370">
        <f>IFERROR(VLOOKUP($A370,Actual!$A:$D,4,FALSE),IFERROR(VLOOKUP($A370,FC!$A:$AD,29,FALSE),"Not Found"))</f>
        <v>9.3000000000000007</v>
      </c>
      <c r="P370" s="5" t="str">
        <f>IFERROR(VLOOKUP($A370,Actual!$A:$D,3,FALSE),"0")</f>
        <v>0</v>
      </c>
    </row>
    <row r="371" spans="1:16" x14ac:dyDescent="0.2">
      <c r="A371" t="s">
        <v>610</v>
      </c>
      <c r="B371" t="s">
        <v>483</v>
      </c>
      <c r="C371" t="s">
        <v>10</v>
      </c>
      <c r="D371">
        <v>2600</v>
      </c>
      <c r="E371">
        <v>4.4663455531056897</v>
      </c>
      <c r="F371">
        <v>3.56</v>
      </c>
      <c r="G371">
        <v>0.90634555310569698</v>
      </c>
      <c r="H371">
        <v>1.7178252127329601</v>
      </c>
      <c r="I371">
        <v>1.11658638827642</v>
      </c>
      <c r="J371">
        <v>16.165863882764199</v>
      </c>
      <c r="K371">
        <v>0.17733250479055199</v>
      </c>
      <c r="L371" t="s">
        <v>482</v>
      </c>
      <c r="M371">
        <v>3.7936144079367402</v>
      </c>
      <c r="N371">
        <v>41767179</v>
      </c>
      <c r="O371">
        <f>IFERROR(VLOOKUP($A371,Actual!$A:$D,4,FALSE),IFERROR(VLOOKUP($A371,FC!$A:$AD,29,FALSE),"Not Found"))</f>
        <v>17.8</v>
      </c>
      <c r="P371" s="5" t="str">
        <f>IFERROR(VLOOKUP($A371,Actual!$A:$D,3,FALSE),"0")</f>
        <v>0</v>
      </c>
    </row>
    <row r="372" spans="1:16" x14ac:dyDescent="0.2">
      <c r="A372" t="s">
        <v>406</v>
      </c>
      <c r="B372" t="s">
        <v>497</v>
      </c>
      <c r="C372" t="s">
        <v>5</v>
      </c>
      <c r="D372">
        <v>2700</v>
      </c>
      <c r="E372">
        <v>6.11461298869333</v>
      </c>
      <c r="F372">
        <v>6.35</v>
      </c>
      <c r="G372">
        <v>-0.23538701130666301</v>
      </c>
      <c r="H372">
        <v>2.2646714772938199</v>
      </c>
      <c r="I372">
        <v>1.5286532471733301</v>
      </c>
      <c r="J372">
        <v>20.286532471733299</v>
      </c>
      <c r="K372">
        <v>0.17733250479055199</v>
      </c>
      <c r="L372" t="s">
        <v>482</v>
      </c>
      <c r="M372">
        <v>5.1936160462851699</v>
      </c>
      <c r="N372">
        <v>41767151</v>
      </c>
      <c r="O372">
        <f>IFERROR(VLOOKUP($A372,Actual!$A:$D,4,FALSE),IFERROR(VLOOKUP($A372,FC!$A:$AD,29,FALSE),"Not Found"))</f>
        <v>17.8</v>
      </c>
      <c r="P372" s="5">
        <f>IFERROR(VLOOKUP($A372,Actual!$A:$D,3,FALSE),"0")</f>
        <v>1.6999999999999999E-3</v>
      </c>
    </row>
    <row r="373" spans="1:16" x14ac:dyDescent="0.2">
      <c r="A373" t="s">
        <v>229</v>
      </c>
      <c r="B373" t="s">
        <v>505</v>
      </c>
      <c r="C373" t="s">
        <v>10</v>
      </c>
      <c r="D373">
        <v>3500</v>
      </c>
      <c r="E373">
        <v>7.1983516438695503</v>
      </c>
      <c r="F373">
        <v>5.59</v>
      </c>
      <c r="G373">
        <v>1.60835164386955</v>
      </c>
      <c r="H373">
        <v>2.0566718982484402</v>
      </c>
      <c r="I373">
        <v>1.79958791096738</v>
      </c>
      <c r="J373">
        <v>22.995879109673801</v>
      </c>
      <c r="K373">
        <v>0.61179714152740605</v>
      </c>
      <c r="L373" t="s">
        <v>482</v>
      </c>
      <c r="M373">
        <v>4.4660407059961003</v>
      </c>
      <c r="N373">
        <v>41767027</v>
      </c>
      <c r="O373">
        <f>IFERROR(VLOOKUP($A373,Actual!$A:$D,4,FALSE),IFERROR(VLOOKUP($A373,FC!$A:$AD,29,FALSE),"Not Found"))</f>
        <v>1.5</v>
      </c>
      <c r="P373" s="5">
        <f>IFERROR(VLOOKUP($A373,Actual!$A:$D,3,FALSE),"0")</f>
        <v>1.01E-2</v>
      </c>
    </row>
    <row r="374" spans="1:16" x14ac:dyDescent="0.2">
      <c r="A374" t="s">
        <v>124</v>
      </c>
      <c r="B374" t="s">
        <v>486</v>
      </c>
      <c r="C374" t="s">
        <v>10</v>
      </c>
      <c r="D374">
        <v>4900</v>
      </c>
      <c r="E374">
        <v>11.5463345178298</v>
      </c>
      <c r="F374">
        <v>8.81</v>
      </c>
      <c r="G374">
        <v>2.7363345178298699</v>
      </c>
      <c r="H374">
        <v>2.3563947995571102</v>
      </c>
      <c r="I374">
        <v>2.88658362945747</v>
      </c>
      <c r="J374">
        <v>33.865836294574699</v>
      </c>
      <c r="K374">
        <v>1.8154415177932799</v>
      </c>
      <c r="L374" t="s">
        <v>482</v>
      </c>
      <c r="M374">
        <v>4.1010741813880003</v>
      </c>
      <c r="N374">
        <v>41766915</v>
      </c>
      <c r="O374">
        <f>IFERROR(VLOOKUP($A374,Actual!$A:$D,4,FALSE),IFERROR(VLOOKUP($A374,FC!$A:$AD,29,FALSE),"Not Found"))</f>
        <v>4.0999999999999996</v>
      </c>
      <c r="P374" s="5">
        <f>IFERROR(VLOOKUP($A374,Actual!$A:$D,3,FALSE),"0")</f>
        <v>2.3599999999999999E-2</v>
      </c>
    </row>
    <row r="375" spans="1:16" x14ac:dyDescent="0.2">
      <c r="A375" t="s">
        <v>331</v>
      </c>
      <c r="B375" t="s">
        <v>486</v>
      </c>
      <c r="C375" t="s">
        <v>17</v>
      </c>
      <c r="D375">
        <v>2600</v>
      </c>
      <c r="E375">
        <v>5.78506474526188</v>
      </c>
      <c r="F375">
        <v>4.9800000000000004</v>
      </c>
      <c r="G375">
        <v>0.80506474526187999</v>
      </c>
      <c r="H375">
        <v>2.2250249020238</v>
      </c>
      <c r="I375">
        <v>1.44626618631547</v>
      </c>
      <c r="J375">
        <v>19.4626618631547</v>
      </c>
      <c r="K375">
        <v>0.69196823628479198</v>
      </c>
      <c r="L375" t="s">
        <v>482</v>
      </c>
      <c r="M375">
        <v>3.4191331853632598</v>
      </c>
      <c r="N375">
        <v>41767781</v>
      </c>
      <c r="O375">
        <f>IFERROR(VLOOKUP($A375,Actual!$A:$D,4,FALSE),IFERROR(VLOOKUP($A375,FC!$A:$AD,29,FALSE),"Not Found"))</f>
        <v>5.6</v>
      </c>
      <c r="P375" s="5">
        <f>IFERROR(VLOOKUP($A375,Actual!$A:$D,3,FALSE),"0")</f>
        <v>3.3999999999999998E-3</v>
      </c>
    </row>
    <row r="376" spans="1:16" x14ac:dyDescent="0.2">
      <c r="A376" t="s">
        <v>255</v>
      </c>
      <c r="B376" t="s">
        <v>498</v>
      </c>
      <c r="C376" t="s">
        <v>10</v>
      </c>
      <c r="D376">
        <v>3900</v>
      </c>
      <c r="E376">
        <v>7.8461146034387497</v>
      </c>
      <c r="F376">
        <v>6.5</v>
      </c>
      <c r="G376">
        <v>1.3461146034387499</v>
      </c>
      <c r="H376">
        <v>2.01182425729198</v>
      </c>
      <c r="I376">
        <v>1.9615286508596801</v>
      </c>
      <c r="J376">
        <v>24.6152865085968</v>
      </c>
      <c r="K376">
        <v>0.61179714152740605</v>
      </c>
      <c r="L376" t="s">
        <v>482</v>
      </c>
      <c r="M376">
        <v>4.8679293450064298</v>
      </c>
      <c r="N376">
        <v>41766981</v>
      </c>
      <c r="O376">
        <f>IFERROR(VLOOKUP($A376,Actual!$A:$D,4,FALSE),IFERROR(VLOOKUP($A376,FC!$A:$AD,29,FALSE),"Not Found"))</f>
        <v>1.5</v>
      </c>
      <c r="P376" s="5">
        <f>IFERROR(VLOOKUP($A376,Actual!$A:$D,3,FALSE),"0")</f>
        <v>8.3999999999999995E-3</v>
      </c>
    </row>
    <row r="377" spans="1:16" x14ac:dyDescent="0.2">
      <c r="A377" t="s">
        <v>372</v>
      </c>
      <c r="B377" t="s">
        <v>510</v>
      </c>
      <c r="C377" t="s">
        <v>10</v>
      </c>
      <c r="D377">
        <v>3400</v>
      </c>
      <c r="E377">
        <v>6.9468378933630301</v>
      </c>
      <c r="F377">
        <v>5.41</v>
      </c>
      <c r="G377">
        <v>1.53683789336303</v>
      </c>
      <c r="H377">
        <v>2.0431876156950102</v>
      </c>
      <c r="I377">
        <v>1.73670947334075</v>
      </c>
      <c r="J377">
        <v>22.367094733407502</v>
      </c>
      <c r="K377">
        <v>0.17733250479055199</v>
      </c>
      <c r="L377" t="s">
        <v>482</v>
      </c>
      <c r="M377">
        <v>5.90048933932973</v>
      </c>
      <c r="N377">
        <v>41767033</v>
      </c>
      <c r="O377">
        <f>IFERROR(VLOOKUP($A377,Actual!$A:$D,4,FALSE),IFERROR(VLOOKUP($A377,FC!$A:$AD,29,FALSE),"Not Found"))</f>
        <v>10</v>
      </c>
      <c r="P377" s="5">
        <f>IFERROR(VLOOKUP($A377,Actual!$A:$D,3,FALSE),"0")</f>
        <v>3.3999999999999998E-3</v>
      </c>
    </row>
    <row r="378" spans="1:16" x14ac:dyDescent="0.2">
      <c r="A378" t="s">
        <v>553</v>
      </c>
      <c r="B378" t="s">
        <v>508</v>
      </c>
      <c r="C378" t="s">
        <v>10</v>
      </c>
      <c r="D378">
        <v>3100</v>
      </c>
      <c r="E378">
        <v>5.44471365827801</v>
      </c>
      <c r="F378">
        <v>4.4400000000000004</v>
      </c>
      <c r="G378">
        <v>1.0047136582780101</v>
      </c>
      <c r="H378">
        <v>1.7563592446058101</v>
      </c>
      <c r="I378">
        <v>1.3611784145695001</v>
      </c>
      <c r="J378">
        <v>18.611784145695001</v>
      </c>
      <c r="K378">
        <v>0.20393238050913501</v>
      </c>
      <c r="L378" t="s">
        <v>482</v>
      </c>
      <c r="M378">
        <v>4.5224414148371697</v>
      </c>
      <c r="N378">
        <v>41767083</v>
      </c>
      <c r="O378">
        <f>IFERROR(VLOOKUP($A378,Actual!$A:$D,4,FALSE),IFERROR(VLOOKUP($A378,FC!$A:$AD,29,FALSE),"Not Found"))</f>
        <v>3</v>
      </c>
      <c r="P378" s="5" t="str">
        <f>IFERROR(VLOOKUP($A378,Actual!$A:$D,3,FALSE),"0")</f>
        <v>0</v>
      </c>
    </row>
    <row r="379" spans="1:16" x14ac:dyDescent="0.2">
      <c r="A379" t="s">
        <v>462</v>
      </c>
      <c r="B379" t="s">
        <v>496</v>
      </c>
      <c r="C379" t="s">
        <v>5</v>
      </c>
      <c r="D379">
        <v>2500</v>
      </c>
      <c r="E379">
        <v>4.6174121026926898</v>
      </c>
      <c r="F379">
        <v>4.42</v>
      </c>
      <c r="G379">
        <v>0.19741210269269399</v>
      </c>
      <c r="H379">
        <v>1.84696484107707</v>
      </c>
      <c r="I379">
        <v>1.15435302567317</v>
      </c>
      <c r="J379">
        <v>16.5435302567317</v>
      </c>
      <c r="K379">
        <v>0.68225251145056598</v>
      </c>
      <c r="L379" t="s">
        <v>482</v>
      </c>
      <c r="M379">
        <v>2.7447794378450401</v>
      </c>
      <c r="N379">
        <v>41766713</v>
      </c>
      <c r="O379">
        <f>IFERROR(VLOOKUP($A379,Actual!$A:$D,4,FALSE),IFERROR(VLOOKUP($A379,FC!$A:$AD,29,FALSE),"Not Found"))</f>
        <v>5.8</v>
      </c>
      <c r="P379" s="5">
        <f>IFERROR(VLOOKUP($A379,Actual!$A:$D,3,FALSE),"0")</f>
        <v>1.6999999999999999E-3</v>
      </c>
    </row>
    <row r="380" spans="1:16" x14ac:dyDescent="0.2">
      <c r="A380" t="s">
        <v>246</v>
      </c>
      <c r="B380" t="s">
        <v>497</v>
      </c>
      <c r="C380" t="s">
        <v>5</v>
      </c>
      <c r="D380">
        <v>4000</v>
      </c>
      <c r="E380">
        <v>8.1246838778185708</v>
      </c>
      <c r="F380">
        <v>8.15</v>
      </c>
      <c r="G380">
        <v>-2.5316122181427699E-2</v>
      </c>
      <c r="H380">
        <v>2.03117096945464</v>
      </c>
      <c r="I380">
        <v>2.03117096945464</v>
      </c>
      <c r="J380">
        <v>25.311709694546401</v>
      </c>
      <c r="K380">
        <v>2.3537711645044501</v>
      </c>
      <c r="L380" t="s">
        <v>482</v>
      </c>
      <c r="M380">
        <v>2.4225516528403501</v>
      </c>
      <c r="N380">
        <v>41766541</v>
      </c>
      <c r="O380">
        <f>IFERROR(VLOOKUP($A380,Actual!$A:$D,4,FALSE),IFERROR(VLOOKUP($A380,FC!$A:$AD,29,FALSE),"Not Found"))</f>
        <v>13.3</v>
      </c>
      <c r="P380" s="5">
        <f>IFERROR(VLOOKUP($A380,Actual!$A:$D,3,FALSE),"0")</f>
        <v>1.01E-2</v>
      </c>
    </row>
    <row r="381" spans="1:16" x14ac:dyDescent="0.2">
      <c r="A381" t="s">
        <v>309</v>
      </c>
      <c r="B381" t="s">
        <v>483</v>
      </c>
      <c r="C381" t="s">
        <v>10</v>
      </c>
      <c r="D381">
        <v>3100</v>
      </c>
      <c r="E381">
        <v>5.8817100903255701</v>
      </c>
      <c r="F381">
        <v>4.08</v>
      </c>
      <c r="G381">
        <v>1.8017100903255701</v>
      </c>
      <c r="H381">
        <v>1.89732583558889</v>
      </c>
      <c r="I381">
        <v>1.4704275225813901</v>
      </c>
      <c r="J381">
        <v>19.704275225813898</v>
      </c>
      <c r="K381">
        <v>0.22166563098819</v>
      </c>
      <c r="L381" t="s">
        <v>482</v>
      </c>
      <c r="M381">
        <v>4.8145007448297603</v>
      </c>
      <c r="N381">
        <v>41767081</v>
      </c>
      <c r="O381">
        <f>IFERROR(VLOOKUP($A381,Actual!$A:$D,4,FALSE),IFERROR(VLOOKUP($A381,FC!$A:$AD,29,FALSE),"Not Found"))</f>
        <v>12</v>
      </c>
      <c r="P381" s="5">
        <f>IFERROR(VLOOKUP($A381,Actual!$A:$D,3,FALSE),"0")</f>
        <v>5.1000000000000004E-3</v>
      </c>
    </row>
    <row r="382" spans="1:16" x14ac:dyDescent="0.2">
      <c r="A382" t="s">
        <v>326</v>
      </c>
      <c r="B382" t="s">
        <v>478</v>
      </c>
      <c r="C382" t="s">
        <v>5</v>
      </c>
      <c r="D382">
        <v>3000</v>
      </c>
      <c r="E382">
        <v>5.5444759278841298</v>
      </c>
      <c r="F382">
        <v>5.19</v>
      </c>
      <c r="G382">
        <v>0.35447592788413101</v>
      </c>
      <c r="H382">
        <v>1.8481586426280401</v>
      </c>
      <c r="I382">
        <v>1.38611898197103</v>
      </c>
      <c r="J382">
        <v>18.861189819710301</v>
      </c>
      <c r="K382">
        <v>0.68225251145056598</v>
      </c>
      <c r="L382" t="s">
        <v>482</v>
      </c>
      <c r="M382">
        <v>3.2958642594643899</v>
      </c>
      <c r="N382">
        <v>41766593</v>
      </c>
      <c r="O382">
        <f>IFERROR(VLOOKUP($A382,Actual!$A:$D,4,FALSE),IFERROR(VLOOKUP($A382,FC!$A:$AD,29,FALSE),"Not Found"))</f>
        <v>5</v>
      </c>
      <c r="P382" s="5">
        <f>IFERROR(VLOOKUP($A382,Actual!$A:$D,3,FALSE),"0")</f>
        <v>5.1000000000000004E-3</v>
      </c>
    </row>
    <row r="383" spans="1:16" x14ac:dyDescent="0.2">
      <c r="A383" t="s">
        <v>285</v>
      </c>
      <c r="B383" t="s">
        <v>480</v>
      </c>
      <c r="C383" t="s">
        <v>5</v>
      </c>
      <c r="D383">
        <v>3700</v>
      </c>
      <c r="E383">
        <v>9.2648933716763704</v>
      </c>
      <c r="F383">
        <v>7.54</v>
      </c>
      <c r="G383">
        <v>1.7248933716763699</v>
      </c>
      <c r="H383">
        <v>2.5040252355882</v>
      </c>
      <c r="I383">
        <v>2.3162233429190899</v>
      </c>
      <c r="J383">
        <v>28.162233429190898</v>
      </c>
      <c r="K383">
        <v>0.91769571229110902</v>
      </c>
      <c r="L383" t="s">
        <v>482</v>
      </c>
      <c r="M383">
        <v>4.8312635379506599</v>
      </c>
      <c r="N383">
        <v>41767009</v>
      </c>
      <c r="O383">
        <f>IFERROR(VLOOKUP($A383,Actual!$A:$D,4,FALSE),IFERROR(VLOOKUP($A383,FC!$A:$AD,29,FALSE),"Not Found"))</f>
        <v>1.5</v>
      </c>
      <c r="P383" s="5">
        <f>IFERROR(VLOOKUP($A383,Actual!$A:$D,3,FALSE),"0")</f>
        <v>6.7000000000000002E-3</v>
      </c>
    </row>
    <row r="384" spans="1:16" x14ac:dyDescent="0.2">
      <c r="A384" t="s">
        <v>547</v>
      </c>
      <c r="B384" t="s">
        <v>489</v>
      </c>
      <c r="C384" t="s">
        <v>17</v>
      </c>
      <c r="D384">
        <v>2500</v>
      </c>
      <c r="E384">
        <v>5.60154575572962</v>
      </c>
      <c r="F384">
        <v>4.8499999999999996</v>
      </c>
      <c r="G384">
        <v>0.75154575572962101</v>
      </c>
      <c r="H384">
        <v>2.24061830229184</v>
      </c>
      <c r="I384">
        <v>1.4003864389323999</v>
      </c>
      <c r="J384">
        <v>19.003864389324001</v>
      </c>
      <c r="K384">
        <v>0.69196823628479198</v>
      </c>
      <c r="L384" t="s">
        <v>482</v>
      </c>
      <c r="M384">
        <v>3.3106683893956701</v>
      </c>
      <c r="N384">
        <v>41767855</v>
      </c>
      <c r="O384">
        <f>IFERROR(VLOOKUP($A384,Actual!$A:$D,4,FALSE),IFERROR(VLOOKUP($A384,FC!$A:$AD,29,FALSE),"Not Found"))</f>
        <v>2.8</v>
      </c>
      <c r="P384" s="5" t="str">
        <f>IFERROR(VLOOKUP($A384,Actual!$A:$D,3,FALSE),"0")</f>
        <v>0</v>
      </c>
    </row>
    <row r="385" spans="1:16" x14ac:dyDescent="0.2">
      <c r="A385" t="s">
        <v>151</v>
      </c>
      <c r="B385" t="s">
        <v>504</v>
      </c>
      <c r="C385" t="s">
        <v>10</v>
      </c>
      <c r="D385">
        <v>3600</v>
      </c>
      <c r="E385">
        <v>8.3385909454685194</v>
      </c>
      <c r="F385">
        <v>7.2</v>
      </c>
      <c r="G385">
        <v>1.1385909454685199</v>
      </c>
      <c r="H385">
        <v>2.3162752626301399</v>
      </c>
      <c r="I385">
        <v>2.0846477363671299</v>
      </c>
      <c r="J385">
        <v>25.846477363671301</v>
      </c>
      <c r="K385">
        <v>0.76474642690925798</v>
      </c>
      <c r="L385" t="s">
        <v>482</v>
      </c>
      <c r="M385">
        <v>4.7250929755798197</v>
      </c>
      <c r="N385">
        <v>41767013</v>
      </c>
      <c r="O385">
        <f>IFERROR(VLOOKUP($A385,Actual!$A:$D,4,FALSE),IFERROR(VLOOKUP($A385,FC!$A:$AD,29,FALSE),"Not Found"))</f>
        <v>19</v>
      </c>
      <c r="P385" s="5">
        <f>IFERROR(VLOOKUP($A385,Actual!$A:$D,3,FALSE),"0")</f>
        <v>1.8499999999999999E-2</v>
      </c>
    </row>
    <row r="386" spans="1:16" x14ac:dyDescent="0.2">
      <c r="A386" t="s">
        <v>571</v>
      </c>
      <c r="B386" t="s">
        <v>485</v>
      </c>
      <c r="C386" t="s">
        <v>5</v>
      </c>
      <c r="D386">
        <v>2500</v>
      </c>
      <c r="E386">
        <v>5.12495410277453</v>
      </c>
      <c r="F386">
        <v>5.23</v>
      </c>
      <c r="G386">
        <v>-0.105045897225468</v>
      </c>
      <c r="H386">
        <v>2.04998164110981</v>
      </c>
      <c r="I386">
        <v>1.2812385256936301</v>
      </c>
      <c r="J386">
        <v>17.812385256936299</v>
      </c>
      <c r="K386">
        <v>0.17733250479055199</v>
      </c>
      <c r="L386" t="s">
        <v>482</v>
      </c>
      <c r="M386">
        <v>4.3530218370096296</v>
      </c>
      <c r="N386">
        <v>41767223</v>
      </c>
      <c r="O386">
        <f>IFERROR(VLOOKUP($A386,Actual!$A:$D,4,FALSE),IFERROR(VLOOKUP($A386,FC!$A:$AD,29,FALSE),"Not Found"))</f>
        <v>3</v>
      </c>
      <c r="P386" s="5" t="str">
        <f>IFERROR(VLOOKUP($A386,Actual!$A:$D,3,FALSE),"0")</f>
        <v>0</v>
      </c>
    </row>
    <row r="387" spans="1:16" x14ac:dyDescent="0.2">
      <c r="A387" t="s">
        <v>45</v>
      </c>
      <c r="B387" t="s">
        <v>506</v>
      </c>
      <c r="C387" t="s">
        <v>5</v>
      </c>
      <c r="D387">
        <v>5100</v>
      </c>
      <c r="E387">
        <v>11.206992694298</v>
      </c>
      <c r="F387">
        <v>9.93</v>
      </c>
      <c r="G387">
        <v>1.2769926942980601</v>
      </c>
      <c r="H387">
        <v>2.1974495479015799</v>
      </c>
      <c r="I387">
        <v>2.8017481735745098</v>
      </c>
      <c r="J387">
        <v>33.0174817357451</v>
      </c>
      <c r="K387">
        <v>1.2102943451955199</v>
      </c>
      <c r="L387" t="s">
        <v>482</v>
      </c>
      <c r="M387">
        <v>5.0703621074987097</v>
      </c>
      <c r="N387">
        <v>41766903</v>
      </c>
      <c r="O387">
        <f>IFERROR(VLOOKUP($A387,Actual!$A:$D,4,FALSE),IFERROR(VLOOKUP($A387,FC!$A:$AD,29,FALSE),"Not Found"))</f>
        <v>11.8</v>
      </c>
      <c r="P387" s="5">
        <f>IFERROR(VLOOKUP($A387,Actual!$A:$D,3,FALSE),"0")</f>
        <v>5.3900000000000003E-2</v>
      </c>
    </row>
    <row r="388" spans="1:16" x14ac:dyDescent="0.2">
      <c r="A388" t="s">
        <v>245</v>
      </c>
      <c r="B388" t="s">
        <v>507</v>
      </c>
      <c r="C388" t="s">
        <v>5</v>
      </c>
      <c r="D388">
        <v>3300</v>
      </c>
      <c r="E388">
        <v>6.0167231716348502</v>
      </c>
      <c r="F388">
        <v>5.84</v>
      </c>
      <c r="G388">
        <v>0.17672317163485499</v>
      </c>
      <c r="H388">
        <v>1.82324944594995</v>
      </c>
      <c r="I388">
        <v>1.5041807929087101</v>
      </c>
      <c r="J388">
        <v>20.041807929087099</v>
      </c>
      <c r="K388">
        <v>1.0233787671758401</v>
      </c>
      <c r="L388" t="s">
        <v>482</v>
      </c>
      <c r="M388">
        <v>2.97360201126987</v>
      </c>
      <c r="N388">
        <v>41766577</v>
      </c>
      <c r="O388">
        <f>IFERROR(VLOOKUP($A388,Actual!$A:$D,4,FALSE),IFERROR(VLOOKUP($A388,FC!$A:$AD,29,FALSE),"Not Found"))</f>
        <v>9.5</v>
      </c>
      <c r="P388" s="5">
        <f>IFERROR(VLOOKUP($A388,Actual!$A:$D,3,FALSE),"0")</f>
        <v>1.01E-2</v>
      </c>
    </row>
    <row r="389" spans="1:16" x14ac:dyDescent="0.2">
      <c r="A389" t="s">
        <v>645</v>
      </c>
      <c r="B389" t="s">
        <v>490</v>
      </c>
      <c r="C389" t="s">
        <v>17</v>
      </c>
      <c r="D389">
        <v>2500</v>
      </c>
      <c r="E389">
        <v>3.9586858925098598</v>
      </c>
      <c r="F389">
        <v>3.71</v>
      </c>
      <c r="G389">
        <v>0.248685892509867</v>
      </c>
      <c r="H389">
        <v>1.58347435700394</v>
      </c>
      <c r="I389">
        <v>0.98967147312746595</v>
      </c>
      <c r="J389">
        <v>14.896714731274599</v>
      </c>
      <c r="K389">
        <v>0.415180941770875</v>
      </c>
      <c r="L389" t="s">
        <v>482</v>
      </c>
      <c r="M389">
        <v>2.7973001724826698</v>
      </c>
      <c r="N389">
        <v>41767961</v>
      </c>
      <c r="O389">
        <f>IFERROR(VLOOKUP($A389,Actual!$A:$D,4,FALSE),IFERROR(VLOOKUP($A389,FC!$A:$AD,29,FALSE),"Not Found"))</f>
        <v>8.4</v>
      </c>
      <c r="P389" s="5" t="str">
        <f>IFERROR(VLOOKUP($A389,Actual!$A:$D,3,FALSE),"0")</f>
        <v>0</v>
      </c>
    </row>
    <row r="390" spans="1:16" x14ac:dyDescent="0.2">
      <c r="A390" t="s">
        <v>257</v>
      </c>
      <c r="B390" t="s">
        <v>487</v>
      </c>
      <c r="C390" t="s">
        <v>10</v>
      </c>
      <c r="D390">
        <v>3400</v>
      </c>
      <c r="E390">
        <v>5.7777583141543802</v>
      </c>
      <c r="F390">
        <v>5.19</v>
      </c>
      <c r="G390">
        <v>0.58775831415438295</v>
      </c>
      <c r="H390">
        <v>1.69934068063364</v>
      </c>
      <c r="I390">
        <v>1.44443957853859</v>
      </c>
      <c r="J390">
        <v>19.4443957853859</v>
      </c>
      <c r="K390">
        <v>0.68225251145056598</v>
      </c>
      <c r="L390" t="s">
        <v>482</v>
      </c>
      <c r="M390">
        <v>3.43453689313999</v>
      </c>
      <c r="N390">
        <v>41766573</v>
      </c>
      <c r="O390">
        <f>IFERROR(VLOOKUP($A390,Actual!$A:$D,4,FALSE),IFERROR(VLOOKUP($A390,FC!$A:$AD,29,FALSE),"Not Found"))</f>
        <v>10</v>
      </c>
      <c r="P390" s="5">
        <f>IFERROR(VLOOKUP($A390,Actual!$A:$D,3,FALSE),"0")</f>
        <v>8.3999999999999995E-3</v>
      </c>
    </row>
    <row r="391" spans="1:16" x14ac:dyDescent="0.2">
      <c r="A391" t="s">
        <v>188</v>
      </c>
      <c r="B391" t="s">
        <v>486</v>
      </c>
      <c r="C391" t="s">
        <v>5</v>
      </c>
      <c r="D391">
        <v>3300</v>
      </c>
      <c r="E391">
        <v>6.51889395645457</v>
      </c>
      <c r="F391">
        <v>5.37</v>
      </c>
      <c r="G391">
        <v>1.1488939564545699</v>
      </c>
      <c r="H391">
        <v>1.9754224110468399</v>
      </c>
      <c r="I391">
        <v>1.6297234891136401</v>
      </c>
      <c r="J391">
        <v>21.297234891136402</v>
      </c>
      <c r="K391">
        <v>1.0233787671758401</v>
      </c>
      <c r="L391" t="s">
        <v>482</v>
      </c>
      <c r="M391">
        <v>3.2217862825324501</v>
      </c>
      <c r="N391">
        <v>41766579</v>
      </c>
      <c r="O391">
        <f>IFERROR(VLOOKUP($A391,Actual!$A:$D,4,FALSE),IFERROR(VLOOKUP($A391,FC!$A:$AD,29,FALSE),"Not Found"))</f>
        <v>2.8</v>
      </c>
      <c r="P391" s="5">
        <f>IFERROR(VLOOKUP($A391,Actual!$A:$D,3,FALSE),"0")</f>
        <v>1.52E-2</v>
      </c>
    </row>
    <row r="392" spans="1:16" x14ac:dyDescent="0.2">
      <c r="A392" t="s">
        <v>95</v>
      </c>
      <c r="B392" t="s">
        <v>494</v>
      </c>
      <c r="C392" t="s">
        <v>10</v>
      </c>
      <c r="D392">
        <v>3900</v>
      </c>
      <c r="E392">
        <v>7.0771272848903699</v>
      </c>
      <c r="F392">
        <v>6.44</v>
      </c>
      <c r="G392">
        <v>0.63712728489037196</v>
      </c>
      <c r="H392">
        <v>1.81464802176676</v>
      </c>
      <c r="I392">
        <v>1.76928182122259</v>
      </c>
      <c r="J392">
        <v>22.692818212225902</v>
      </c>
      <c r="K392">
        <v>0.79799627155748598</v>
      </c>
      <c r="L392" t="s">
        <v>482</v>
      </c>
      <c r="M392">
        <v>3.93611899915672</v>
      </c>
      <c r="N392">
        <v>41766983</v>
      </c>
      <c r="O392">
        <f>IFERROR(VLOOKUP($A392,Actual!$A:$D,4,FALSE),IFERROR(VLOOKUP($A392,FC!$A:$AD,29,FALSE),"Not Found"))</f>
        <v>0</v>
      </c>
      <c r="P392" s="5">
        <f>IFERROR(VLOOKUP($A392,Actual!$A:$D,3,FALSE),"0")</f>
        <v>2.86E-2</v>
      </c>
    </row>
    <row r="393" spans="1:16" x14ac:dyDescent="0.2">
      <c r="A393" t="s">
        <v>379</v>
      </c>
      <c r="B393" t="s">
        <v>509</v>
      </c>
      <c r="C393" t="s">
        <v>5</v>
      </c>
      <c r="D393">
        <v>3400</v>
      </c>
      <c r="E393">
        <v>6.8082152374828402</v>
      </c>
      <c r="F393">
        <v>6.28</v>
      </c>
      <c r="G393">
        <v>0.52821523748284305</v>
      </c>
      <c r="H393">
        <v>2.00241624631848</v>
      </c>
      <c r="I393">
        <v>1.70205380937071</v>
      </c>
      <c r="J393">
        <v>22.020538093707099</v>
      </c>
      <c r="K393">
        <v>0.68225251145056598</v>
      </c>
      <c r="L393" t="s">
        <v>482</v>
      </c>
      <c r="M393">
        <v>4.0470828196964801</v>
      </c>
      <c r="N393">
        <v>41766569</v>
      </c>
      <c r="O393">
        <f>IFERROR(VLOOKUP($A393,Actual!$A:$D,4,FALSE),IFERROR(VLOOKUP($A393,FC!$A:$AD,29,FALSE),"Not Found"))</f>
        <v>6</v>
      </c>
      <c r="P393" s="5">
        <f>IFERROR(VLOOKUP($A393,Actual!$A:$D,3,FALSE),"0")</f>
        <v>3.3999999999999998E-3</v>
      </c>
    </row>
    <row r="394" spans="1:16" x14ac:dyDescent="0.2">
      <c r="A394" t="s">
        <v>624</v>
      </c>
      <c r="B394" t="s">
        <v>492</v>
      </c>
      <c r="C394" t="s">
        <v>17</v>
      </c>
      <c r="D394">
        <v>2500</v>
      </c>
      <c r="E394">
        <v>4.3342835637466397</v>
      </c>
      <c r="F394">
        <v>4.04</v>
      </c>
      <c r="G394">
        <v>0.29428356374664699</v>
      </c>
      <c r="H394">
        <v>1.7337134254986499</v>
      </c>
      <c r="I394">
        <v>1.0835708909366599</v>
      </c>
      <c r="J394">
        <v>15.8357089093666</v>
      </c>
      <c r="K394">
        <v>0.69196823628479198</v>
      </c>
      <c r="L394" t="s">
        <v>482</v>
      </c>
      <c r="M394">
        <v>2.5616814020479599</v>
      </c>
      <c r="N394">
        <v>41768025</v>
      </c>
      <c r="O394">
        <f>IFERROR(VLOOKUP($A394,Actual!$A:$D,4,FALSE),IFERROR(VLOOKUP($A394,FC!$A:$AD,29,FALSE),"Not Found"))</f>
        <v>8.1999999999999993</v>
      </c>
      <c r="P394" s="5" t="str">
        <f>IFERROR(VLOOKUP($A394,Actual!$A:$D,3,FALSE),"0")</f>
        <v>0</v>
      </c>
    </row>
    <row r="395" spans="1:16" x14ac:dyDescent="0.2">
      <c r="A395" t="s">
        <v>628</v>
      </c>
      <c r="B395" t="s">
        <v>492</v>
      </c>
      <c r="C395" t="s">
        <v>5</v>
      </c>
      <c r="D395">
        <v>2500</v>
      </c>
      <c r="E395">
        <v>4.2607660874701798</v>
      </c>
      <c r="F395">
        <v>3.68</v>
      </c>
      <c r="G395">
        <v>0.58076608747018399</v>
      </c>
      <c r="H395">
        <v>1.7043064349880701</v>
      </c>
      <c r="I395">
        <v>1.0651915218675401</v>
      </c>
      <c r="J395">
        <v>15.6519152186754</v>
      </c>
      <c r="K395">
        <v>0.17733250479055199</v>
      </c>
      <c r="L395" t="s">
        <v>482</v>
      </c>
      <c r="M395">
        <v>3.6189997898921198</v>
      </c>
      <c r="N395">
        <v>41767459</v>
      </c>
      <c r="O395">
        <f>IFERROR(VLOOKUP($A395,Actual!$A:$D,4,FALSE),IFERROR(VLOOKUP($A395,FC!$A:$AD,29,FALSE),"Not Found"))</f>
        <v>3</v>
      </c>
      <c r="P395" s="5" t="str">
        <f>IFERROR(VLOOKUP($A395,Actual!$A:$D,3,FALSE),"0")</f>
        <v>0</v>
      </c>
    </row>
    <row r="396" spans="1:16" x14ac:dyDescent="0.2">
      <c r="A396" t="s">
        <v>353</v>
      </c>
      <c r="B396" t="s">
        <v>501</v>
      </c>
      <c r="C396" t="s">
        <v>5</v>
      </c>
      <c r="D396">
        <v>2600</v>
      </c>
      <c r="E396">
        <v>4.9834183553089302</v>
      </c>
      <c r="F396">
        <v>4.55</v>
      </c>
      <c r="G396">
        <v>0.43341835530893102</v>
      </c>
      <c r="H396">
        <v>1.91669936742651</v>
      </c>
      <c r="I396">
        <v>1.2458545888272301</v>
      </c>
      <c r="J396">
        <v>17.458545888272301</v>
      </c>
      <c r="K396">
        <v>0.78459038816815097</v>
      </c>
      <c r="L396" t="s">
        <v>482</v>
      </c>
      <c r="M396">
        <v>2.7924718122147398</v>
      </c>
      <c r="N396">
        <v>41766637</v>
      </c>
      <c r="O396">
        <f>IFERROR(VLOOKUP($A396,Actual!$A:$D,4,FALSE),IFERROR(VLOOKUP($A396,FC!$A:$AD,29,FALSE),"Not Found"))</f>
        <v>0</v>
      </c>
      <c r="P396" s="5">
        <f>IFERROR(VLOOKUP($A396,Actual!$A:$D,3,FALSE),"0")</f>
        <v>3.3999999999999998E-3</v>
      </c>
    </row>
    <row r="397" spans="1:16" x14ac:dyDescent="0.2">
      <c r="A397" t="s">
        <v>183</v>
      </c>
      <c r="B397" t="s">
        <v>487</v>
      </c>
      <c r="C397" t="s">
        <v>10</v>
      </c>
      <c r="D397">
        <v>2900</v>
      </c>
      <c r="E397">
        <v>8.4640418930415802</v>
      </c>
      <c r="F397">
        <v>7.16</v>
      </c>
      <c r="G397">
        <v>1.30404189304158</v>
      </c>
      <c r="H397">
        <v>2.9186351355315798</v>
      </c>
      <c r="I397">
        <v>2.1160104732603902</v>
      </c>
      <c r="J397">
        <v>26.160104732603902</v>
      </c>
      <c r="K397">
        <v>0.30589857076370303</v>
      </c>
      <c r="L397" t="s">
        <v>482</v>
      </c>
      <c r="M397">
        <v>6.4813930289331099</v>
      </c>
      <c r="N397">
        <v>41767127</v>
      </c>
      <c r="O397">
        <f>IFERROR(VLOOKUP($A397,Actual!$A:$D,4,FALSE),IFERROR(VLOOKUP($A397,FC!$A:$AD,29,FALSE),"Not Found"))</f>
        <v>1.5</v>
      </c>
      <c r="P397" s="5">
        <f>IFERROR(VLOOKUP($A397,Actual!$A:$D,3,FALSE),"0")</f>
        <v>1.52E-2</v>
      </c>
    </row>
    <row r="398" spans="1:16" x14ac:dyDescent="0.2">
      <c r="A398" t="s">
        <v>280</v>
      </c>
      <c r="B398" t="s">
        <v>491</v>
      </c>
      <c r="C398" t="s">
        <v>5</v>
      </c>
      <c r="D398">
        <v>2800</v>
      </c>
      <c r="E398">
        <v>6.4529441269249403</v>
      </c>
      <c r="F398">
        <v>5.46</v>
      </c>
      <c r="G398">
        <v>0.99294412692494405</v>
      </c>
      <c r="H398">
        <v>2.3046229024731901</v>
      </c>
      <c r="I398">
        <v>1.61323603173123</v>
      </c>
      <c r="J398">
        <v>21.132360317312301</v>
      </c>
      <c r="K398">
        <v>0.20393238050913501</v>
      </c>
      <c r="L398" t="s">
        <v>482</v>
      </c>
      <c r="M398">
        <v>5.35988916935354</v>
      </c>
      <c r="N398">
        <v>41767129</v>
      </c>
      <c r="O398">
        <f>IFERROR(VLOOKUP($A398,Actual!$A:$D,4,FALSE),IFERROR(VLOOKUP($A398,FC!$A:$AD,29,FALSE),"Not Found"))</f>
        <v>1.5</v>
      </c>
      <c r="P398" s="5">
        <f>IFERROR(VLOOKUP($A398,Actual!$A:$D,3,FALSE),"0")</f>
        <v>8.3999999999999995E-3</v>
      </c>
    </row>
    <row r="399" spans="1:16" x14ac:dyDescent="0.2">
      <c r="A399" t="s">
        <v>180</v>
      </c>
      <c r="B399" t="s">
        <v>484</v>
      </c>
      <c r="C399" t="s">
        <v>10</v>
      </c>
      <c r="D399">
        <v>4000</v>
      </c>
      <c r="E399">
        <v>11.240640752312</v>
      </c>
      <c r="F399">
        <v>9.56</v>
      </c>
      <c r="G399">
        <v>1.6806407523120801</v>
      </c>
      <c r="H399">
        <v>2.81016018807802</v>
      </c>
      <c r="I399">
        <v>2.81016018807802</v>
      </c>
      <c r="J399">
        <v>33.101601880780201</v>
      </c>
      <c r="K399">
        <v>1.19300442597844</v>
      </c>
      <c r="L399" t="s">
        <v>482</v>
      </c>
      <c r="M399">
        <v>5.1256808327219296</v>
      </c>
      <c r="N399">
        <v>41766975</v>
      </c>
      <c r="O399">
        <f>IFERROR(VLOOKUP($A399,Actual!$A:$D,4,FALSE),IFERROR(VLOOKUP($A399,FC!$A:$AD,29,FALSE),"Not Found"))</f>
        <v>0</v>
      </c>
      <c r="P399" s="5">
        <f>IFERROR(VLOOKUP($A399,Actual!$A:$D,3,FALSE),"0")</f>
        <v>1.52E-2</v>
      </c>
    </row>
    <row r="400" spans="1:16" x14ac:dyDescent="0.2">
      <c r="A400" t="s">
        <v>545</v>
      </c>
      <c r="B400" t="s">
        <v>504</v>
      </c>
      <c r="C400" t="s">
        <v>17</v>
      </c>
      <c r="D400">
        <v>2500</v>
      </c>
      <c r="E400">
        <v>5.6475469958199103</v>
      </c>
      <c r="F400">
        <v>3.89</v>
      </c>
      <c r="G400">
        <v>1.7575469958199099</v>
      </c>
      <c r="H400">
        <v>2.2590187983279599</v>
      </c>
      <c r="I400">
        <v>1.41188674895497</v>
      </c>
      <c r="J400">
        <v>19.1188674895497</v>
      </c>
      <c r="K400">
        <v>0.69196823628479198</v>
      </c>
      <c r="L400" t="s">
        <v>482</v>
      </c>
      <c r="M400">
        <v>3.3378563939360602</v>
      </c>
      <c r="N400">
        <v>41767803</v>
      </c>
      <c r="O400">
        <f>IFERROR(VLOOKUP($A400,Actual!$A:$D,4,FALSE),IFERROR(VLOOKUP($A400,FC!$A:$AD,29,FALSE),"Not Found"))</f>
        <v>2.8</v>
      </c>
      <c r="P400" s="5" t="str">
        <f>IFERROR(VLOOKUP($A400,Actual!$A:$D,3,FALSE),"0")</f>
        <v>0</v>
      </c>
    </row>
    <row r="401" spans="1:16" x14ac:dyDescent="0.2">
      <c r="A401" t="s">
        <v>664</v>
      </c>
      <c r="B401" t="s">
        <v>509</v>
      </c>
      <c r="C401" t="s">
        <v>10</v>
      </c>
      <c r="D401">
        <v>2500</v>
      </c>
      <c r="E401">
        <v>3.6516217250713798</v>
      </c>
      <c r="F401">
        <v>2.76</v>
      </c>
      <c r="G401">
        <v>0.89162172507138704</v>
      </c>
      <c r="H401">
        <v>1.46064869002855</v>
      </c>
      <c r="I401">
        <v>0.91290543126784596</v>
      </c>
      <c r="J401">
        <v>14.129054312678401</v>
      </c>
      <c r="K401">
        <v>0.14957533497914299</v>
      </c>
      <c r="L401" t="s">
        <v>482</v>
      </c>
      <c r="M401">
        <v>3.1764962364451099</v>
      </c>
      <c r="N401">
        <v>41767297</v>
      </c>
      <c r="O401">
        <f>IFERROR(VLOOKUP($A401,Actual!$A:$D,4,FALSE),IFERROR(VLOOKUP($A401,FC!$A:$AD,29,FALSE),"Not Found"))</f>
        <v>19</v>
      </c>
      <c r="P401" s="5" t="str">
        <f>IFERROR(VLOOKUP($A401,Actual!$A:$D,3,FALSE),"0")</f>
        <v>0</v>
      </c>
    </row>
    <row r="402" spans="1:16" x14ac:dyDescent="0.2">
      <c r="A402" t="s">
        <v>650</v>
      </c>
      <c r="B402" t="s">
        <v>497</v>
      </c>
      <c r="C402" t="s">
        <v>17</v>
      </c>
      <c r="D402">
        <v>2500</v>
      </c>
      <c r="E402">
        <v>3.92618883561292</v>
      </c>
      <c r="F402">
        <v>2.35</v>
      </c>
      <c r="G402">
        <v>1.5761888356129199</v>
      </c>
      <c r="H402">
        <v>1.5704755342451699</v>
      </c>
      <c r="I402">
        <v>0.98154720890323199</v>
      </c>
      <c r="J402">
        <v>14.8154720890323</v>
      </c>
      <c r="K402">
        <v>0.415180941770875</v>
      </c>
      <c r="L402" t="s">
        <v>482</v>
      </c>
      <c r="M402">
        <v>2.7743369909291702</v>
      </c>
      <c r="N402">
        <v>41767825</v>
      </c>
      <c r="O402">
        <f>IFERROR(VLOOKUP($A402,Actual!$A:$D,4,FALSE),IFERROR(VLOOKUP($A402,FC!$A:$AD,29,FALSE),"Not Found"))</f>
        <v>0</v>
      </c>
      <c r="P402" s="5" t="str">
        <f>IFERROR(VLOOKUP($A402,Actual!$A:$D,3,FALSE),"0")</f>
        <v>0</v>
      </c>
    </row>
    <row r="403" spans="1:16" x14ac:dyDescent="0.2">
      <c r="A403" t="s">
        <v>589</v>
      </c>
      <c r="B403" t="s">
        <v>509</v>
      </c>
      <c r="C403" t="s">
        <v>17</v>
      </c>
      <c r="D403">
        <v>2500</v>
      </c>
      <c r="E403">
        <v>4.7678216890690104</v>
      </c>
      <c r="F403">
        <v>3.37</v>
      </c>
      <c r="G403">
        <v>1.3978216890690101</v>
      </c>
      <c r="H403">
        <v>1.9071286756276</v>
      </c>
      <c r="I403">
        <v>1.1919554222672499</v>
      </c>
      <c r="J403">
        <v>16.919554222672499</v>
      </c>
      <c r="K403">
        <v>0.69196823628479198</v>
      </c>
      <c r="L403" t="s">
        <v>482</v>
      </c>
      <c r="M403">
        <v>2.81791441873527</v>
      </c>
      <c r="N403">
        <v>41767873</v>
      </c>
      <c r="O403">
        <f>IFERROR(VLOOKUP($A403,Actual!$A:$D,4,FALSE),IFERROR(VLOOKUP($A403,FC!$A:$AD,29,FALSE),"Not Found"))</f>
        <v>2.6</v>
      </c>
      <c r="P403" s="5" t="str">
        <f>IFERROR(VLOOKUP($A403,Actual!$A:$D,3,FALSE),"0")</f>
        <v>0</v>
      </c>
    </row>
    <row r="404" spans="1:16" x14ac:dyDescent="0.2">
      <c r="A404" t="s">
        <v>585</v>
      </c>
      <c r="B404" t="s">
        <v>501</v>
      </c>
      <c r="C404" t="s">
        <v>17</v>
      </c>
      <c r="D404">
        <v>2500</v>
      </c>
      <c r="E404">
        <v>4.83750206831954</v>
      </c>
      <c r="F404">
        <v>2.86</v>
      </c>
      <c r="G404">
        <v>1.9775020683195399</v>
      </c>
      <c r="H404">
        <v>1.9350008273278101</v>
      </c>
      <c r="I404">
        <v>1.2093755170798799</v>
      </c>
      <c r="J404">
        <v>17.093755170798801</v>
      </c>
      <c r="K404">
        <v>0.69196823628479198</v>
      </c>
      <c r="L404" t="s">
        <v>482</v>
      </c>
      <c r="M404">
        <v>2.8590974490996799</v>
      </c>
      <c r="N404">
        <v>41768017</v>
      </c>
      <c r="O404">
        <f>IFERROR(VLOOKUP($A404,Actual!$A:$D,4,FALSE),IFERROR(VLOOKUP($A404,FC!$A:$AD,29,FALSE),"Not Found"))</f>
        <v>4.3</v>
      </c>
      <c r="P404" s="5" t="str">
        <f>IFERROR(VLOOKUP($A404,Actual!$A:$D,3,FALSE),"0")</f>
        <v>0</v>
      </c>
    </row>
    <row r="405" spans="1:16" x14ac:dyDescent="0.2">
      <c r="A405" t="s">
        <v>632</v>
      </c>
      <c r="B405" t="s">
        <v>505</v>
      </c>
      <c r="C405" t="s">
        <v>5</v>
      </c>
      <c r="D405">
        <v>2500</v>
      </c>
      <c r="E405">
        <v>4.20382071415127</v>
      </c>
      <c r="F405">
        <v>3.69</v>
      </c>
      <c r="G405">
        <v>0.51382071415127895</v>
      </c>
      <c r="H405">
        <v>1.68152828566051</v>
      </c>
      <c r="I405">
        <v>1.05095517853781</v>
      </c>
      <c r="J405">
        <v>15.5095517853781</v>
      </c>
      <c r="K405">
        <v>0.17733250479055199</v>
      </c>
      <c r="L405" t="s">
        <v>482</v>
      </c>
      <c r="M405">
        <v>3.57063165847029</v>
      </c>
      <c r="N405">
        <v>41767349</v>
      </c>
      <c r="O405">
        <f>IFERROR(VLOOKUP($A405,Actual!$A:$D,4,FALSE),IFERROR(VLOOKUP($A405,FC!$A:$AD,29,FALSE),"Not Found"))</f>
        <v>3</v>
      </c>
      <c r="P405" s="5" t="str">
        <f>IFERROR(VLOOKUP($A405,Actual!$A:$D,3,FALSE),"0")</f>
        <v>0</v>
      </c>
    </row>
    <row r="406" spans="1:16" x14ac:dyDescent="0.2">
      <c r="A406" t="s">
        <v>252</v>
      </c>
      <c r="B406" t="s">
        <v>504</v>
      </c>
      <c r="C406" t="s">
        <v>10</v>
      </c>
      <c r="D406">
        <v>2700</v>
      </c>
      <c r="E406">
        <v>6.05856313043751</v>
      </c>
      <c r="F406">
        <v>4.87</v>
      </c>
      <c r="G406">
        <v>1.1885631304375099</v>
      </c>
      <c r="H406">
        <v>2.2439122705324102</v>
      </c>
      <c r="I406">
        <v>1.51464078260937</v>
      </c>
      <c r="J406">
        <v>20.1464078260937</v>
      </c>
      <c r="K406">
        <v>1.53506815076377</v>
      </c>
      <c r="L406" t="s">
        <v>482</v>
      </c>
      <c r="M406">
        <v>2.3899014819827098</v>
      </c>
      <c r="N406">
        <v>41766625</v>
      </c>
      <c r="O406">
        <f>IFERROR(VLOOKUP($A406,Actual!$A:$D,4,FALSE),IFERROR(VLOOKUP($A406,FC!$A:$AD,29,FALSE),"Not Found"))</f>
        <v>2.8</v>
      </c>
      <c r="P406" s="5">
        <f>IFERROR(VLOOKUP($A406,Actual!$A:$D,3,FALSE),"0")</f>
        <v>8.3999999999999995E-3</v>
      </c>
    </row>
    <row r="407" spans="1:16" x14ac:dyDescent="0.2">
      <c r="A407" t="s">
        <v>643</v>
      </c>
      <c r="B407" t="s">
        <v>495</v>
      </c>
      <c r="C407" t="s">
        <v>10</v>
      </c>
      <c r="D407">
        <v>2500</v>
      </c>
      <c r="E407">
        <v>3.96797212017976</v>
      </c>
      <c r="F407">
        <v>3.12</v>
      </c>
      <c r="G407">
        <v>0.84797212017976298</v>
      </c>
      <c r="H407">
        <v>1.5871888480719001</v>
      </c>
      <c r="I407">
        <v>0.99199303004493999</v>
      </c>
      <c r="J407">
        <v>14.919930300449399</v>
      </c>
      <c r="K407">
        <v>0.17733250479055199</v>
      </c>
      <c r="L407" t="s">
        <v>482</v>
      </c>
      <c r="M407">
        <v>3.3703071171772798</v>
      </c>
      <c r="N407">
        <v>41767267</v>
      </c>
      <c r="O407">
        <f>IFERROR(VLOOKUP($A407,Actual!$A:$D,4,FALSE),IFERROR(VLOOKUP($A407,FC!$A:$AD,29,FALSE),"Not Found"))</f>
        <v>4.3</v>
      </c>
      <c r="P407" s="5" t="str">
        <f>IFERROR(VLOOKUP($A407,Actual!$A:$D,3,FALSE),"0")</f>
        <v>0</v>
      </c>
    </row>
    <row r="408" spans="1:16" x14ac:dyDescent="0.2">
      <c r="A408" t="s">
        <v>107</v>
      </c>
      <c r="B408" t="s">
        <v>499</v>
      </c>
      <c r="C408" t="s">
        <v>10</v>
      </c>
      <c r="D408">
        <v>3200</v>
      </c>
      <c r="E408">
        <v>10.2951867256863</v>
      </c>
      <c r="F408">
        <v>8.08</v>
      </c>
      <c r="G408">
        <v>2.2151867256863298</v>
      </c>
      <c r="H408">
        <v>3.2172458517769802</v>
      </c>
      <c r="I408">
        <v>2.5737966814215798</v>
      </c>
      <c r="J408">
        <v>30.737966814215799</v>
      </c>
      <c r="K408">
        <v>0.47720177039137701</v>
      </c>
      <c r="L408" t="s">
        <v>482</v>
      </c>
      <c r="M408">
        <v>6.96938423175507</v>
      </c>
      <c r="N408">
        <v>41767069</v>
      </c>
      <c r="O408">
        <f>IFERROR(VLOOKUP($A408,Actual!$A:$D,4,FALSE),IFERROR(VLOOKUP($A408,FC!$A:$AD,29,FALSE),"Not Found"))</f>
        <v>26</v>
      </c>
      <c r="P408" s="5">
        <f>IFERROR(VLOOKUP($A408,Actual!$A:$D,3,FALSE),"0")</f>
        <v>2.69E-2</v>
      </c>
    </row>
    <row r="409" spans="1:16" x14ac:dyDescent="0.2">
      <c r="A409" t="s">
        <v>193</v>
      </c>
      <c r="B409" t="s">
        <v>487</v>
      </c>
      <c r="C409" t="s">
        <v>10</v>
      </c>
      <c r="D409">
        <v>4400</v>
      </c>
      <c r="E409">
        <v>9.3836493616018704</v>
      </c>
      <c r="F409">
        <v>7.88</v>
      </c>
      <c r="G409">
        <v>1.50364936160187</v>
      </c>
      <c r="H409">
        <v>2.1326475821822402</v>
      </c>
      <c r="I409">
        <v>2.34591234040046</v>
      </c>
      <c r="J409">
        <v>28.4591234040046</v>
      </c>
      <c r="K409">
        <v>0.61179714152740605</v>
      </c>
      <c r="L409" t="s">
        <v>482</v>
      </c>
      <c r="M409">
        <v>5.8218550708617904</v>
      </c>
      <c r="N409">
        <v>41766945</v>
      </c>
      <c r="O409">
        <f>IFERROR(VLOOKUP($A409,Actual!$A:$D,4,FALSE),IFERROR(VLOOKUP($A409,FC!$A:$AD,29,FALSE),"Not Found"))</f>
        <v>9.1</v>
      </c>
      <c r="P409" s="5">
        <f>IFERROR(VLOOKUP($A409,Actual!$A:$D,3,FALSE),"0")</f>
        <v>1.52E-2</v>
      </c>
    </row>
    <row r="410" spans="1:16" x14ac:dyDescent="0.2">
      <c r="A410" t="s">
        <v>550</v>
      </c>
      <c r="B410" t="s">
        <v>488</v>
      </c>
      <c r="C410" t="s">
        <v>17</v>
      </c>
      <c r="D410">
        <v>2500</v>
      </c>
      <c r="E410">
        <v>5.4586892981524198</v>
      </c>
      <c r="F410">
        <v>5.25</v>
      </c>
      <c r="G410">
        <v>0.20868929815242299</v>
      </c>
      <c r="H410">
        <v>2.1834757192609602</v>
      </c>
      <c r="I410">
        <v>1.3646723245381001</v>
      </c>
      <c r="J410">
        <v>18.646723245381001</v>
      </c>
      <c r="K410">
        <v>0.69196823628479198</v>
      </c>
      <c r="L410" t="s">
        <v>482</v>
      </c>
      <c r="M410">
        <v>3.2262362738786101</v>
      </c>
      <c r="N410">
        <v>41768049</v>
      </c>
      <c r="O410">
        <f>IFERROR(VLOOKUP($A410,Actual!$A:$D,4,FALSE),IFERROR(VLOOKUP($A410,FC!$A:$AD,29,FALSE),"Not Found"))</f>
        <v>6.9</v>
      </c>
      <c r="P410" s="5" t="str">
        <f>IFERROR(VLOOKUP($A410,Actual!$A:$D,3,FALSE),"0")</f>
        <v>0</v>
      </c>
    </row>
    <row r="411" spans="1:16" x14ac:dyDescent="0.2">
      <c r="A411" t="s">
        <v>536</v>
      </c>
      <c r="B411" t="s">
        <v>497</v>
      </c>
      <c r="C411" t="s">
        <v>10</v>
      </c>
      <c r="D411">
        <v>2500</v>
      </c>
      <c r="E411">
        <v>6.0763181540420304</v>
      </c>
      <c r="F411">
        <v>4.6399999999999997</v>
      </c>
      <c r="G411">
        <v>1.43631815404203</v>
      </c>
      <c r="H411">
        <v>2.4305272616168101</v>
      </c>
      <c r="I411">
        <v>1.5190795385105</v>
      </c>
      <c r="J411">
        <v>20.190795385105002</v>
      </c>
      <c r="K411">
        <v>0.30589857076370303</v>
      </c>
      <c r="L411" t="s">
        <v>482</v>
      </c>
      <c r="M411">
        <v>4.6529786386767604</v>
      </c>
      <c r="N411">
        <v>41767233</v>
      </c>
      <c r="O411">
        <f>IFERROR(VLOOKUP($A411,Actual!$A:$D,4,FALSE),IFERROR(VLOOKUP($A411,FC!$A:$AD,29,FALSE),"Not Found"))</f>
        <v>2.6</v>
      </c>
      <c r="P411" s="5" t="str">
        <f>IFERROR(VLOOKUP($A411,Actual!$A:$D,3,FALSE),"0")</f>
        <v>0</v>
      </c>
    </row>
    <row r="412" spans="1:16" x14ac:dyDescent="0.2">
      <c r="A412" t="s">
        <v>345</v>
      </c>
      <c r="B412" t="s">
        <v>496</v>
      </c>
      <c r="C412" t="s">
        <v>5</v>
      </c>
      <c r="D412">
        <v>2500</v>
      </c>
      <c r="E412">
        <v>4.9408328342952696</v>
      </c>
      <c r="F412">
        <v>4.63</v>
      </c>
      <c r="G412">
        <v>0.31083283429527803</v>
      </c>
      <c r="H412">
        <v>1.97633313371811</v>
      </c>
      <c r="I412">
        <v>1.2352082085738101</v>
      </c>
      <c r="J412">
        <v>17.3520820857381</v>
      </c>
      <c r="K412">
        <v>0.20393238050913501</v>
      </c>
      <c r="L412" t="s">
        <v>482</v>
      </c>
      <c r="M412">
        <v>4.1039122414880396</v>
      </c>
      <c r="N412">
        <v>41767331</v>
      </c>
      <c r="O412">
        <f>IFERROR(VLOOKUP($A412,Actual!$A:$D,4,FALSE),IFERROR(VLOOKUP($A412,FC!$A:$AD,29,FALSE),"Not Found"))</f>
        <v>1.5</v>
      </c>
      <c r="P412" s="5">
        <f>IFERROR(VLOOKUP($A412,Actual!$A:$D,3,FALSE),"0")</f>
        <v>3.3999999999999998E-3</v>
      </c>
    </row>
    <row r="413" spans="1:16" x14ac:dyDescent="0.2">
      <c r="A413" t="s">
        <v>362</v>
      </c>
      <c r="B413" t="s">
        <v>493</v>
      </c>
      <c r="C413" t="s">
        <v>5</v>
      </c>
      <c r="D413">
        <v>3000</v>
      </c>
      <c r="E413">
        <v>7.3234699603062303</v>
      </c>
      <c r="F413">
        <v>6.59</v>
      </c>
      <c r="G413">
        <v>0.73346996030623701</v>
      </c>
      <c r="H413">
        <v>2.4411566534354101</v>
      </c>
      <c r="I413">
        <v>1.83086749007655</v>
      </c>
      <c r="J413">
        <v>23.308674900765499</v>
      </c>
      <c r="K413">
        <v>0.26599875718582899</v>
      </c>
      <c r="L413" t="s">
        <v>482</v>
      </c>
      <c r="M413">
        <v>5.7847370850390698</v>
      </c>
      <c r="N413">
        <v>41767103</v>
      </c>
      <c r="O413">
        <f>IFERROR(VLOOKUP($A413,Actual!$A:$D,4,FALSE),IFERROR(VLOOKUP($A413,FC!$A:$AD,29,FALSE),"Not Found"))</f>
        <v>6.5</v>
      </c>
      <c r="P413" s="5">
        <f>IFERROR(VLOOKUP($A413,Actual!$A:$D,3,FALSE),"0")</f>
        <v>3.3999999999999998E-3</v>
      </c>
    </row>
    <row r="414" spans="1:16" x14ac:dyDescent="0.2">
      <c r="A414" t="s">
        <v>568</v>
      </c>
      <c r="B414" t="s">
        <v>499</v>
      </c>
      <c r="C414" t="s">
        <v>5</v>
      </c>
      <c r="D414">
        <v>2500</v>
      </c>
      <c r="E414">
        <v>5.1871775311481096</v>
      </c>
      <c r="F414">
        <v>4.74</v>
      </c>
      <c r="G414">
        <v>0.44717753114810999</v>
      </c>
      <c r="H414">
        <v>2.0748710124592402</v>
      </c>
      <c r="I414">
        <v>1.2967943827870201</v>
      </c>
      <c r="J414">
        <v>17.967943827870201</v>
      </c>
      <c r="K414">
        <v>0.17733250479055199</v>
      </c>
      <c r="L414" t="s">
        <v>482</v>
      </c>
      <c r="M414">
        <v>4.4058730308061103</v>
      </c>
      <c r="N414">
        <v>41767413</v>
      </c>
      <c r="O414">
        <f>IFERROR(VLOOKUP($A414,Actual!$A:$D,4,FALSE),IFERROR(VLOOKUP($A414,FC!$A:$AD,29,FALSE),"Not Found"))</f>
        <v>18.600000000000001</v>
      </c>
      <c r="P414" s="5" t="str">
        <f>IFERROR(VLOOKUP($A414,Actual!$A:$D,3,FALSE),"0")</f>
        <v>0</v>
      </c>
    </row>
    <row r="415" spans="1:16" x14ac:dyDescent="0.2">
      <c r="A415" t="s">
        <v>218</v>
      </c>
      <c r="B415" t="s">
        <v>478</v>
      </c>
      <c r="C415" t="s">
        <v>5</v>
      </c>
      <c r="D415">
        <v>2700</v>
      </c>
      <c r="E415">
        <v>6.4104089027853099</v>
      </c>
      <c r="F415">
        <v>5.94</v>
      </c>
      <c r="G415">
        <v>0.470408902785311</v>
      </c>
      <c r="H415">
        <v>2.3742255195501101</v>
      </c>
      <c r="I415">
        <v>1.6026022256963199</v>
      </c>
      <c r="J415">
        <v>21.026022256963198</v>
      </c>
      <c r="K415">
        <v>1.0233787671758401</v>
      </c>
      <c r="L415" t="s">
        <v>482</v>
      </c>
      <c r="M415">
        <v>3.1681704912485</v>
      </c>
      <c r="N415">
        <v>41766623</v>
      </c>
      <c r="O415">
        <f>IFERROR(VLOOKUP($A415,Actual!$A:$D,4,FALSE),IFERROR(VLOOKUP($A415,FC!$A:$AD,29,FALSE),"Not Found"))</f>
        <v>2.8</v>
      </c>
      <c r="P415" s="5">
        <f>IFERROR(VLOOKUP($A415,Actual!$A:$D,3,FALSE),"0")</f>
        <v>1.18E-2</v>
      </c>
    </row>
    <row r="416" spans="1:16" x14ac:dyDescent="0.2">
      <c r="A416" t="s">
        <v>238</v>
      </c>
      <c r="B416" t="s">
        <v>495</v>
      </c>
      <c r="C416" t="s">
        <v>10</v>
      </c>
      <c r="D416">
        <v>2700</v>
      </c>
      <c r="E416">
        <v>2.3882416114119902</v>
      </c>
      <c r="F416">
        <v>2.0299999999999998</v>
      </c>
      <c r="G416">
        <v>0.35824161141199601</v>
      </c>
      <c r="H416">
        <v>0.88453393015259096</v>
      </c>
      <c r="I416">
        <v>0.59706040285299899</v>
      </c>
      <c r="J416">
        <v>10.9706040285299</v>
      </c>
      <c r="K416">
        <v>0.15294928538185101</v>
      </c>
      <c r="L416" t="s">
        <v>482</v>
      </c>
      <c r="M416">
        <v>2.0714194819254499</v>
      </c>
      <c r="N416">
        <v>41767153</v>
      </c>
      <c r="O416">
        <f>IFERROR(VLOOKUP($A416,Actual!$A:$D,4,FALSE),IFERROR(VLOOKUP($A416,FC!$A:$AD,29,FALSE),"Not Found"))</f>
        <v>1.5</v>
      </c>
      <c r="P416" s="5">
        <f>IFERROR(VLOOKUP($A416,Actual!$A:$D,3,FALSE),"0")</f>
        <v>1.01E-2</v>
      </c>
    </row>
    <row r="417" spans="1:16" x14ac:dyDescent="0.2">
      <c r="A417" t="s">
        <v>565</v>
      </c>
      <c r="B417" t="s">
        <v>483</v>
      </c>
      <c r="C417" t="s">
        <v>10</v>
      </c>
      <c r="D417">
        <v>2500</v>
      </c>
      <c r="E417">
        <v>5.2296125765108998</v>
      </c>
      <c r="F417">
        <v>4.0999999999999996</v>
      </c>
      <c r="G417">
        <v>1.1296125765109</v>
      </c>
      <c r="H417">
        <v>2.0918450306043601</v>
      </c>
      <c r="I417">
        <v>1.3074031441277201</v>
      </c>
      <c r="J417">
        <v>18.074031441277199</v>
      </c>
      <c r="K417">
        <v>0.17733250479055199</v>
      </c>
      <c r="L417" t="s">
        <v>482</v>
      </c>
      <c r="M417">
        <v>4.4419164129348898</v>
      </c>
      <c r="N417">
        <v>41767303</v>
      </c>
      <c r="O417">
        <f>IFERROR(VLOOKUP($A417,Actual!$A:$D,4,FALSE),IFERROR(VLOOKUP($A417,FC!$A:$AD,29,FALSE),"Not Found"))</f>
        <v>0</v>
      </c>
      <c r="P417" s="5" t="str">
        <f>IFERROR(VLOOKUP($A417,Actual!$A:$D,3,FALSE),"0")</f>
        <v>0</v>
      </c>
    </row>
    <row r="418" spans="1:16" x14ac:dyDescent="0.2">
      <c r="A418" t="s">
        <v>426</v>
      </c>
      <c r="B418" t="s">
        <v>499</v>
      </c>
      <c r="C418" t="s">
        <v>5</v>
      </c>
      <c r="D418">
        <v>2500</v>
      </c>
      <c r="E418">
        <v>5.09086157426783</v>
      </c>
      <c r="F418">
        <v>4.2699999999999996</v>
      </c>
      <c r="G418">
        <v>0.82086157426783901</v>
      </c>
      <c r="H418">
        <v>2.0363446297071301</v>
      </c>
      <c r="I418">
        <v>1.27271539356695</v>
      </c>
      <c r="J418">
        <v>17.727153935669499</v>
      </c>
      <c r="K418">
        <v>0.68225251145056598</v>
      </c>
      <c r="L418" t="s">
        <v>482</v>
      </c>
      <c r="M418">
        <v>3.0262172531269398</v>
      </c>
      <c r="N418">
        <v>41766755</v>
      </c>
      <c r="O418">
        <f>IFERROR(VLOOKUP($A418,Actual!$A:$D,4,FALSE),IFERROR(VLOOKUP($A418,FC!$A:$AD,29,FALSE),"Not Found"))</f>
        <v>12.6</v>
      </c>
      <c r="P418" s="5">
        <f>IFERROR(VLOOKUP($A418,Actual!$A:$D,3,FALSE),"0")</f>
        <v>1.6999999999999999E-3</v>
      </c>
    </row>
    <row r="419" spans="1:16" x14ac:dyDescent="0.2">
      <c r="A419" t="s">
        <v>19</v>
      </c>
      <c r="B419" t="s">
        <v>499</v>
      </c>
      <c r="C419" t="s">
        <v>10</v>
      </c>
      <c r="D419">
        <v>3000</v>
      </c>
      <c r="E419">
        <v>10.402910036626499</v>
      </c>
      <c r="F419">
        <v>8.56</v>
      </c>
      <c r="G419">
        <v>1.8429100366265601</v>
      </c>
      <c r="H419">
        <v>3.46763667887552</v>
      </c>
      <c r="I419">
        <v>2.60072750915664</v>
      </c>
      <c r="J419">
        <v>31.007275091566399</v>
      </c>
      <c r="K419">
        <v>0.59650221298922101</v>
      </c>
      <c r="L419" t="s">
        <v>482</v>
      </c>
      <c r="M419">
        <v>6.5160636496385402</v>
      </c>
      <c r="N419">
        <v>41767105</v>
      </c>
      <c r="O419">
        <f>IFERROR(VLOOKUP($A419,Actual!$A:$D,4,FALSE),IFERROR(VLOOKUP($A419,FC!$A:$AD,29,FALSE),"Not Found"))</f>
        <v>3</v>
      </c>
      <c r="P419" s="5">
        <f>IFERROR(VLOOKUP($A419,Actual!$A:$D,3,FALSE),"0")</f>
        <v>9.6000000000000002E-2</v>
      </c>
    </row>
    <row r="420" spans="1:16" x14ac:dyDescent="0.2">
      <c r="A420" t="s">
        <v>191</v>
      </c>
      <c r="B420" t="s">
        <v>492</v>
      </c>
      <c r="C420" t="s">
        <v>10</v>
      </c>
      <c r="D420">
        <v>3900</v>
      </c>
      <c r="E420">
        <v>7.8818140121396798</v>
      </c>
      <c r="F420">
        <v>7.35</v>
      </c>
      <c r="G420">
        <v>0.53181401213968704</v>
      </c>
      <c r="H420">
        <v>2.0209779518306799</v>
      </c>
      <c r="I420">
        <v>1.97045350303492</v>
      </c>
      <c r="J420">
        <v>24.704535030349199</v>
      </c>
      <c r="K420">
        <v>0.61179714152740605</v>
      </c>
      <c r="L420" t="s">
        <v>482</v>
      </c>
      <c r="M420">
        <v>4.8900781674488796</v>
      </c>
      <c r="N420">
        <v>41766989</v>
      </c>
      <c r="O420">
        <f>IFERROR(VLOOKUP($A420,Actual!$A:$D,4,FALSE),IFERROR(VLOOKUP($A420,FC!$A:$AD,29,FALSE),"Not Found"))</f>
        <v>0</v>
      </c>
      <c r="P420" s="5">
        <f>IFERROR(VLOOKUP($A420,Actual!$A:$D,3,FALSE),"0")</f>
        <v>1.52E-2</v>
      </c>
    </row>
    <row r="421" spans="1:16" x14ac:dyDescent="0.2">
      <c r="A421" t="s">
        <v>31</v>
      </c>
      <c r="B421" t="s">
        <v>485</v>
      </c>
      <c r="C421" t="s">
        <v>10</v>
      </c>
      <c r="D421">
        <v>4400</v>
      </c>
      <c r="E421">
        <v>10.5525666630631</v>
      </c>
      <c r="F421">
        <v>9.33</v>
      </c>
      <c r="G421">
        <v>1.22256666306319</v>
      </c>
      <c r="H421">
        <v>2.3983106052416301</v>
      </c>
      <c r="I421">
        <v>2.6381416657657901</v>
      </c>
      <c r="J421">
        <v>31.381416657657901</v>
      </c>
      <c r="K421">
        <v>1.5560927295370901</v>
      </c>
      <c r="L421" t="s">
        <v>482</v>
      </c>
      <c r="M421">
        <v>4.1283974329735003</v>
      </c>
      <c r="N421">
        <v>41766941</v>
      </c>
      <c r="O421">
        <f>IFERROR(VLOOKUP($A421,Actual!$A:$D,4,FALSE),IFERROR(VLOOKUP($A421,FC!$A:$AD,29,FALSE),"Not Found"))</f>
        <v>13</v>
      </c>
      <c r="P421" s="5">
        <f>IFERROR(VLOOKUP($A421,Actual!$A:$D,3,FALSE),"0")</f>
        <v>6.7299999999999999E-2</v>
      </c>
    </row>
    <row r="422" spans="1:16" x14ac:dyDescent="0.2">
      <c r="A422" t="s">
        <v>197</v>
      </c>
      <c r="B422" t="s">
        <v>486</v>
      </c>
      <c r="C422" t="s">
        <v>5</v>
      </c>
      <c r="D422">
        <v>2900</v>
      </c>
      <c r="E422">
        <v>10.335940797973601</v>
      </c>
      <c r="F422">
        <v>8.52</v>
      </c>
      <c r="G422">
        <v>1.8159407979736599</v>
      </c>
      <c r="H422">
        <v>3.5641175165426402</v>
      </c>
      <c r="I422">
        <v>2.58398519949341</v>
      </c>
      <c r="J422">
        <v>30.839851994934101</v>
      </c>
      <c r="K422">
        <v>0.41495806120989298</v>
      </c>
      <c r="L422" t="s">
        <v>482</v>
      </c>
      <c r="M422">
        <v>7.3047683046772898</v>
      </c>
      <c r="N422">
        <v>41767121</v>
      </c>
      <c r="O422">
        <f>IFERROR(VLOOKUP($A422,Actual!$A:$D,4,FALSE),IFERROR(VLOOKUP($A422,FC!$A:$AD,29,FALSE),"Not Found"))</f>
        <v>3</v>
      </c>
      <c r="P422" s="5">
        <f>IFERROR(VLOOKUP($A422,Actual!$A:$D,3,FALSE),"0")</f>
        <v>1.35E-2</v>
      </c>
    </row>
    <row r="423" spans="1:16" x14ac:dyDescent="0.2">
      <c r="A423" t="s">
        <v>247</v>
      </c>
      <c r="B423" t="s">
        <v>483</v>
      </c>
      <c r="C423" t="s">
        <v>10</v>
      </c>
      <c r="D423">
        <v>2600</v>
      </c>
      <c r="E423">
        <v>7.8981274626157099</v>
      </c>
      <c r="F423">
        <v>5.94</v>
      </c>
      <c r="G423">
        <v>1.9581274626157099</v>
      </c>
      <c r="H423">
        <v>3.0377413317752699</v>
      </c>
      <c r="I423">
        <v>1.9745318656539199</v>
      </c>
      <c r="J423">
        <v>24.745318656539201</v>
      </c>
      <c r="K423">
        <v>0.36707828491644301</v>
      </c>
      <c r="L423" t="s">
        <v>482</v>
      </c>
      <c r="M423">
        <v>5.7773776013847202</v>
      </c>
      <c r="N423">
        <v>41767177</v>
      </c>
      <c r="O423">
        <f>IFERROR(VLOOKUP($A423,Actual!$A:$D,4,FALSE),IFERROR(VLOOKUP($A423,FC!$A:$AD,29,FALSE),"Not Found"))</f>
        <v>5.8</v>
      </c>
      <c r="P423" s="5">
        <f>IFERROR(VLOOKUP($A423,Actual!$A:$D,3,FALSE),"0")</f>
        <v>1.01E-2</v>
      </c>
    </row>
    <row r="424" spans="1:16" x14ac:dyDescent="0.2">
      <c r="A424" t="s">
        <v>655</v>
      </c>
      <c r="B424" t="s">
        <v>505</v>
      </c>
      <c r="C424" t="s">
        <v>10</v>
      </c>
      <c r="D424">
        <v>2500</v>
      </c>
      <c r="E424">
        <v>3.86937344242209</v>
      </c>
      <c r="F424">
        <v>2.99</v>
      </c>
      <c r="G424">
        <v>0.87937344242209803</v>
      </c>
      <c r="H424">
        <v>1.54774937696883</v>
      </c>
      <c r="I424">
        <v>0.96734336060552395</v>
      </c>
      <c r="J424">
        <v>14.6734336060552</v>
      </c>
      <c r="K424">
        <v>0.14957533497914299</v>
      </c>
      <c r="L424" t="s">
        <v>482</v>
      </c>
      <c r="M424">
        <v>3.3659155034778898</v>
      </c>
      <c r="N424">
        <v>41767347</v>
      </c>
      <c r="O424">
        <f>IFERROR(VLOOKUP($A424,Actual!$A:$D,4,FALSE),IFERROR(VLOOKUP($A424,FC!$A:$AD,29,FALSE),"Not Found"))</f>
        <v>1.5</v>
      </c>
      <c r="P424" s="5" t="str">
        <f>IFERROR(VLOOKUP($A424,Actual!$A:$D,3,FALSE),"0")</f>
        <v>0</v>
      </c>
    </row>
    <row r="425" spans="1:16" x14ac:dyDescent="0.2">
      <c r="A425" t="s">
        <v>528</v>
      </c>
      <c r="B425" t="s">
        <v>488</v>
      </c>
      <c r="C425" t="s">
        <v>10</v>
      </c>
      <c r="D425">
        <v>2700</v>
      </c>
      <c r="E425">
        <v>6.3934737388744303</v>
      </c>
      <c r="F425">
        <v>5.41</v>
      </c>
      <c r="G425">
        <v>0.98347373887443001</v>
      </c>
      <c r="H425">
        <v>2.3679532366201501</v>
      </c>
      <c r="I425">
        <v>1.5983684347186</v>
      </c>
      <c r="J425">
        <v>20.983684347185999</v>
      </c>
      <c r="K425">
        <v>0.30589857076370303</v>
      </c>
      <c r="L425" t="s">
        <v>482</v>
      </c>
      <c r="M425">
        <v>4.8958425118234503</v>
      </c>
      <c r="N425">
        <v>41767167</v>
      </c>
      <c r="O425">
        <f>IFERROR(VLOOKUP($A425,Actual!$A:$D,4,FALSE),IFERROR(VLOOKUP($A425,FC!$A:$AD,29,FALSE),"Not Found"))</f>
        <v>14.1</v>
      </c>
      <c r="P425" s="5" t="str">
        <f>IFERROR(VLOOKUP($A425,Actual!$A:$D,3,FALSE),"0")</f>
        <v>0</v>
      </c>
    </row>
    <row r="426" spans="1:16" x14ac:dyDescent="0.2">
      <c r="A426" t="s">
        <v>311</v>
      </c>
      <c r="B426" t="s">
        <v>496</v>
      </c>
      <c r="C426" t="s">
        <v>10</v>
      </c>
      <c r="D426">
        <v>2600</v>
      </c>
      <c r="E426">
        <v>6.0897726074805902</v>
      </c>
      <c r="F426">
        <v>4.9800000000000004</v>
      </c>
      <c r="G426">
        <v>1.10977260748059</v>
      </c>
      <c r="H426">
        <v>2.3422202336463802</v>
      </c>
      <c r="I426">
        <v>1.52244315187014</v>
      </c>
      <c r="J426">
        <v>20.224431518701401</v>
      </c>
      <c r="K426">
        <v>0.20393238050913501</v>
      </c>
      <c r="L426" t="s">
        <v>482</v>
      </c>
      <c r="M426">
        <v>5.0582347531057099</v>
      </c>
      <c r="N426">
        <v>41767181</v>
      </c>
      <c r="O426">
        <f>IFERROR(VLOOKUP($A426,Actual!$A:$D,4,FALSE),IFERROR(VLOOKUP($A426,FC!$A:$AD,29,FALSE),"Not Found"))</f>
        <v>1.5</v>
      </c>
      <c r="P426" s="5">
        <f>IFERROR(VLOOKUP($A426,Actual!$A:$D,3,FALSE),"0")</f>
        <v>5.1000000000000004E-3</v>
      </c>
    </row>
    <row r="427" spans="1:16" x14ac:dyDescent="0.2">
      <c r="A427" t="s">
        <v>517</v>
      </c>
      <c r="B427" t="s">
        <v>481</v>
      </c>
      <c r="C427" t="s">
        <v>10</v>
      </c>
      <c r="D427">
        <v>3300</v>
      </c>
      <c r="E427">
        <v>7.488305378513</v>
      </c>
      <c r="F427">
        <v>5.92</v>
      </c>
      <c r="G427">
        <v>1.5683053785129999</v>
      </c>
      <c r="H427">
        <v>2.2691834480342399</v>
      </c>
      <c r="I427">
        <v>1.87207634462825</v>
      </c>
      <c r="J427">
        <v>23.720763446282501</v>
      </c>
      <c r="K427">
        <v>0.26599875718582899</v>
      </c>
      <c r="L427" t="s">
        <v>482</v>
      </c>
      <c r="M427">
        <v>5.9149389649944499</v>
      </c>
      <c r="N427">
        <v>41767057</v>
      </c>
      <c r="O427">
        <f>IFERROR(VLOOKUP($A427,Actual!$A:$D,4,FALSE),IFERROR(VLOOKUP($A427,FC!$A:$AD,29,FALSE),"Not Found"))</f>
        <v>0</v>
      </c>
      <c r="P427" s="5" t="str">
        <f>IFERROR(VLOOKUP($A427,Actual!$A:$D,3,FALSE),"0")</f>
        <v>0</v>
      </c>
    </row>
    <row r="428" spans="1:16" x14ac:dyDescent="0.2">
      <c r="A428" t="s">
        <v>618</v>
      </c>
      <c r="B428" t="s">
        <v>504</v>
      </c>
      <c r="C428" t="s">
        <v>5</v>
      </c>
      <c r="D428">
        <v>2500</v>
      </c>
      <c r="E428">
        <v>4.3866625320283896</v>
      </c>
      <c r="F428">
        <v>4.16</v>
      </c>
      <c r="G428">
        <v>0.22666253202839601</v>
      </c>
      <c r="H428">
        <v>1.7546650128113499</v>
      </c>
      <c r="I428">
        <v>1.0966656330070901</v>
      </c>
      <c r="J428">
        <v>15.966656330070901</v>
      </c>
      <c r="K428">
        <v>0.17733250479055199</v>
      </c>
      <c r="L428" t="s">
        <v>482</v>
      </c>
      <c r="M428">
        <v>3.7259334250767</v>
      </c>
      <c r="N428">
        <v>41767215</v>
      </c>
      <c r="O428">
        <f>IFERROR(VLOOKUP($A428,Actual!$A:$D,4,FALSE),IFERROR(VLOOKUP($A428,FC!$A:$AD,29,FALSE),"Not Found"))</f>
        <v>11.3</v>
      </c>
      <c r="P428" s="5" t="str">
        <f>IFERROR(VLOOKUP($A428,Actual!$A:$D,3,FALSE),"0")</f>
        <v>0</v>
      </c>
    </row>
    <row r="429" spans="1:16" x14ac:dyDescent="0.2">
      <c r="A429" t="s">
        <v>398</v>
      </c>
      <c r="B429" t="s">
        <v>510</v>
      </c>
      <c r="C429" t="s">
        <v>5</v>
      </c>
      <c r="D429">
        <v>2600</v>
      </c>
      <c r="E429">
        <v>4.7255582200868398</v>
      </c>
      <c r="F429">
        <v>3.6</v>
      </c>
      <c r="G429">
        <v>1.1255582200868399</v>
      </c>
      <c r="H429">
        <v>1.8175223923410899</v>
      </c>
      <c r="I429">
        <v>1.1813895550217099</v>
      </c>
      <c r="J429">
        <v>16.813895550217101</v>
      </c>
      <c r="K429">
        <v>0.68225251145056598</v>
      </c>
      <c r="L429" t="s">
        <v>482</v>
      </c>
      <c r="M429">
        <v>2.80906593268337</v>
      </c>
      <c r="N429">
        <v>41766635</v>
      </c>
      <c r="O429">
        <f>IFERROR(VLOOKUP($A429,Actual!$A:$D,4,FALSE),IFERROR(VLOOKUP($A429,FC!$A:$AD,29,FALSE),"Not Found"))</f>
        <v>0</v>
      </c>
      <c r="P429" s="5">
        <f>IFERROR(VLOOKUP($A429,Actual!$A:$D,3,FALSE),"0")</f>
        <v>1.6999999999999999E-3</v>
      </c>
    </row>
    <row r="430" spans="1:16" x14ac:dyDescent="0.2">
      <c r="A430" t="s">
        <v>343</v>
      </c>
      <c r="B430" t="s">
        <v>490</v>
      </c>
      <c r="C430" t="s">
        <v>5</v>
      </c>
      <c r="D430">
        <v>3200</v>
      </c>
      <c r="E430">
        <v>5.6206810883031597</v>
      </c>
      <c r="F430">
        <v>5.32</v>
      </c>
      <c r="G430">
        <v>0.30068108830316698</v>
      </c>
      <c r="H430">
        <v>1.75646284009473</v>
      </c>
      <c r="I430">
        <v>1.4051702720757899</v>
      </c>
      <c r="J430">
        <v>19.051702720757898</v>
      </c>
      <c r="K430">
        <v>0.68225251145056598</v>
      </c>
      <c r="L430" t="s">
        <v>482</v>
      </c>
      <c r="M430">
        <v>3.34116373733726</v>
      </c>
      <c r="N430">
        <v>41766585</v>
      </c>
      <c r="O430">
        <f>IFERROR(VLOOKUP($A430,Actual!$A:$D,4,FALSE),IFERROR(VLOOKUP($A430,FC!$A:$AD,29,FALSE),"Not Found"))</f>
        <v>0</v>
      </c>
      <c r="P430" s="5">
        <f>IFERROR(VLOOKUP($A430,Actual!$A:$D,3,FALSE),"0")</f>
        <v>3.3999999999999998E-3</v>
      </c>
    </row>
    <row r="431" spans="1:16" x14ac:dyDescent="0.2">
      <c r="A431" t="s">
        <v>400</v>
      </c>
      <c r="B431" t="s">
        <v>507</v>
      </c>
      <c r="C431" t="s">
        <v>10</v>
      </c>
      <c r="D431">
        <v>3100</v>
      </c>
      <c r="E431">
        <v>6.6329223809512401</v>
      </c>
      <c r="F431">
        <v>6.06</v>
      </c>
      <c r="G431">
        <v>0.57292238095124504</v>
      </c>
      <c r="H431">
        <v>2.1396523809520098</v>
      </c>
      <c r="I431">
        <v>1.65823059523781</v>
      </c>
      <c r="J431">
        <v>21.5823059523781</v>
      </c>
      <c r="K431">
        <v>0.20393238050913501</v>
      </c>
      <c r="L431" t="s">
        <v>482</v>
      </c>
      <c r="M431">
        <v>5.5093811648675999</v>
      </c>
      <c r="N431">
        <v>41767085</v>
      </c>
      <c r="O431">
        <f>IFERROR(VLOOKUP($A431,Actual!$A:$D,4,FALSE),IFERROR(VLOOKUP($A431,FC!$A:$AD,29,FALSE),"Not Found"))</f>
        <v>16.5</v>
      </c>
      <c r="P431" s="5">
        <f>IFERROR(VLOOKUP($A431,Actual!$A:$D,3,FALSE),"0")</f>
        <v>1.6999999999999999E-3</v>
      </c>
    </row>
    <row r="432" spans="1:16" x14ac:dyDescent="0.2">
      <c r="A432" t="s">
        <v>588</v>
      </c>
      <c r="B432" t="s">
        <v>492</v>
      </c>
      <c r="C432" t="s">
        <v>5</v>
      </c>
      <c r="D432">
        <v>2500</v>
      </c>
      <c r="E432">
        <v>4.79351258000057</v>
      </c>
      <c r="F432">
        <v>4.83</v>
      </c>
      <c r="G432">
        <v>-3.64874199994265E-2</v>
      </c>
      <c r="H432">
        <v>1.9174050320002201</v>
      </c>
      <c r="I432">
        <v>1.1983781450001401</v>
      </c>
      <c r="J432">
        <v>16.983781450001398</v>
      </c>
      <c r="K432">
        <v>0.68225251145056598</v>
      </c>
      <c r="L432" t="s">
        <v>482</v>
      </c>
      <c r="M432">
        <v>2.84946079579173</v>
      </c>
      <c r="N432">
        <v>41766773</v>
      </c>
      <c r="O432">
        <f>IFERROR(VLOOKUP($A432,Actual!$A:$D,4,FALSE),IFERROR(VLOOKUP($A432,FC!$A:$AD,29,FALSE),"Not Found"))</f>
        <v>2.6</v>
      </c>
      <c r="P432" s="5" t="str">
        <f>IFERROR(VLOOKUP($A432,Actual!$A:$D,3,FALSE),"0")</f>
        <v>0</v>
      </c>
    </row>
    <row r="433" spans="1:16" x14ac:dyDescent="0.2">
      <c r="A433" t="s">
        <v>157</v>
      </c>
      <c r="B433" t="s">
        <v>484</v>
      </c>
      <c r="C433" t="s">
        <v>5</v>
      </c>
      <c r="D433">
        <v>5200</v>
      </c>
      <c r="E433">
        <v>10.6648681282194</v>
      </c>
      <c r="F433">
        <v>9.2799999999999994</v>
      </c>
      <c r="G433">
        <v>1.38486812821942</v>
      </c>
      <c r="H433">
        <v>2.0509361785037301</v>
      </c>
      <c r="I433">
        <v>2.6662170320548499</v>
      </c>
      <c r="J433">
        <v>31.662170320548501</v>
      </c>
      <c r="K433">
        <v>1.2102943451955199</v>
      </c>
      <c r="L433" t="s">
        <v>482</v>
      </c>
      <c r="M433">
        <v>4.8250895413099402</v>
      </c>
      <c r="N433">
        <v>41766897</v>
      </c>
      <c r="O433">
        <f>IFERROR(VLOOKUP($A433,Actual!$A:$D,4,FALSE),IFERROR(VLOOKUP($A433,FC!$A:$AD,29,FALSE),"Not Found"))</f>
        <v>1.5</v>
      </c>
      <c r="P433" s="5">
        <f>IFERROR(VLOOKUP($A433,Actual!$A:$D,3,FALSE),"0")</f>
        <v>1.6799999999999999E-2</v>
      </c>
    </row>
    <row r="434" spans="1:16" x14ac:dyDescent="0.2">
      <c r="A434" t="s">
        <v>351</v>
      </c>
      <c r="B434" t="s">
        <v>484</v>
      </c>
      <c r="C434" t="s">
        <v>5</v>
      </c>
      <c r="D434">
        <v>2900</v>
      </c>
      <c r="E434">
        <v>6.2078957900087204</v>
      </c>
      <c r="F434">
        <v>5.59</v>
      </c>
      <c r="G434">
        <v>0.61789579000872796</v>
      </c>
      <c r="H434">
        <v>2.1406537206926601</v>
      </c>
      <c r="I434">
        <v>1.5519739475021801</v>
      </c>
      <c r="J434">
        <v>20.519739475021801</v>
      </c>
      <c r="K434">
        <v>0.78459038816815097</v>
      </c>
      <c r="L434" t="s">
        <v>482</v>
      </c>
      <c r="M434">
        <v>3.47861101974275</v>
      </c>
      <c r="N434">
        <v>41766611</v>
      </c>
      <c r="O434">
        <f>IFERROR(VLOOKUP($A434,Actual!$A:$D,4,FALSE),IFERROR(VLOOKUP($A434,FC!$A:$AD,29,FALSE),"Not Found"))</f>
        <v>10</v>
      </c>
      <c r="P434" s="5">
        <f>IFERROR(VLOOKUP($A434,Actual!$A:$D,3,FALSE),"0")</f>
        <v>3.3999999999999998E-3</v>
      </c>
    </row>
    <row r="435" spans="1:16" x14ac:dyDescent="0.2">
      <c r="A435" t="s">
        <v>722</v>
      </c>
      <c r="B435" t="s">
        <v>509</v>
      </c>
      <c r="C435" t="s">
        <v>10</v>
      </c>
      <c r="D435">
        <v>2500</v>
      </c>
      <c r="E435">
        <v>1.9855460399998299</v>
      </c>
      <c r="F435">
        <v>2.08</v>
      </c>
      <c r="G435">
        <v>-9.4453960000167703E-2</v>
      </c>
      <c r="H435">
        <v>0.79421841599993204</v>
      </c>
      <c r="I435">
        <v>0.49638650999995798</v>
      </c>
      <c r="J435">
        <v>9.9638650999995804</v>
      </c>
      <c r="K435">
        <v>0.14957533497914299</v>
      </c>
      <c r="L435" t="s">
        <v>482</v>
      </c>
      <c r="M435">
        <v>1.72719958369309</v>
      </c>
      <c r="N435">
        <v>41767299</v>
      </c>
      <c r="O435">
        <f>IFERROR(VLOOKUP($A435,Actual!$A:$D,4,FALSE),IFERROR(VLOOKUP($A435,FC!$A:$AD,29,FALSE),"Not Found"))</f>
        <v>8.4</v>
      </c>
      <c r="P435" s="5" t="str">
        <f>IFERROR(VLOOKUP($A435,Actual!$A:$D,3,FALSE),"0")</f>
        <v>0</v>
      </c>
    </row>
    <row r="436" spans="1:16" x14ac:dyDescent="0.2">
      <c r="A436" t="s">
        <v>457</v>
      </c>
      <c r="B436" t="s">
        <v>506</v>
      </c>
      <c r="C436" t="s">
        <v>10</v>
      </c>
      <c r="D436">
        <v>3200</v>
      </c>
      <c r="E436">
        <v>7.8633189620241097</v>
      </c>
      <c r="F436">
        <v>7</v>
      </c>
      <c r="G436">
        <v>0.86331896202411595</v>
      </c>
      <c r="H436">
        <v>2.4572871756325299</v>
      </c>
      <c r="I436">
        <v>1.9658297405060201</v>
      </c>
      <c r="J436">
        <v>24.6582974050602</v>
      </c>
      <c r="K436">
        <v>0.30589857076370303</v>
      </c>
      <c r="L436" t="s">
        <v>482</v>
      </c>
      <c r="M436">
        <v>6.0213856865051598</v>
      </c>
      <c r="N436">
        <v>41767071</v>
      </c>
      <c r="O436">
        <f>IFERROR(VLOOKUP($A436,Actual!$A:$D,4,FALSE),IFERROR(VLOOKUP($A436,FC!$A:$AD,29,FALSE),"Not Found"))</f>
        <v>4.3</v>
      </c>
      <c r="P436" s="5">
        <f>IFERROR(VLOOKUP($A436,Actual!$A:$D,3,FALSE),"0")</f>
        <v>1.6999999999999999E-3</v>
      </c>
    </row>
    <row r="437" spans="1:16" x14ac:dyDescent="0.2">
      <c r="A437" t="s">
        <v>340</v>
      </c>
      <c r="B437" t="s">
        <v>486</v>
      </c>
      <c r="C437" t="s">
        <v>5</v>
      </c>
      <c r="D437">
        <v>2600</v>
      </c>
      <c r="E437">
        <v>6.08150360871619</v>
      </c>
      <c r="F437">
        <v>5.08</v>
      </c>
      <c r="G437">
        <v>1.0015036087161899</v>
      </c>
      <c r="H437">
        <v>2.3390398495062201</v>
      </c>
      <c r="I437">
        <v>1.52037590217904</v>
      </c>
      <c r="J437">
        <v>20.2037590217904</v>
      </c>
      <c r="K437">
        <v>1.0233787671758401</v>
      </c>
      <c r="L437" t="s">
        <v>482</v>
      </c>
      <c r="M437">
        <v>3.0056179828379399</v>
      </c>
      <c r="N437">
        <v>41766641</v>
      </c>
      <c r="O437">
        <f>IFERROR(VLOOKUP($A437,Actual!$A:$D,4,FALSE),IFERROR(VLOOKUP($A437,FC!$A:$AD,29,FALSE),"Not Found"))</f>
        <v>3</v>
      </c>
      <c r="P437" s="5">
        <f>IFERROR(VLOOKUP($A437,Actual!$A:$D,3,FALSE),"0")</f>
        <v>3.3999999999999998E-3</v>
      </c>
    </row>
    <row r="438" spans="1:16" x14ac:dyDescent="0.2">
      <c r="A438" t="s">
        <v>232</v>
      </c>
      <c r="B438" t="s">
        <v>509</v>
      </c>
      <c r="C438" t="s">
        <v>10</v>
      </c>
      <c r="D438">
        <v>4100</v>
      </c>
      <c r="E438">
        <v>9.1460309301328202</v>
      </c>
      <c r="F438">
        <v>7.44</v>
      </c>
      <c r="G438">
        <v>1.70603093013282</v>
      </c>
      <c r="H438">
        <v>2.2307392512519</v>
      </c>
      <c r="I438">
        <v>2.2865077325332002</v>
      </c>
      <c r="J438">
        <v>27.865077325331999</v>
      </c>
      <c r="K438">
        <v>0.61179714152740605</v>
      </c>
      <c r="L438" t="s">
        <v>482</v>
      </c>
      <c r="M438">
        <v>5.67443054370084</v>
      </c>
      <c r="N438">
        <v>41766963</v>
      </c>
      <c r="O438">
        <f>IFERROR(VLOOKUP($A438,Actual!$A:$D,4,FALSE),IFERROR(VLOOKUP($A438,FC!$A:$AD,29,FALSE),"Not Found"))</f>
        <v>12.8</v>
      </c>
      <c r="P438" s="5">
        <f>IFERROR(VLOOKUP($A438,Actual!$A:$D,3,FALSE),"0")</f>
        <v>1.01E-2</v>
      </c>
    </row>
    <row r="439" spans="1:16" x14ac:dyDescent="0.2">
      <c r="A439" t="s">
        <v>97</v>
      </c>
      <c r="B439" t="s">
        <v>497</v>
      </c>
      <c r="C439" t="s">
        <v>10</v>
      </c>
      <c r="D439">
        <v>6700</v>
      </c>
      <c r="E439">
        <v>15.180458335985801</v>
      </c>
      <c r="F439">
        <v>12.83</v>
      </c>
      <c r="G439">
        <v>2.3504583359858802</v>
      </c>
      <c r="H439">
        <v>2.2657400501471399</v>
      </c>
      <c r="I439">
        <v>3.7951145839964702</v>
      </c>
      <c r="J439">
        <v>42.951145839964703</v>
      </c>
      <c r="K439">
        <v>1.18868194617417</v>
      </c>
      <c r="L439" t="s">
        <v>482</v>
      </c>
      <c r="M439">
        <v>6.9358905082218101</v>
      </c>
      <c r="N439">
        <v>41766831</v>
      </c>
      <c r="O439">
        <f>IFERROR(VLOOKUP($A439,Actual!$A:$D,4,FALSE),IFERROR(VLOOKUP($A439,FC!$A:$AD,29,FALSE),"Not Found"))</f>
        <v>0</v>
      </c>
      <c r="P439" s="5">
        <f>IFERROR(VLOOKUP($A439,Actual!$A:$D,3,FALSE),"0")</f>
        <v>2.86E-2</v>
      </c>
    </row>
    <row r="440" spans="1:16" x14ac:dyDescent="0.2">
      <c r="A440" t="s">
        <v>580</v>
      </c>
      <c r="B440" t="s">
        <v>507</v>
      </c>
      <c r="C440" t="s">
        <v>10</v>
      </c>
      <c r="D440">
        <v>2800</v>
      </c>
      <c r="E440">
        <v>4.9414855171835796</v>
      </c>
      <c r="F440">
        <v>4.91</v>
      </c>
      <c r="G440">
        <v>3.1485517183589197E-2</v>
      </c>
      <c r="H440">
        <v>1.76481625613699</v>
      </c>
      <c r="I440">
        <v>1.23537137929589</v>
      </c>
      <c r="J440">
        <v>17.353713792958899</v>
      </c>
      <c r="K440">
        <v>0.20393238050913501</v>
      </c>
      <c r="L440" t="s">
        <v>482</v>
      </c>
      <c r="M440">
        <v>4.10445436735729</v>
      </c>
      <c r="N440">
        <v>41767141</v>
      </c>
      <c r="O440">
        <f>IFERROR(VLOOKUP($A440,Actual!$A:$D,4,FALSE),IFERROR(VLOOKUP($A440,FC!$A:$AD,29,FALSE),"Not Found"))</f>
        <v>4.3</v>
      </c>
      <c r="P440" s="5" t="str">
        <f>IFERROR(VLOOKUP($A440,Actual!$A:$D,3,FALSE),"0")</f>
        <v>0</v>
      </c>
    </row>
    <row r="441" spans="1:16" x14ac:dyDescent="0.2">
      <c r="A441" t="s">
        <v>674</v>
      </c>
      <c r="B441" t="s">
        <v>487</v>
      </c>
      <c r="C441" t="s">
        <v>17</v>
      </c>
      <c r="D441">
        <v>2500</v>
      </c>
      <c r="E441">
        <v>3.4869010086564298</v>
      </c>
      <c r="F441">
        <v>2</v>
      </c>
      <c r="G441">
        <v>1.48690100865643</v>
      </c>
      <c r="H441">
        <v>1.39476040346257</v>
      </c>
      <c r="I441">
        <v>0.87172525216410901</v>
      </c>
      <c r="J441">
        <v>13.717252521641001</v>
      </c>
      <c r="K441">
        <v>0.415180941770875</v>
      </c>
      <c r="L441" t="s">
        <v>482</v>
      </c>
      <c r="M441">
        <v>2.4639259233473898</v>
      </c>
      <c r="N441">
        <v>41768061</v>
      </c>
      <c r="O441">
        <f>IFERROR(VLOOKUP($A441,Actual!$A:$D,4,FALSE),IFERROR(VLOOKUP($A441,FC!$A:$AD,29,FALSE),"Not Found"))</f>
        <v>3</v>
      </c>
      <c r="P441" s="5" t="str">
        <f>IFERROR(VLOOKUP($A441,Actual!$A:$D,3,FALSE),"0")</f>
        <v>0</v>
      </c>
    </row>
    <row r="442" spans="1:16" x14ac:dyDescent="0.2">
      <c r="A442" t="s">
        <v>166</v>
      </c>
      <c r="B442" t="s">
        <v>478</v>
      </c>
      <c r="C442" t="s">
        <v>5</v>
      </c>
      <c r="D442">
        <v>4100</v>
      </c>
      <c r="E442">
        <v>8.5809051254148692</v>
      </c>
      <c r="F442">
        <v>7.15</v>
      </c>
      <c r="G442">
        <v>1.4309051254148699</v>
      </c>
      <c r="H442">
        <v>2.0929036891255799</v>
      </c>
      <c r="I442">
        <v>2.1452262813537102</v>
      </c>
      <c r="J442">
        <v>26.4522628135371</v>
      </c>
      <c r="K442">
        <v>0.61179714152740605</v>
      </c>
      <c r="L442" t="s">
        <v>482</v>
      </c>
      <c r="M442">
        <v>5.32381210037589</v>
      </c>
      <c r="N442">
        <v>41766959</v>
      </c>
      <c r="O442">
        <f>IFERROR(VLOOKUP($A442,Actual!$A:$D,4,FALSE),IFERROR(VLOOKUP($A442,FC!$A:$AD,29,FALSE),"Not Found"))</f>
        <v>12.8</v>
      </c>
      <c r="P442" s="5">
        <f>IFERROR(VLOOKUP($A442,Actual!$A:$D,3,FALSE),"0")</f>
        <v>1.6799999999999999E-2</v>
      </c>
    </row>
    <row r="443" spans="1:16" x14ac:dyDescent="0.2">
      <c r="A443" t="s">
        <v>313</v>
      </c>
      <c r="B443" t="s">
        <v>485</v>
      </c>
      <c r="C443" t="s">
        <v>5</v>
      </c>
      <c r="D443">
        <v>2900</v>
      </c>
      <c r="E443">
        <v>5.9516631221920404</v>
      </c>
      <c r="F443">
        <v>5.48</v>
      </c>
      <c r="G443">
        <v>0.47166312219204098</v>
      </c>
      <c r="H443">
        <v>2.05229762834208</v>
      </c>
      <c r="I443">
        <v>1.4879157805480101</v>
      </c>
      <c r="J443">
        <v>19.879157805480101</v>
      </c>
      <c r="K443">
        <v>0.17733250479055199</v>
      </c>
      <c r="L443" t="s">
        <v>482</v>
      </c>
      <c r="M443">
        <v>5.0552100600083598</v>
      </c>
      <c r="N443">
        <v>41767109</v>
      </c>
      <c r="O443">
        <f>IFERROR(VLOOKUP($A443,Actual!$A:$D,4,FALSE),IFERROR(VLOOKUP($A443,FC!$A:$AD,29,FALSE),"Not Found"))</f>
        <v>11.5</v>
      </c>
      <c r="P443" s="5">
        <f>IFERROR(VLOOKUP($A443,Actual!$A:$D,3,FALSE),"0")</f>
        <v>5.1000000000000004E-3</v>
      </c>
    </row>
    <row r="444" spans="1:16" x14ac:dyDescent="0.2">
      <c r="A444" t="s">
        <v>532</v>
      </c>
      <c r="B444" t="s">
        <v>497</v>
      </c>
      <c r="C444" t="s">
        <v>10</v>
      </c>
      <c r="D444">
        <v>2500</v>
      </c>
      <c r="E444">
        <v>6.2298265953904401</v>
      </c>
      <c r="F444">
        <v>5.53</v>
      </c>
      <c r="G444">
        <v>0.699826595390447</v>
      </c>
      <c r="H444">
        <v>2.4919306381561701</v>
      </c>
      <c r="I444">
        <v>1.55745664884761</v>
      </c>
      <c r="J444">
        <v>20.574566488476101</v>
      </c>
      <c r="K444">
        <v>0.26599875718582899</v>
      </c>
      <c r="L444" t="s">
        <v>482</v>
      </c>
      <c r="M444">
        <v>4.9208789187428899</v>
      </c>
      <c r="N444">
        <v>41767235</v>
      </c>
      <c r="O444">
        <f>IFERROR(VLOOKUP($A444,Actual!$A:$D,4,FALSE),IFERROR(VLOOKUP($A444,FC!$A:$AD,29,FALSE),"Not Found"))</f>
        <v>1.5</v>
      </c>
      <c r="P444" s="5" t="str">
        <f>IFERROR(VLOOKUP($A444,Actual!$A:$D,3,FALSE),"0")</f>
        <v>0</v>
      </c>
    </row>
    <row r="445" spans="1:16" x14ac:dyDescent="0.2">
      <c r="A445" t="s">
        <v>158</v>
      </c>
      <c r="B445" t="s">
        <v>499</v>
      </c>
      <c r="C445" t="s">
        <v>5</v>
      </c>
      <c r="D445">
        <v>4000</v>
      </c>
      <c r="E445">
        <v>8.5446613323178298</v>
      </c>
      <c r="F445">
        <v>7.82</v>
      </c>
      <c r="G445">
        <v>0.72466133231782903</v>
      </c>
      <c r="H445">
        <v>2.1361653330794499</v>
      </c>
      <c r="I445">
        <v>2.1361653330794499</v>
      </c>
      <c r="J445">
        <v>26.3616533307945</v>
      </c>
      <c r="K445">
        <v>0.61179714152740605</v>
      </c>
      <c r="L445" t="s">
        <v>482</v>
      </c>
      <c r="M445">
        <v>5.3013255279883102</v>
      </c>
      <c r="N445">
        <v>41766971</v>
      </c>
      <c r="O445">
        <f>IFERROR(VLOOKUP($A445,Actual!$A:$D,4,FALSE),IFERROR(VLOOKUP($A445,FC!$A:$AD,29,FALSE),"Not Found"))</f>
        <v>16.3</v>
      </c>
      <c r="P445" s="5">
        <f>IFERROR(VLOOKUP($A445,Actual!$A:$D,3,FALSE),"0")</f>
        <v>1.6799999999999999E-2</v>
      </c>
    </row>
    <row r="446" spans="1:16" x14ac:dyDescent="0.2">
      <c r="A446" t="s">
        <v>175</v>
      </c>
      <c r="B446" t="s">
        <v>505</v>
      </c>
      <c r="C446" t="s">
        <v>10</v>
      </c>
      <c r="D446">
        <v>3800</v>
      </c>
      <c r="E446">
        <v>8.4687490802989895</v>
      </c>
      <c r="F446">
        <v>8.14</v>
      </c>
      <c r="G446">
        <v>0.32874908029899003</v>
      </c>
      <c r="H446">
        <v>2.22861817902605</v>
      </c>
      <c r="I446">
        <v>2.1171872700747398</v>
      </c>
      <c r="J446">
        <v>26.1718727007474</v>
      </c>
      <c r="K446">
        <v>0.61179714152740605</v>
      </c>
      <c r="L446" t="s">
        <v>482</v>
      </c>
      <c r="M446">
        <v>5.2542276333072797</v>
      </c>
      <c r="N446">
        <v>41766999</v>
      </c>
      <c r="O446">
        <f>IFERROR(VLOOKUP($A446,Actual!$A:$D,4,FALSE),IFERROR(VLOOKUP($A446,FC!$A:$AD,29,FALSE),"Not Found"))</f>
        <v>9.5</v>
      </c>
      <c r="P446" s="5">
        <f>IFERROR(VLOOKUP($A446,Actual!$A:$D,3,FALSE),"0")</f>
        <v>1.52E-2</v>
      </c>
    </row>
    <row r="447" spans="1:16" x14ac:dyDescent="0.2">
      <c r="A447" t="s">
        <v>657</v>
      </c>
      <c r="B447" t="s">
        <v>486</v>
      </c>
      <c r="C447" t="s">
        <v>10</v>
      </c>
      <c r="D447">
        <v>2500</v>
      </c>
      <c r="E447">
        <v>3.8595980746915299</v>
      </c>
      <c r="F447">
        <v>3.95</v>
      </c>
      <c r="G447">
        <v>-9.04019253084693E-2</v>
      </c>
      <c r="H447">
        <v>1.5438392298766099</v>
      </c>
      <c r="I447">
        <v>0.96489951867288204</v>
      </c>
      <c r="J447">
        <v>14.648995186728801</v>
      </c>
      <c r="K447">
        <v>0.14957533497914299</v>
      </c>
      <c r="L447" t="s">
        <v>482</v>
      </c>
      <c r="M447">
        <v>3.3574120436061299</v>
      </c>
      <c r="N447">
        <v>41767467</v>
      </c>
      <c r="O447">
        <f>IFERROR(VLOOKUP($A447,Actual!$A:$D,4,FALSE),IFERROR(VLOOKUP($A447,FC!$A:$AD,29,FALSE),"Not Found"))</f>
        <v>1.3</v>
      </c>
      <c r="P447" s="5" t="str">
        <f>IFERROR(VLOOKUP($A447,Actual!$A:$D,3,FALSE),"0")</f>
        <v>0</v>
      </c>
    </row>
    <row r="448" spans="1:16" x14ac:dyDescent="0.2">
      <c r="A448" t="s">
        <v>447</v>
      </c>
      <c r="B448" t="s">
        <v>484</v>
      </c>
      <c r="C448" t="s">
        <v>10</v>
      </c>
      <c r="D448">
        <v>2900</v>
      </c>
      <c r="E448">
        <v>7.5266459968643096</v>
      </c>
      <c r="F448">
        <v>6.09</v>
      </c>
      <c r="G448">
        <v>1.4366459968643099</v>
      </c>
      <c r="H448">
        <v>2.5953951713325201</v>
      </c>
      <c r="I448">
        <v>1.8816614992160701</v>
      </c>
      <c r="J448">
        <v>23.816614992160702</v>
      </c>
      <c r="K448">
        <v>0.26599875718582899</v>
      </c>
      <c r="L448" t="s">
        <v>482</v>
      </c>
      <c r="M448">
        <v>5.9452238433434097</v>
      </c>
      <c r="N448">
        <v>41767123</v>
      </c>
      <c r="O448">
        <f>IFERROR(VLOOKUP($A448,Actual!$A:$D,4,FALSE),IFERROR(VLOOKUP($A448,FC!$A:$AD,29,FALSE),"Not Found"))</f>
        <v>10</v>
      </c>
      <c r="P448" s="5">
        <f>IFERROR(VLOOKUP($A448,Actual!$A:$D,3,FALSE),"0")</f>
        <v>1.6999999999999999E-3</v>
      </c>
    </row>
    <row r="449" spans="1:16" x14ac:dyDescent="0.2">
      <c r="A449" t="s">
        <v>598</v>
      </c>
      <c r="B449" t="s">
        <v>488</v>
      </c>
      <c r="C449" t="s">
        <v>17</v>
      </c>
      <c r="D449">
        <v>2500</v>
      </c>
      <c r="E449">
        <v>4.6351504111892297</v>
      </c>
      <c r="F449">
        <v>2.97</v>
      </c>
      <c r="G449">
        <v>1.6651504111892299</v>
      </c>
      <c r="H449">
        <v>1.85406016447569</v>
      </c>
      <c r="I449">
        <v>1.1587876027973001</v>
      </c>
      <c r="J449">
        <v>16.587876027973</v>
      </c>
      <c r="K449">
        <v>0.69196823628479198</v>
      </c>
      <c r="L449" t="s">
        <v>482</v>
      </c>
      <c r="M449">
        <v>2.7395020259759999</v>
      </c>
      <c r="N449">
        <v>41768051</v>
      </c>
      <c r="O449">
        <f>IFERROR(VLOOKUP($A449,Actual!$A:$D,4,FALSE),IFERROR(VLOOKUP($A449,FC!$A:$AD,29,FALSE),"Not Found"))</f>
        <v>4.0999999999999996</v>
      </c>
      <c r="P449" s="5" t="str">
        <f>IFERROR(VLOOKUP($A449,Actual!$A:$D,3,FALSE),"0")</f>
        <v>0</v>
      </c>
    </row>
    <row r="450" spans="1:16" x14ac:dyDescent="0.2">
      <c r="A450" t="s">
        <v>619</v>
      </c>
      <c r="B450" t="s">
        <v>502</v>
      </c>
      <c r="C450" t="s">
        <v>17</v>
      </c>
      <c r="D450">
        <v>2500</v>
      </c>
      <c r="E450">
        <v>4.3686629758199604</v>
      </c>
      <c r="F450">
        <v>3.39</v>
      </c>
      <c r="G450">
        <v>0.97866297581996198</v>
      </c>
      <c r="H450">
        <v>1.7474651903279801</v>
      </c>
      <c r="I450">
        <v>1.0921657439549901</v>
      </c>
      <c r="J450">
        <v>15.9216574395499</v>
      </c>
      <c r="K450">
        <v>0.69196823628479198</v>
      </c>
      <c r="L450" t="s">
        <v>482</v>
      </c>
      <c r="M450">
        <v>2.5820005849593399</v>
      </c>
      <c r="N450">
        <v>41767861</v>
      </c>
      <c r="O450">
        <f>IFERROR(VLOOKUP($A450,Actual!$A:$D,4,FALSE),IFERROR(VLOOKUP($A450,FC!$A:$AD,29,FALSE),"Not Found"))</f>
        <v>1.3</v>
      </c>
      <c r="P450" s="5" t="str">
        <f>IFERROR(VLOOKUP($A450,Actual!$A:$D,3,FALSE),"0")</f>
        <v>0</v>
      </c>
    </row>
    <row r="451" spans="1:16" x14ac:dyDescent="0.2">
      <c r="A451" t="s">
        <v>652</v>
      </c>
      <c r="B451" t="s">
        <v>488</v>
      </c>
      <c r="C451" t="s">
        <v>5</v>
      </c>
      <c r="D451">
        <v>2500</v>
      </c>
      <c r="E451">
        <v>3.9180916707578399</v>
      </c>
      <c r="F451">
        <v>3.87</v>
      </c>
      <c r="G451">
        <v>4.8091670757840703E-2</v>
      </c>
      <c r="H451">
        <v>1.56723666830313</v>
      </c>
      <c r="I451">
        <v>0.97952291768945998</v>
      </c>
      <c r="J451">
        <v>14.795229176894599</v>
      </c>
      <c r="K451">
        <v>0.68225251145056598</v>
      </c>
      <c r="L451" t="s">
        <v>482</v>
      </c>
      <c r="M451">
        <v>2.3290746449112798</v>
      </c>
      <c r="N451">
        <v>41766789</v>
      </c>
      <c r="O451">
        <f>IFERROR(VLOOKUP($A451,Actual!$A:$D,4,FALSE),IFERROR(VLOOKUP($A451,FC!$A:$AD,29,FALSE),"Not Found"))</f>
        <v>2.8</v>
      </c>
      <c r="P451" s="5" t="str">
        <f>IFERROR(VLOOKUP($A451,Actual!$A:$D,3,FALSE),"0")</f>
        <v>0</v>
      </c>
    </row>
    <row r="452" spans="1:16" x14ac:dyDescent="0.2">
      <c r="A452" t="s">
        <v>725</v>
      </c>
      <c r="B452" t="s">
        <v>509</v>
      </c>
      <c r="C452" t="s">
        <v>10</v>
      </c>
      <c r="D452">
        <v>2500</v>
      </c>
      <c r="E452">
        <v>1.66594430870406</v>
      </c>
      <c r="F452">
        <v>1.1100000000000001</v>
      </c>
      <c r="G452">
        <v>0.55594430870406097</v>
      </c>
      <c r="H452">
        <v>0.66637772348162405</v>
      </c>
      <c r="I452">
        <v>0.41648607717601499</v>
      </c>
      <c r="J452">
        <v>9.16486077176015</v>
      </c>
      <c r="K452">
        <v>0.409351506870339</v>
      </c>
      <c r="L452" t="s">
        <v>482</v>
      </c>
      <c r="M452">
        <v>1.1820644463662</v>
      </c>
      <c r="N452">
        <v>41766693</v>
      </c>
      <c r="O452">
        <f>IFERROR(VLOOKUP($A452,Actual!$A:$D,4,FALSE),IFERROR(VLOOKUP($A452,FC!$A:$AD,29,FALSE),"Not Found"))</f>
        <v>4.5</v>
      </c>
      <c r="P452" s="5" t="str">
        <f>IFERROR(VLOOKUP($A452,Actual!$A:$D,3,FALSE),"0")</f>
        <v>0</v>
      </c>
    </row>
    <row r="453" spans="1:16" x14ac:dyDescent="0.2">
      <c r="A453" t="s">
        <v>612</v>
      </c>
      <c r="B453" t="s">
        <v>504</v>
      </c>
      <c r="C453" t="s">
        <v>17</v>
      </c>
      <c r="D453">
        <v>2500</v>
      </c>
      <c r="E453">
        <v>4.4524358434953104</v>
      </c>
      <c r="F453">
        <v>2.5</v>
      </c>
      <c r="G453">
        <v>1.95243584349531</v>
      </c>
      <c r="H453">
        <v>1.7809743373981199</v>
      </c>
      <c r="I453">
        <v>1.1131089608738201</v>
      </c>
      <c r="J453">
        <v>16.131089608738201</v>
      </c>
      <c r="K453">
        <v>0.69196823628479198</v>
      </c>
      <c r="L453" t="s">
        <v>482</v>
      </c>
      <c r="M453">
        <v>2.6315126655521199</v>
      </c>
      <c r="N453">
        <v>41767805</v>
      </c>
      <c r="O453">
        <f>IFERROR(VLOOKUP($A453,Actual!$A:$D,4,FALSE),IFERROR(VLOOKUP($A453,FC!$A:$AD,29,FALSE),"Not Found"))</f>
        <v>2.8</v>
      </c>
      <c r="P453" s="5" t="str">
        <f>IFERROR(VLOOKUP($A453,Actual!$A:$D,3,FALSE),"0")</f>
        <v>0</v>
      </c>
    </row>
    <row r="454" spans="1:16" x14ac:dyDescent="0.2">
      <c r="A454" t="s">
        <v>538</v>
      </c>
      <c r="B454" t="s">
        <v>481</v>
      </c>
      <c r="C454" t="s">
        <v>10</v>
      </c>
      <c r="D454">
        <v>2800</v>
      </c>
      <c r="E454">
        <v>6.0057861320882502</v>
      </c>
      <c r="F454">
        <v>4.8899999999999997</v>
      </c>
      <c r="G454">
        <v>1.1157861320882501</v>
      </c>
      <c r="H454">
        <v>2.1449236186029399</v>
      </c>
      <c r="I454">
        <v>1.5014465330220601</v>
      </c>
      <c r="J454">
        <v>20.014465330220599</v>
      </c>
      <c r="K454">
        <v>0.20393238050913501</v>
      </c>
      <c r="L454" t="s">
        <v>482</v>
      </c>
      <c r="M454">
        <v>4.9884746264141802</v>
      </c>
      <c r="N454">
        <v>41767139</v>
      </c>
      <c r="O454">
        <f>IFERROR(VLOOKUP($A454,Actual!$A:$D,4,FALSE),IFERROR(VLOOKUP($A454,FC!$A:$AD,29,FALSE),"Not Found"))</f>
        <v>4.5</v>
      </c>
      <c r="P454" s="5" t="str">
        <f>IFERROR(VLOOKUP($A454,Actual!$A:$D,3,FALSE),"0")</f>
        <v>0</v>
      </c>
    </row>
    <row r="455" spans="1:16" x14ac:dyDescent="0.2">
      <c r="A455" t="s">
        <v>591</v>
      </c>
      <c r="B455" t="s">
        <v>490</v>
      </c>
      <c r="C455" t="s">
        <v>5</v>
      </c>
      <c r="D455">
        <v>2500</v>
      </c>
      <c r="E455">
        <v>4.7287406713144904</v>
      </c>
      <c r="F455">
        <v>4.3499999999999996</v>
      </c>
      <c r="G455">
        <v>0.37874067131449202</v>
      </c>
      <c r="H455">
        <v>1.8914962685257899</v>
      </c>
      <c r="I455">
        <v>1.1821851678286199</v>
      </c>
      <c r="J455">
        <v>16.821851678286201</v>
      </c>
      <c r="K455">
        <v>0.17733250479055199</v>
      </c>
      <c r="L455" t="s">
        <v>482</v>
      </c>
      <c r="M455">
        <v>4.0164869754918797</v>
      </c>
      <c r="N455">
        <v>41767379</v>
      </c>
      <c r="O455">
        <f>IFERROR(VLOOKUP($A455,Actual!$A:$D,4,FALSE),IFERROR(VLOOKUP($A455,FC!$A:$AD,29,FALSE),"Not Found"))</f>
        <v>0</v>
      </c>
      <c r="P455" s="5" t="str">
        <f>IFERROR(VLOOKUP($A455,Actual!$A:$D,3,FALSE),"0")</f>
        <v>0</v>
      </c>
    </row>
    <row r="456" spans="1:16" x14ac:dyDescent="0.2">
      <c r="A456" t="s">
        <v>659</v>
      </c>
      <c r="B456" t="s">
        <v>504</v>
      </c>
      <c r="C456" t="s">
        <v>10</v>
      </c>
      <c r="D456">
        <v>2500</v>
      </c>
      <c r="E456">
        <v>3.7977099120277602</v>
      </c>
      <c r="F456">
        <v>4.2699999999999996</v>
      </c>
      <c r="G456">
        <v>-0.47229008797223199</v>
      </c>
      <c r="H456">
        <v>1.5190839648111001</v>
      </c>
      <c r="I456">
        <v>0.94942747800694105</v>
      </c>
      <c r="J456">
        <v>14.4942747800694</v>
      </c>
      <c r="K456">
        <v>0.14957533497914299</v>
      </c>
      <c r="L456" t="s">
        <v>482</v>
      </c>
      <c r="M456">
        <v>3.3035763698745901</v>
      </c>
      <c r="N456">
        <v>41767213</v>
      </c>
      <c r="O456">
        <f>IFERROR(VLOOKUP($A456,Actual!$A:$D,4,FALSE),IFERROR(VLOOKUP($A456,FC!$A:$AD,29,FALSE),"Not Found"))</f>
        <v>2.8</v>
      </c>
      <c r="P456" s="5" t="str">
        <f>IFERROR(VLOOKUP($A456,Actual!$A:$D,3,FALSE),"0")</f>
        <v>0</v>
      </c>
    </row>
    <row r="457" spans="1:16" x14ac:dyDescent="0.2">
      <c r="A457" t="s">
        <v>419</v>
      </c>
      <c r="B457" t="s">
        <v>508</v>
      </c>
      <c r="C457" t="s">
        <v>10</v>
      </c>
      <c r="D457">
        <v>2500</v>
      </c>
      <c r="E457">
        <v>5.3457035545470903</v>
      </c>
      <c r="F457">
        <v>4.29</v>
      </c>
      <c r="G457">
        <v>1.0557035545470901</v>
      </c>
      <c r="H457">
        <v>2.1382814218188302</v>
      </c>
      <c r="I457">
        <v>1.3364258886367699</v>
      </c>
      <c r="J457">
        <v>18.364258886367701</v>
      </c>
      <c r="K457">
        <v>0.20393238050913501</v>
      </c>
      <c r="L457" t="s">
        <v>482</v>
      </c>
      <c r="M457">
        <v>4.4402024906801003</v>
      </c>
      <c r="N457">
        <v>41767343</v>
      </c>
      <c r="O457">
        <f>IFERROR(VLOOKUP($A457,Actual!$A:$D,4,FALSE),IFERROR(VLOOKUP($A457,FC!$A:$AD,29,FALSE),"Not Found"))</f>
        <v>4.5</v>
      </c>
      <c r="P457" s="5">
        <f>IFERROR(VLOOKUP($A457,Actual!$A:$D,3,FALSE),"0")</f>
        <v>1.6999999999999999E-3</v>
      </c>
    </row>
    <row r="458" spans="1:16" x14ac:dyDescent="0.2">
      <c r="A458" t="s">
        <v>594</v>
      </c>
      <c r="B458" t="s">
        <v>496</v>
      </c>
      <c r="C458" t="s">
        <v>17</v>
      </c>
      <c r="D458">
        <v>2500</v>
      </c>
      <c r="E458">
        <v>4.6897355783255197</v>
      </c>
      <c r="F458">
        <v>3.98</v>
      </c>
      <c r="G458">
        <v>0.70973557832552303</v>
      </c>
      <c r="H458">
        <v>1.8758942313302001</v>
      </c>
      <c r="I458">
        <v>1.1724338945813799</v>
      </c>
      <c r="J458">
        <v>16.724338945813798</v>
      </c>
      <c r="K458">
        <v>0.69196823628479198</v>
      </c>
      <c r="L458" t="s">
        <v>482</v>
      </c>
      <c r="M458">
        <v>2.77176336869254</v>
      </c>
      <c r="N458">
        <v>41767913</v>
      </c>
      <c r="O458">
        <f>IFERROR(VLOOKUP($A458,Actual!$A:$D,4,FALSE),IFERROR(VLOOKUP($A458,FC!$A:$AD,29,FALSE),"Not Found"))</f>
        <v>2.6</v>
      </c>
      <c r="P458" s="5" t="str">
        <f>IFERROR(VLOOKUP($A458,Actual!$A:$D,3,FALSE),"0")</f>
        <v>0</v>
      </c>
    </row>
    <row r="459" spans="1:16" x14ac:dyDescent="0.2">
      <c r="A459" t="s">
        <v>676</v>
      </c>
      <c r="B459" t="s">
        <v>486</v>
      </c>
      <c r="C459" t="s">
        <v>5</v>
      </c>
      <c r="D459">
        <v>2500</v>
      </c>
      <c r="E459">
        <v>3.3782870995506902</v>
      </c>
      <c r="F459">
        <v>3.34</v>
      </c>
      <c r="G459">
        <v>3.8287099550695203E-2</v>
      </c>
      <c r="H459">
        <v>1.3513148398202699</v>
      </c>
      <c r="I459">
        <v>0.84457177488767299</v>
      </c>
      <c r="J459">
        <v>13.445717748876699</v>
      </c>
      <c r="K459">
        <v>0.14957533497914299</v>
      </c>
      <c r="L459" t="s">
        <v>482</v>
      </c>
      <c r="M459">
        <v>2.9387261510895102</v>
      </c>
      <c r="N459">
        <v>41767465</v>
      </c>
      <c r="O459">
        <f>IFERROR(VLOOKUP($A459,Actual!$A:$D,4,FALSE),IFERROR(VLOOKUP($A459,FC!$A:$AD,29,FALSE),"Not Found"))</f>
        <v>1.3</v>
      </c>
      <c r="P459" s="5" t="str">
        <f>IFERROR(VLOOKUP($A459,Actual!$A:$D,3,FALSE),"0")</f>
        <v>0</v>
      </c>
    </row>
    <row r="460" spans="1:16" x14ac:dyDescent="0.2">
      <c r="A460" t="s">
        <v>576</v>
      </c>
      <c r="B460" t="s">
        <v>493</v>
      </c>
      <c r="C460" t="s">
        <v>17</v>
      </c>
      <c r="D460">
        <v>2500</v>
      </c>
      <c r="E460">
        <v>5.0508727544781102</v>
      </c>
      <c r="F460">
        <v>3.44</v>
      </c>
      <c r="G460">
        <v>1.6108727544781101</v>
      </c>
      <c r="H460">
        <v>2.0203491017912398</v>
      </c>
      <c r="I460">
        <v>1.26271818861952</v>
      </c>
      <c r="J460">
        <v>17.627181886195199</v>
      </c>
      <c r="K460">
        <v>0.79576347172751105</v>
      </c>
      <c r="L460" t="s">
        <v>482</v>
      </c>
      <c r="M460">
        <v>2.81266037203619</v>
      </c>
      <c r="N460">
        <v>41767985</v>
      </c>
      <c r="O460">
        <f>IFERROR(VLOOKUP($A460,Actual!$A:$D,4,FALSE),IFERROR(VLOOKUP($A460,FC!$A:$AD,29,FALSE),"Not Found"))</f>
        <v>0</v>
      </c>
      <c r="P460" s="5" t="str">
        <f>IFERROR(VLOOKUP($A460,Actual!$A:$D,3,FALSE),"0")</f>
        <v>0</v>
      </c>
    </row>
    <row r="461" spans="1:16" x14ac:dyDescent="0.2">
      <c r="A461" t="s">
        <v>525</v>
      </c>
      <c r="B461" t="s">
        <v>496</v>
      </c>
      <c r="C461" t="s">
        <v>5</v>
      </c>
      <c r="D461">
        <v>2500</v>
      </c>
      <c r="E461">
        <v>6.4917377821354103</v>
      </c>
      <c r="F461">
        <v>5.74</v>
      </c>
      <c r="G461">
        <v>0.75173778213541798</v>
      </c>
      <c r="H461">
        <v>2.5966951128541602</v>
      </c>
      <c r="I461">
        <v>1.6229344455338499</v>
      </c>
      <c r="J461">
        <v>21.229344455338499</v>
      </c>
      <c r="K461">
        <v>1.0233787671758401</v>
      </c>
      <c r="L461" t="s">
        <v>482</v>
      </c>
      <c r="M461">
        <v>3.2083650809464199</v>
      </c>
      <c r="N461">
        <v>41766715</v>
      </c>
      <c r="O461">
        <f>IFERROR(VLOOKUP($A461,Actual!$A:$D,4,FALSE),IFERROR(VLOOKUP($A461,FC!$A:$AD,29,FALSE),"Not Found"))</f>
        <v>3</v>
      </c>
      <c r="P461" s="5" t="str">
        <f>IFERROR(VLOOKUP($A461,Actual!$A:$D,3,FALSE),"0")</f>
        <v>0</v>
      </c>
    </row>
    <row r="462" spans="1:16" x14ac:dyDescent="0.2">
      <c r="A462" t="s">
        <v>446</v>
      </c>
      <c r="B462" t="s">
        <v>506</v>
      </c>
      <c r="C462" t="s">
        <v>17</v>
      </c>
      <c r="D462">
        <v>2500</v>
      </c>
      <c r="E462">
        <v>4.1855023744102802</v>
      </c>
      <c r="F462">
        <v>3.22</v>
      </c>
      <c r="G462">
        <v>0.96550237441028297</v>
      </c>
      <c r="H462">
        <v>1.6742009497641099</v>
      </c>
      <c r="I462">
        <v>1.04637559360257</v>
      </c>
      <c r="J462">
        <v>15.4637559360257</v>
      </c>
      <c r="K462">
        <v>0.69196823628479198</v>
      </c>
      <c r="L462" t="s">
        <v>482</v>
      </c>
      <c r="M462">
        <v>2.4737476062793999</v>
      </c>
      <c r="N462">
        <v>41768009</v>
      </c>
      <c r="O462">
        <f>IFERROR(VLOOKUP($A462,Actual!$A:$D,4,FALSE),IFERROR(VLOOKUP($A462,FC!$A:$AD,29,FALSE),"Not Found"))</f>
        <v>2.8</v>
      </c>
      <c r="P462" s="5">
        <f>IFERROR(VLOOKUP($A462,Actual!$A:$D,3,FALSE),"0")</f>
        <v>1.6999999999999999E-3</v>
      </c>
    </row>
    <row r="463" spans="1:16" x14ac:dyDescent="0.2">
      <c r="A463" t="s">
        <v>438</v>
      </c>
      <c r="B463" t="s">
        <v>478</v>
      </c>
      <c r="C463" t="s">
        <v>5</v>
      </c>
      <c r="D463">
        <v>2600</v>
      </c>
      <c r="E463">
        <v>5.1675890381862697</v>
      </c>
      <c r="F463">
        <v>4.0599999999999996</v>
      </c>
      <c r="G463">
        <v>1.1075890381862701</v>
      </c>
      <c r="H463">
        <v>1.9875342454562499</v>
      </c>
      <c r="I463">
        <v>1.2918972595465601</v>
      </c>
      <c r="J463">
        <v>17.918972595465601</v>
      </c>
      <c r="K463">
        <v>0.17733250479055199</v>
      </c>
      <c r="L463" t="s">
        <v>482</v>
      </c>
      <c r="M463">
        <v>4.3892350012926702</v>
      </c>
      <c r="N463">
        <v>41767169</v>
      </c>
      <c r="O463">
        <f>IFERROR(VLOOKUP($A463,Actual!$A:$D,4,FALSE),IFERROR(VLOOKUP($A463,FC!$A:$AD,29,FALSE),"Not Found"))</f>
        <v>1.5</v>
      </c>
      <c r="P463" s="5">
        <f>IFERROR(VLOOKUP($A463,Actual!$A:$D,3,FALSE),"0")</f>
        <v>1.6999999999999999E-3</v>
      </c>
    </row>
    <row r="464" spans="1:16" x14ac:dyDescent="0.2">
      <c r="A464" t="s">
        <v>661</v>
      </c>
      <c r="B464" t="s">
        <v>484</v>
      </c>
      <c r="C464" t="s">
        <v>5</v>
      </c>
      <c r="D464">
        <v>2500</v>
      </c>
      <c r="E464">
        <v>3.7181773046443398</v>
      </c>
      <c r="F464">
        <v>3.68</v>
      </c>
      <c r="G464">
        <v>3.8177304644340902E-2</v>
      </c>
      <c r="H464">
        <v>1.48727092185773</v>
      </c>
      <c r="I464">
        <v>0.92954432616108496</v>
      </c>
      <c r="J464">
        <v>14.295443261610799</v>
      </c>
      <c r="K464">
        <v>0.14957533497914299</v>
      </c>
      <c r="L464" t="s">
        <v>482</v>
      </c>
      <c r="M464">
        <v>3.2343920328734201</v>
      </c>
      <c r="N464">
        <v>41767479</v>
      </c>
      <c r="O464">
        <f>IFERROR(VLOOKUP($A464,Actual!$A:$D,4,FALSE),IFERROR(VLOOKUP($A464,FC!$A:$AD,29,FALSE),"Not Found"))</f>
        <v>1.3</v>
      </c>
      <c r="P464" s="5" t="str">
        <f>IFERROR(VLOOKUP($A464,Actual!$A:$D,3,FALSE),"0")</f>
        <v>0</v>
      </c>
    </row>
    <row r="465" spans="1:16" x14ac:dyDescent="0.2">
      <c r="A465" t="s">
        <v>239</v>
      </c>
      <c r="B465" t="s">
        <v>489</v>
      </c>
      <c r="C465" t="s">
        <v>5</v>
      </c>
      <c r="D465">
        <v>2800</v>
      </c>
      <c r="E465">
        <v>3.1926782858653402</v>
      </c>
      <c r="F465">
        <v>2.87</v>
      </c>
      <c r="G465">
        <v>0.32267828586534097</v>
      </c>
      <c r="H465">
        <v>1.1402422449519001</v>
      </c>
      <c r="I465">
        <v>0.79816957146633505</v>
      </c>
      <c r="J465">
        <v>12.981695714663299</v>
      </c>
      <c r="K465">
        <v>0.47075423290089002</v>
      </c>
      <c r="L465" t="s">
        <v>482</v>
      </c>
      <c r="M465">
        <v>2.1707762007036</v>
      </c>
      <c r="N465">
        <v>41766615</v>
      </c>
      <c r="O465">
        <f>IFERROR(VLOOKUP($A465,Actual!$A:$D,4,FALSE),IFERROR(VLOOKUP($A465,FC!$A:$AD,29,FALSE),"Not Found"))</f>
        <v>1.5</v>
      </c>
      <c r="P465" s="5">
        <f>IFERROR(VLOOKUP($A465,Actual!$A:$D,3,FALSE),"0")</f>
        <v>1.01E-2</v>
      </c>
    </row>
    <row r="466" spans="1:16" x14ac:dyDescent="0.2">
      <c r="A466" t="s">
        <v>593</v>
      </c>
      <c r="B466" t="s">
        <v>504</v>
      </c>
      <c r="C466" t="s">
        <v>10</v>
      </c>
      <c r="D466">
        <v>2500</v>
      </c>
      <c r="E466">
        <v>4.7087255659098499</v>
      </c>
      <c r="F466">
        <v>4.53</v>
      </c>
      <c r="G466">
        <v>0.178725565909856</v>
      </c>
      <c r="H466">
        <v>1.8834902263639399</v>
      </c>
      <c r="I466">
        <v>1.17718139147746</v>
      </c>
      <c r="J466">
        <v>16.771813914774601</v>
      </c>
      <c r="K466">
        <v>0.17733250479055199</v>
      </c>
      <c r="L466" t="s">
        <v>482</v>
      </c>
      <c r="M466">
        <v>3.9994865908739499</v>
      </c>
      <c r="N466">
        <v>41767211</v>
      </c>
      <c r="O466">
        <f>IFERROR(VLOOKUP($A466,Actual!$A:$D,4,FALSE),IFERROR(VLOOKUP($A466,FC!$A:$AD,29,FALSE),"Not Found"))</f>
        <v>0</v>
      </c>
      <c r="P466" s="5" t="str">
        <f>IFERROR(VLOOKUP($A466,Actual!$A:$D,3,FALSE),"0")</f>
        <v>0</v>
      </c>
    </row>
    <row r="467" spans="1:16" x14ac:dyDescent="0.2">
      <c r="A467" t="s">
        <v>300</v>
      </c>
      <c r="B467" t="s">
        <v>481</v>
      </c>
      <c r="C467" t="s">
        <v>5</v>
      </c>
      <c r="D467">
        <v>2700</v>
      </c>
      <c r="E467">
        <v>5.1567988248610899</v>
      </c>
      <c r="F467">
        <v>4.26</v>
      </c>
      <c r="G467">
        <v>0.89679882486109497</v>
      </c>
      <c r="H467">
        <v>1.90992549068929</v>
      </c>
      <c r="I467">
        <v>1.28919970621527</v>
      </c>
      <c r="J467">
        <v>17.891997062152701</v>
      </c>
      <c r="K467">
        <v>0.78459038816815097</v>
      </c>
      <c r="L467" t="s">
        <v>482</v>
      </c>
      <c r="M467">
        <v>2.8896260223358299</v>
      </c>
      <c r="N467">
        <v>41766629</v>
      </c>
      <c r="O467">
        <f>IFERROR(VLOOKUP($A467,Actual!$A:$D,4,FALSE),IFERROR(VLOOKUP($A467,FC!$A:$AD,29,FALSE),"Not Found"))</f>
        <v>13</v>
      </c>
      <c r="P467" s="5">
        <f>IFERROR(VLOOKUP($A467,Actual!$A:$D,3,FALSE),"0")</f>
        <v>6.7000000000000002E-3</v>
      </c>
    </row>
    <row r="468" spans="1:16" x14ac:dyDescent="0.2">
      <c r="A468" t="s">
        <v>671</v>
      </c>
      <c r="B468" t="s">
        <v>492</v>
      </c>
      <c r="C468" t="s">
        <v>10</v>
      </c>
      <c r="D468">
        <v>2500</v>
      </c>
      <c r="E468">
        <v>3.5078244050860699</v>
      </c>
      <c r="F468">
        <v>2.84</v>
      </c>
      <c r="G468">
        <v>0.66782440508607899</v>
      </c>
      <c r="H468">
        <v>1.4031297620344301</v>
      </c>
      <c r="I468">
        <v>0.87695610127151902</v>
      </c>
      <c r="J468">
        <v>13.7695610127151</v>
      </c>
      <c r="K468">
        <v>0.14957533497914299</v>
      </c>
      <c r="L468" t="s">
        <v>482</v>
      </c>
      <c r="M468">
        <v>3.05140889713828</v>
      </c>
      <c r="N468">
        <v>41767457</v>
      </c>
      <c r="O468">
        <f>IFERROR(VLOOKUP($A468,Actual!$A:$D,4,FALSE),IFERROR(VLOOKUP($A468,FC!$A:$AD,29,FALSE),"Not Found"))</f>
        <v>0</v>
      </c>
      <c r="P468" s="5" t="str">
        <f>IFERROR(VLOOKUP($A468,Actual!$A:$D,3,FALSE),"0")</f>
        <v>0</v>
      </c>
    </row>
    <row r="469" spans="1:16" x14ac:dyDescent="0.2">
      <c r="A469" t="s">
        <v>615</v>
      </c>
      <c r="B469" t="s">
        <v>507</v>
      </c>
      <c r="C469" t="s">
        <v>10</v>
      </c>
      <c r="D469">
        <v>2600</v>
      </c>
      <c r="E469">
        <v>4.4116656736249</v>
      </c>
      <c r="F469">
        <v>3.88</v>
      </c>
      <c r="G469">
        <v>0.53166567362490802</v>
      </c>
      <c r="H469">
        <v>1.6967944898557299</v>
      </c>
      <c r="I469">
        <v>1.1029164184062199</v>
      </c>
      <c r="J469">
        <v>16.0291641840622</v>
      </c>
      <c r="K469">
        <v>0.17733250479055199</v>
      </c>
      <c r="L469" t="s">
        <v>482</v>
      </c>
      <c r="M469">
        <v>3.7471705365084902</v>
      </c>
      <c r="N469">
        <v>41767183</v>
      </c>
      <c r="O469">
        <f>IFERROR(VLOOKUP($A469,Actual!$A:$D,4,FALSE),IFERROR(VLOOKUP($A469,FC!$A:$AD,29,FALSE),"Not Found"))</f>
        <v>35.5</v>
      </c>
      <c r="P469" s="5" t="str">
        <f>IFERROR(VLOOKUP($A469,Actual!$A:$D,3,FALSE),"0")</f>
        <v>0</v>
      </c>
    </row>
    <row r="470" spans="1:16" x14ac:dyDescent="0.2">
      <c r="A470" t="s">
        <v>516</v>
      </c>
      <c r="B470" t="s">
        <v>502</v>
      </c>
      <c r="C470" t="s">
        <v>10</v>
      </c>
      <c r="D470">
        <v>3200</v>
      </c>
      <c r="E470">
        <v>7.5075482641141003</v>
      </c>
      <c r="F470">
        <v>6.59</v>
      </c>
      <c r="G470">
        <v>0.91754826411410095</v>
      </c>
      <c r="H470">
        <v>2.3461088325356498</v>
      </c>
      <c r="I470">
        <v>1.87688706602852</v>
      </c>
      <c r="J470">
        <v>23.768870660285199</v>
      </c>
      <c r="K470">
        <v>0.26599875718582899</v>
      </c>
      <c r="L470" t="s">
        <v>482</v>
      </c>
      <c r="M470">
        <v>5.9301387315754699</v>
      </c>
      <c r="N470">
        <v>41767065</v>
      </c>
      <c r="O470">
        <f>IFERROR(VLOOKUP($A470,Actual!$A:$D,4,FALSE),IFERROR(VLOOKUP($A470,FC!$A:$AD,29,FALSE),"Not Found"))</f>
        <v>4.3</v>
      </c>
      <c r="P470" s="5" t="str">
        <f>IFERROR(VLOOKUP($A470,Actual!$A:$D,3,FALSE),"0")</f>
        <v>0</v>
      </c>
    </row>
    <row r="471" spans="1:16" x14ac:dyDescent="0.2">
      <c r="A471" t="s">
        <v>273</v>
      </c>
      <c r="B471" t="s">
        <v>492</v>
      </c>
      <c r="C471" t="s">
        <v>17</v>
      </c>
      <c r="D471">
        <v>2500</v>
      </c>
      <c r="E471">
        <v>6.4937293154723603</v>
      </c>
      <c r="F471">
        <v>5.01</v>
      </c>
      <c r="G471">
        <v>1.4837293154723601</v>
      </c>
      <c r="H471">
        <v>2.5974917261889399</v>
      </c>
      <c r="I471">
        <v>1.6234323288680901</v>
      </c>
      <c r="J471">
        <v>21.234323288680901</v>
      </c>
      <c r="K471">
        <v>1.19364520759126</v>
      </c>
      <c r="L471" t="s">
        <v>482</v>
      </c>
      <c r="M471">
        <v>2.9602459381309001</v>
      </c>
      <c r="N471">
        <v>41768021</v>
      </c>
      <c r="O471">
        <f>IFERROR(VLOOKUP($A471,Actual!$A:$D,4,FALSE),IFERROR(VLOOKUP($A471,FC!$A:$AD,29,FALSE),"Not Found"))</f>
        <v>1.3</v>
      </c>
      <c r="P471" s="5">
        <f>IFERROR(VLOOKUP($A471,Actual!$A:$D,3,FALSE),"0")</f>
        <v>8.3999999999999995E-3</v>
      </c>
    </row>
    <row r="472" spans="1:16" x14ac:dyDescent="0.2">
      <c r="A472" t="s">
        <v>602</v>
      </c>
      <c r="B472" t="s">
        <v>507</v>
      </c>
      <c r="C472" t="s">
        <v>17</v>
      </c>
      <c r="D472">
        <v>2500</v>
      </c>
      <c r="E472">
        <v>4.6019978299464297</v>
      </c>
      <c r="F472">
        <v>3.15</v>
      </c>
      <c r="G472">
        <v>1.45199782994643</v>
      </c>
      <c r="H472">
        <v>1.8407991319785699</v>
      </c>
      <c r="I472">
        <v>1.1504994574866001</v>
      </c>
      <c r="J472">
        <v>16.504994574866</v>
      </c>
      <c r="K472">
        <v>0.69196823628479198</v>
      </c>
      <c r="L472" t="s">
        <v>482</v>
      </c>
      <c r="M472">
        <v>2.7199079339996701</v>
      </c>
      <c r="N472">
        <v>41767951</v>
      </c>
      <c r="O472">
        <f>IFERROR(VLOOKUP($A472,Actual!$A:$D,4,FALSE),IFERROR(VLOOKUP($A472,FC!$A:$AD,29,FALSE),"Not Found"))</f>
        <v>7.8</v>
      </c>
      <c r="P472" s="5" t="str">
        <f>IFERROR(VLOOKUP($A472,Actual!$A:$D,3,FALSE),"0")</f>
        <v>0</v>
      </c>
    </row>
    <row r="473" spans="1:16" x14ac:dyDescent="0.2">
      <c r="A473" t="s">
        <v>122</v>
      </c>
      <c r="B473" t="s">
        <v>493</v>
      </c>
      <c r="C473" t="s">
        <v>10</v>
      </c>
      <c r="D473">
        <v>6300</v>
      </c>
      <c r="E473">
        <v>16.092482042531199</v>
      </c>
      <c r="F473">
        <v>12.98</v>
      </c>
      <c r="G473">
        <v>3.11248204253129</v>
      </c>
      <c r="H473">
        <v>2.5543622289732202</v>
      </c>
      <c r="I473">
        <v>4.0231205106328201</v>
      </c>
      <c r="J473">
        <v>45.231205106328197</v>
      </c>
      <c r="K473">
        <v>1.5560927295370901</v>
      </c>
      <c r="L473" t="s">
        <v>482</v>
      </c>
      <c r="M473">
        <v>6.2957348364453098</v>
      </c>
      <c r="N473">
        <v>41766849</v>
      </c>
      <c r="O473">
        <f>IFERROR(VLOOKUP($A473,Actual!$A:$D,4,FALSE),IFERROR(VLOOKUP($A473,FC!$A:$AD,29,FALSE),"Not Found"))</f>
        <v>3</v>
      </c>
      <c r="P473" s="5">
        <f>IFERROR(VLOOKUP($A473,Actual!$A:$D,3,FALSE),"0")</f>
        <v>2.3599999999999999E-2</v>
      </c>
    </row>
    <row r="474" spans="1:16" x14ac:dyDescent="0.2">
      <c r="A474" t="s">
        <v>250</v>
      </c>
      <c r="B474" t="s">
        <v>491</v>
      </c>
      <c r="C474" t="s">
        <v>10</v>
      </c>
      <c r="D474">
        <v>3300</v>
      </c>
      <c r="E474">
        <v>7.4364501720241298</v>
      </c>
      <c r="F474">
        <v>6.96</v>
      </c>
      <c r="G474">
        <v>0.47645017202413398</v>
      </c>
      <c r="H474">
        <v>2.2534697490982198</v>
      </c>
      <c r="I474">
        <v>1.85911254300603</v>
      </c>
      <c r="J474">
        <v>23.591125430060298</v>
      </c>
      <c r="K474">
        <v>0.20393238050913501</v>
      </c>
      <c r="L474" t="s">
        <v>482</v>
      </c>
      <c r="M474">
        <v>6.1768005349929203</v>
      </c>
      <c r="N474">
        <v>41767047</v>
      </c>
      <c r="O474">
        <f>IFERROR(VLOOKUP($A474,Actual!$A:$D,4,FALSE),IFERROR(VLOOKUP($A474,FC!$A:$AD,29,FALSE),"Not Found"))</f>
        <v>0</v>
      </c>
      <c r="P474" s="5">
        <f>IFERROR(VLOOKUP($A474,Actual!$A:$D,3,FALSE),"0")</f>
        <v>1.01E-2</v>
      </c>
    </row>
    <row r="475" spans="1:16" x14ac:dyDescent="0.2">
      <c r="A475" t="s">
        <v>429</v>
      </c>
      <c r="B475" t="s">
        <v>478</v>
      </c>
      <c r="C475" t="s">
        <v>10</v>
      </c>
      <c r="D475">
        <v>2500</v>
      </c>
      <c r="E475">
        <v>3.4184811836028</v>
      </c>
      <c r="F475">
        <v>2.63</v>
      </c>
      <c r="G475">
        <v>0.78848118360280095</v>
      </c>
      <c r="H475">
        <v>1.36739247344112</v>
      </c>
      <c r="I475">
        <v>0.85462029590069999</v>
      </c>
      <c r="J475">
        <v>13.546202959006999</v>
      </c>
      <c r="K475">
        <v>0.14957533497914299</v>
      </c>
      <c r="L475" t="s">
        <v>482</v>
      </c>
      <c r="M475">
        <v>2.9736904399265098</v>
      </c>
      <c r="N475">
        <v>41767191</v>
      </c>
      <c r="O475">
        <f>IFERROR(VLOOKUP($A475,Actual!$A:$D,4,FALSE),IFERROR(VLOOKUP($A475,FC!$A:$AD,29,FALSE),"Not Found"))</f>
        <v>10</v>
      </c>
      <c r="P475" s="5">
        <f>IFERROR(VLOOKUP($A475,Actual!$A:$D,3,FALSE),"0")</f>
        <v>1.6999999999999999E-3</v>
      </c>
    </row>
    <row r="476" spans="1:16" x14ac:dyDescent="0.2">
      <c r="A476" t="s">
        <v>338</v>
      </c>
      <c r="B476" t="s">
        <v>490</v>
      </c>
      <c r="C476" t="s">
        <v>10</v>
      </c>
      <c r="D476">
        <v>3900</v>
      </c>
      <c r="E476">
        <v>6.3047431917432002</v>
      </c>
      <c r="F476">
        <v>5.21</v>
      </c>
      <c r="G476">
        <v>1.0947431917432</v>
      </c>
      <c r="H476">
        <v>1.6166008183956899</v>
      </c>
      <c r="I476">
        <v>1.5761857979358</v>
      </c>
      <c r="J476">
        <v>20.761857979357998</v>
      </c>
      <c r="K476">
        <v>0.79799627155748598</v>
      </c>
      <c r="L476" t="s">
        <v>482</v>
      </c>
      <c r="M476">
        <v>3.5065385237322002</v>
      </c>
      <c r="N476">
        <v>41766985</v>
      </c>
      <c r="O476">
        <f>IFERROR(VLOOKUP($A476,Actual!$A:$D,4,FALSE),IFERROR(VLOOKUP($A476,FC!$A:$AD,29,FALSE),"Not Found"))</f>
        <v>1.5</v>
      </c>
      <c r="P476" s="5">
        <f>IFERROR(VLOOKUP($A476,Actual!$A:$D,3,FALSE),"0")</f>
        <v>3.3999999999999998E-3</v>
      </c>
    </row>
    <row r="477" spans="1:16" x14ac:dyDescent="0.2">
      <c r="A477" t="s">
        <v>692</v>
      </c>
      <c r="B477" t="s">
        <v>501</v>
      </c>
      <c r="C477" t="s">
        <v>10</v>
      </c>
      <c r="D477">
        <v>2500</v>
      </c>
      <c r="E477">
        <v>3.1115582670314801</v>
      </c>
      <c r="F477">
        <v>2.54</v>
      </c>
      <c r="G477">
        <v>0.57155826703148804</v>
      </c>
      <c r="H477">
        <v>1.24462330681259</v>
      </c>
      <c r="I477">
        <v>0.77788956675787202</v>
      </c>
      <c r="J477">
        <v>12.7788956675787</v>
      </c>
      <c r="K477">
        <v>0.14957533497914299</v>
      </c>
      <c r="L477" t="s">
        <v>482</v>
      </c>
      <c r="M477">
        <v>2.7067023555162999</v>
      </c>
      <c r="N477">
        <v>41767439</v>
      </c>
      <c r="O477">
        <f>IFERROR(VLOOKUP($A477,Actual!$A:$D,4,FALSE),IFERROR(VLOOKUP($A477,FC!$A:$AD,29,FALSE),"Not Found"))</f>
        <v>0</v>
      </c>
      <c r="P477" s="5" t="str">
        <f>IFERROR(VLOOKUP($A477,Actual!$A:$D,3,FALSE),"0")</f>
        <v>0</v>
      </c>
    </row>
    <row r="478" spans="1:16" x14ac:dyDescent="0.2">
      <c r="A478" t="s">
        <v>663</v>
      </c>
      <c r="B478" t="s">
        <v>491</v>
      </c>
      <c r="C478" t="s">
        <v>5</v>
      </c>
      <c r="D478">
        <v>2500</v>
      </c>
      <c r="E478">
        <v>3.6598287530756202</v>
      </c>
      <c r="F478">
        <v>3.35</v>
      </c>
      <c r="G478">
        <v>0.30982875307562802</v>
      </c>
      <c r="H478">
        <v>1.4639315012302501</v>
      </c>
      <c r="I478">
        <v>0.91495718826890704</v>
      </c>
      <c r="J478">
        <v>14.149571882688999</v>
      </c>
      <c r="K478">
        <v>0.14957533497914299</v>
      </c>
      <c r="L478" t="s">
        <v>482</v>
      </c>
      <c r="M478">
        <v>3.1836354188497098</v>
      </c>
      <c r="N478">
        <v>41767201</v>
      </c>
      <c r="O478">
        <f>IFERROR(VLOOKUP($A478,Actual!$A:$D,4,FALSE),IFERROR(VLOOKUP($A478,FC!$A:$AD,29,FALSE),"Not Found"))</f>
        <v>4.3</v>
      </c>
      <c r="P478" s="5" t="str">
        <f>IFERROR(VLOOKUP($A478,Actual!$A:$D,3,FALSE),"0")</f>
        <v>0</v>
      </c>
    </row>
    <row r="479" spans="1:16" x14ac:dyDescent="0.2">
      <c r="A479" t="s">
        <v>703</v>
      </c>
      <c r="B479" t="s">
        <v>507</v>
      </c>
      <c r="C479" t="s">
        <v>5</v>
      </c>
      <c r="D479">
        <v>2500</v>
      </c>
      <c r="E479">
        <v>2.81924829487467</v>
      </c>
      <c r="F479">
        <v>2.54</v>
      </c>
      <c r="G479">
        <v>0.27924829487467601</v>
      </c>
      <c r="H479">
        <v>1.12769931794987</v>
      </c>
      <c r="I479">
        <v>0.70481207371866905</v>
      </c>
      <c r="J479">
        <v>12.048120737186601</v>
      </c>
      <c r="K479">
        <v>0.14957533497914299</v>
      </c>
      <c r="L479" t="s">
        <v>482</v>
      </c>
      <c r="M479">
        <v>2.4524258733559399</v>
      </c>
      <c r="N479">
        <v>41767371</v>
      </c>
      <c r="O479">
        <f>IFERROR(VLOOKUP($A479,Actual!$A:$D,4,FALSE),IFERROR(VLOOKUP($A479,FC!$A:$AD,29,FALSE),"Not Found"))</f>
        <v>0</v>
      </c>
      <c r="P479" s="5" t="str">
        <f>IFERROR(VLOOKUP($A479,Actual!$A:$D,3,FALSE),"0")</f>
        <v>0</v>
      </c>
    </row>
    <row r="480" spans="1:16" x14ac:dyDescent="0.2">
      <c r="A480" t="s">
        <v>33</v>
      </c>
      <c r="B480" t="s">
        <v>485</v>
      </c>
      <c r="C480" t="s">
        <v>5</v>
      </c>
      <c r="D480">
        <v>3900</v>
      </c>
      <c r="E480">
        <v>8.4653017936227002</v>
      </c>
      <c r="F480">
        <v>7.5</v>
      </c>
      <c r="G480">
        <v>0.96530179362270496</v>
      </c>
      <c r="H480">
        <v>2.170590203493</v>
      </c>
      <c r="I480">
        <v>2.1163254484056702</v>
      </c>
      <c r="J480">
        <v>26.163254484056701</v>
      </c>
      <c r="K480">
        <v>3.83767037690943</v>
      </c>
      <c r="L480" t="s">
        <v>482</v>
      </c>
      <c r="M480">
        <v>1.7498715567782801</v>
      </c>
      <c r="N480">
        <v>41766547</v>
      </c>
      <c r="O480">
        <f>IFERROR(VLOOKUP($A480,Actual!$A:$D,4,FALSE),IFERROR(VLOOKUP($A480,FC!$A:$AD,29,FALSE),"Not Found"))</f>
        <v>10</v>
      </c>
      <c r="P480" s="5">
        <f>IFERROR(VLOOKUP($A480,Actual!$A:$D,3,FALSE),"0")</f>
        <v>6.5699999999999995E-2</v>
      </c>
    </row>
    <row r="481" spans="1:16" x14ac:dyDescent="0.2">
      <c r="A481" t="s">
        <v>660</v>
      </c>
      <c r="B481" t="s">
        <v>488</v>
      </c>
      <c r="C481" t="s">
        <v>10</v>
      </c>
      <c r="D481">
        <v>2500</v>
      </c>
      <c r="E481">
        <v>3.7965751810694499</v>
      </c>
      <c r="F481">
        <v>3.38</v>
      </c>
      <c r="G481">
        <v>0.41657518106945002</v>
      </c>
      <c r="H481">
        <v>1.5186300724277799</v>
      </c>
      <c r="I481">
        <v>0.94914379526736203</v>
      </c>
      <c r="J481">
        <v>14.4914379526736</v>
      </c>
      <c r="K481">
        <v>0.14957533497914299</v>
      </c>
      <c r="L481" t="s">
        <v>482</v>
      </c>
      <c r="M481">
        <v>3.3025892827966099</v>
      </c>
      <c r="N481">
        <v>41767491</v>
      </c>
      <c r="O481">
        <f>IFERROR(VLOOKUP($A481,Actual!$A:$D,4,FALSE),IFERROR(VLOOKUP($A481,FC!$A:$AD,29,FALSE),"Not Found"))</f>
        <v>0</v>
      </c>
      <c r="P481" s="5" t="str">
        <f>IFERROR(VLOOKUP($A481,Actual!$A:$D,3,FALSE),"0")</f>
        <v>0</v>
      </c>
    </row>
    <row r="482" spans="1:16" x14ac:dyDescent="0.2">
      <c r="A482" t="s">
        <v>402</v>
      </c>
      <c r="B482" t="s">
        <v>481</v>
      </c>
      <c r="C482" t="s">
        <v>5</v>
      </c>
      <c r="D482">
        <v>2900</v>
      </c>
      <c r="E482">
        <v>4.9215911755579196</v>
      </c>
      <c r="F482">
        <v>4.05</v>
      </c>
      <c r="G482">
        <v>0.87159117555791898</v>
      </c>
      <c r="H482">
        <v>1.6971004053648</v>
      </c>
      <c r="I482">
        <v>1.2303977938894799</v>
      </c>
      <c r="J482">
        <v>17.3039779388948</v>
      </c>
      <c r="K482">
        <v>0.20393238050913501</v>
      </c>
      <c r="L482" t="s">
        <v>482</v>
      </c>
      <c r="M482">
        <v>4.0879298997478601</v>
      </c>
      <c r="N482">
        <v>41767117</v>
      </c>
      <c r="O482">
        <f>IFERROR(VLOOKUP($A482,Actual!$A:$D,4,FALSE),IFERROR(VLOOKUP($A482,FC!$A:$AD,29,FALSE),"Not Found"))</f>
        <v>1.5</v>
      </c>
      <c r="P482" s="5">
        <f>IFERROR(VLOOKUP($A482,Actual!$A:$D,3,FALSE),"0")</f>
        <v>1.6999999999999999E-3</v>
      </c>
    </row>
    <row r="483" spans="1:16" x14ac:dyDescent="0.2">
      <c r="A483" t="s">
        <v>617</v>
      </c>
      <c r="B483" t="s">
        <v>498</v>
      </c>
      <c r="C483" t="s">
        <v>10</v>
      </c>
      <c r="D483">
        <v>2500</v>
      </c>
      <c r="E483">
        <v>4.39559036861806</v>
      </c>
      <c r="F483">
        <v>4.28</v>
      </c>
      <c r="G483">
        <v>0.11559036861805901</v>
      </c>
      <c r="H483">
        <v>1.7582361474472199</v>
      </c>
      <c r="I483">
        <v>1.0988975921545101</v>
      </c>
      <c r="J483">
        <v>15.9889759215451</v>
      </c>
      <c r="K483">
        <v>0.68225251145056598</v>
      </c>
      <c r="L483" t="s">
        <v>482</v>
      </c>
      <c r="M483">
        <v>2.6129194866398699</v>
      </c>
      <c r="N483">
        <v>41766705</v>
      </c>
      <c r="O483">
        <f>IFERROR(VLOOKUP($A483,Actual!$A:$D,4,FALSE),IFERROR(VLOOKUP($A483,FC!$A:$AD,29,FALSE),"Not Found"))</f>
        <v>0</v>
      </c>
      <c r="P483" s="5" t="str">
        <f>IFERROR(VLOOKUP($A483,Actual!$A:$D,3,FALSE),"0")</f>
        <v>0</v>
      </c>
    </row>
    <row r="484" spans="1:16" x14ac:dyDescent="0.2">
      <c r="A484" t="s">
        <v>437</v>
      </c>
      <c r="B484" t="s">
        <v>499</v>
      </c>
      <c r="C484" t="s">
        <v>10</v>
      </c>
      <c r="D484">
        <v>2500</v>
      </c>
      <c r="E484">
        <v>6.2111292205783597</v>
      </c>
      <c r="F484">
        <v>4.51</v>
      </c>
      <c r="G484">
        <v>1.7011292205783599</v>
      </c>
      <c r="H484">
        <v>2.4844516882313399</v>
      </c>
      <c r="I484">
        <v>1.5527823051445899</v>
      </c>
      <c r="J484">
        <v>20.5278230514459</v>
      </c>
      <c r="K484">
        <v>0.26599875718582899</v>
      </c>
      <c r="L484" t="s">
        <v>482</v>
      </c>
      <c r="M484">
        <v>4.9061100457831399</v>
      </c>
      <c r="N484">
        <v>41767417</v>
      </c>
      <c r="O484">
        <f>IFERROR(VLOOKUP($A484,Actual!$A:$D,4,FALSE),IFERROR(VLOOKUP($A484,FC!$A:$AD,29,FALSE),"Not Found"))</f>
        <v>11.8</v>
      </c>
      <c r="P484" s="5">
        <f>IFERROR(VLOOKUP($A484,Actual!$A:$D,3,FALSE),"0")</f>
        <v>1.6999999999999999E-3</v>
      </c>
    </row>
    <row r="485" spans="1:16" x14ac:dyDescent="0.2">
      <c r="A485" t="s">
        <v>709</v>
      </c>
      <c r="B485" t="s">
        <v>502</v>
      </c>
      <c r="C485" t="s">
        <v>5</v>
      </c>
      <c r="D485">
        <v>2500</v>
      </c>
      <c r="E485">
        <v>2.6407428548238401</v>
      </c>
      <c r="F485">
        <v>2.1800000000000002</v>
      </c>
      <c r="G485">
        <v>0.46074285482384297</v>
      </c>
      <c r="H485">
        <v>1.0562971419295299</v>
      </c>
      <c r="I485">
        <v>0.66018571370596002</v>
      </c>
      <c r="J485">
        <v>11.6018571370596</v>
      </c>
      <c r="K485">
        <v>0.409351506870339</v>
      </c>
      <c r="L485" t="s">
        <v>482</v>
      </c>
      <c r="M485">
        <v>1.87372904626751</v>
      </c>
      <c r="N485">
        <v>41766685</v>
      </c>
      <c r="O485">
        <f>IFERROR(VLOOKUP($A485,Actual!$A:$D,4,FALSE),IFERROR(VLOOKUP($A485,FC!$A:$AD,29,FALSE),"Not Found"))</f>
        <v>1.5</v>
      </c>
      <c r="P485" s="5" t="str">
        <f>IFERROR(VLOOKUP($A485,Actual!$A:$D,3,FALSE),"0")</f>
        <v>0</v>
      </c>
    </row>
    <row r="486" spans="1:16" x14ac:dyDescent="0.2">
      <c r="A486" t="s">
        <v>595</v>
      </c>
      <c r="B486" t="s">
        <v>501</v>
      </c>
      <c r="C486" t="s">
        <v>10</v>
      </c>
      <c r="D486">
        <v>2500</v>
      </c>
      <c r="E486">
        <v>4.6584073604377902</v>
      </c>
      <c r="F486">
        <v>3.91</v>
      </c>
      <c r="G486">
        <v>0.74840736043779899</v>
      </c>
      <c r="H486">
        <v>1.8633629441751101</v>
      </c>
      <c r="I486">
        <v>1.16460184010944</v>
      </c>
      <c r="J486">
        <v>16.646018401094398</v>
      </c>
      <c r="K486">
        <v>0.17733250479055199</v>
      </c>
      <c r="L486" t="s">
        <v>482</v>
      </c>
      <c r="M486">
        <v>3.9567474281758002</v>
      </c>
      <c r="N486">
        <v>41767441</v>
      </c>
      <c r="O486">
        <f>IFERROR(VLOOKUP($A486,Actual!$A:$D,4,FALSE),IFERROR(VLOOKUP($A486,FC!$A:$AD,29,FALSE),"Not Found"))</f>
        <v>0</v>
      </c>
      <c r="P486" s="5" t="str">
        <f>IFERROR(VLOOKUP($A486,Actual!$A:$D,3,FALSE),"0")</f>
        <v>0</v>
      </c>
    </row>
    <row r="487" spans="1:16" x14ac:dyDescent="0.2">
      <c r="A487" t="s">
        <v>680</v>
      </c>
      <c r="B487" t="s">
        <v>478</v>
      </c>
      <c r="C487" t="s">
        <v>5</v>
      </c>
      <c r="D487">
        <v>2500</v>
      </c>
      <c r="E487">
        <v>3.32007036603878</v>
      </c>
      <c r="F487">
        <v>2.84</v>
      </c>
      <c r="G487">
        <v>0.48007036603878001</v>
      </c>
      <c r="H487">
        <v>1.3280281464155099</v>
      </c>
      <c r="I487">
        <v>0.83001759150969501</v>
      </c>
      <c r="J487">
        <v>13.300175915096901</v>
      </c>
      <c r="K487">
        <v>0.14957533497914299</v>
      </c>
      <c r="L487" t="s">
        <v>482</v>
      </c>
      <c r="M487">
        <v>2.88808420380645</v>
      </c>
      <c r="N487">
        <v>41767193</v>
      </c>
      <c r="O487">
        <f>IFERROR(VLOOKUP($A487,Actual!$A:$D,4,FALSE),IFERROR(VLOOKUP($A487,FC!$A:$AD,29,FALSE),"Not Found"))</f>
        <v>0</v>
      </c>
      <c r="P487" s="5" t="str">
        <f>IFERROR(VLOOKUP($A487,Actual!$A:$D,3,FALSE),"0")</f>
        <v>0</v>
      </c>
    </row>
    <row r="488" spans="1:16" x14ac:dyDescent="0.2">
      <c r="A488" t="s">
        <v>689</v>
      </c>
      <c r="B488" t="s">
        <v>481</v>
      </c>
      <c r="C488" t="s">
        <v>5</v>
      </c>
      <c r="D488">
        <v>2500</v>
      </c>
      <c r="E488">
        <v>3.1745865225449701</v>
      </c>
      <c r="F488">
        <v>2.2200000000000002</v>
      </c>
      <c r="G488">
        <v>0.954586522544977</v>
      </c>
      <c r="H488">
        <v>1.2698346090179899</v>
      </c>
      <c r="I488">
        <v>0.79364663063624397</v>
      </c>
      <c r="J488">
        <v>12.9364663063624</v>
      </c>
      <c r="K488">
        <v>0.409351506870339</v>
      </c>
      <c r="L488" t="s">
        <v>482</v>
      </c>
      <c r="M488">
        <v>2.2525157897582102</v>
      </c>
      <c r="N488">
        <v>41766733</v>
      </c>
      <c r="O488">
        <f>IFERROR(VLOOKUP($A488,Actual!$A:$D,4,FALSE),IFERROR(VLOOKUP($A488,FC!$A:$AD,29,FALSE),"Not Found"))</f>
        <v>0</v>
      </c>
      <c r="P488" s="5" t="str">
        <f>IFERROR(VLOOKUP($A488,Actual!$A:$D,3,FALSE),"0")</f>
        <v>0</v>
      </c>
    </row>
    <row r="489" spans="1:16" x14ac:dyDescent="0.2">
      <c r="A489" t="s">
        <v>439</v>
      </c>
      <c r="B489" t="s">
        <v>492</v>
      </c>
      <c r="C489" t="s">
        <v>5</v>
      </c>
      <c r="D489">
        <v>2600</v>
      </c>
      <c r="E489">
        <v>6.4150907010235301</v>
      </c>
      <c r="F489">
        <v>5.83</v>
      </c>
      <c r="G489">
        <v>0.585090701023533</v>
      </c>
      <c r="H489">
        <v>2.4673425773167401</v>
      </c>
      <c r="I489">
        <v>1.6037726752558801</v>
      </c>
      <c r="J489">
        <v>21.0377267525588</v>
      </c>
      <c r="K489">
        <v>0.26599875718582899</v>
      </c>
      <c r="L489" t="s">
        <v>482</v>
      </c>
      <c r="M489">
        <v>5.0672172185094002</v>
      </c>
      <c r="N489">
        <v>41767185</v>
      </c>
      <c r="O489">
        <f>IFERROR(VLOOKUP($A489,Actual!$A:$D,4,FALSE),IFERROR(VLOOKUP($A489,FC!$A:$AD,29,FALSE),"Not Found"))</f>
        <v>0</v>
      </c>
      <c r="P489" s="5">
        <f>IFERROR(VLOOKUP($A489,Actual!$A:$D,3,FALSE),"0")</f>
        <v>1.6999999999999999E-3</v>
      </c>
    </row>
    <row r="490" spans="1:16" x14ac:dyDescent="0.2">
      <c r="A490" t="s">
        <v>647</v>
      </c>
      <c r="B490" t="s">
        <v>506</v>
      </c>
      <c r="C490" t="s">
        <v>5</v>
      </c>
      <c r="D490">
        <v>2500</v>
      </c>
      <c r="E490">
        <v>3.9394539280505501</v>
      </c>
      <c r="F490">
        <v>3.26</v>
      </c>
      <c r="G490">
        <v>0.67945392805055504</v>
      </c>
      <c r="H490">
        <v>1.5757815712202199</v>
      </c>
      <c r="I490">
        <v>0.98486348201263796</v>
      </c>
      <c r="J490">
        <v>14.8486348201263</v>
      </c>
      <c r="K490">
        <v>0.68225251145056598</v>
      </c>
      <c r="L490" t="s">
        <v>482</v>
      </c>
      <c r="M490">
        <v>2.3417732482109099</v>
      </c>
      <c r="N490">
        <v>41766763</v>
      </c>
      <c r="O490">
        <f>IFERROR(VLOOKUP($A490,Actual!$A:$D,4,FALSE),IFERROR(VLOOKUP($A490,FC!$A:$AD,29,FALSE),"Not Found"))</f>
        <v>3</v>
      </c>
      <c r="P490" s="5" t="str">
        <f>IFERROR(VLOOKUP($A490,Actual!$A:$D,3,FALSE),"0")</f>
        <v>0</v>
      </c>
    </row>
    <row r="491" spans="1:16" x14ac:dyDescent="0.2">
      <c r="A491" t="s">
        <v>697</v>
      </c>
      <c r="B491" t="s">
        <v>508</v>
      </c>
      <c r="C491" t="s">
        <v>5</v>
      </c>
      <c r="D491">
        <v>2500</v>
      </c>
      <c r="E491">
        <v>2.9798337205744398</v>
      </c>
      <c r="F491">
        <v>2.3199999999999998</v>
      </c>
      <c r="G491">
        <v>0.65983372057444001</v>
      </c>
      <c r="H491">
        <v>1.1919334882297701</v>
      </c>
      <c r="I491">
        <v>0.74495843014360996</v>
      </c>
      <c r="J491">
        <v>12.449584301436101</v>
      </c>
      <c r="K491">
        <v>0.409351506870339</v>
      </c>
      <c r="L491" t="s">
        <v>482</v>
      </c>
      <c r="M491">
        <v>2.1143296800324598</v>
      </c>
      <c r="N491">
        <v>41766723</v>
      </c>
      <c r="O491">
        <f>IFERROR(VLOOKUP($A491,Actual!$A:$D,4,FALSE),IFERROR(VLOOKUP($A491,FC!$A:$AD,29,FALSE),"Not Found"))</f>
        <v>0</v>
      </c>
      <c r="P491" s="5" t="str">
        <f>IFERROR(VLOOKUP($A491,Actual!$A:$D,3,FALSE),"0")</f>
        <v>0</v>
      </c>
    </row>
    <row r="492" spans="1:16" x14ac:dyDescent="0.2">
      <c r="A492" t="s">
        <v>523</v>
      </c>
      <c r="B492" t="s">
        <v>485</v>
      </c>
      <c r="C492" t="s">
        <v>5</v>
      </c>
      <c r="D492">
        <v>2500</v>
      </c>
      <c r="E492">
        <v>6.8032101605123296</v>
      </c>
      <c r="F492">
        <v>5.67</v>
      </c>
      <c r="G492">
        <v>1.1332101605123299</v>
      </c>
      <c r="H492">
        <v>2.7212840642049301</v>
      </c>
      <c r="I492">
        <v>1.70080254012808</v>
      </c>
      <c r="J492">
        <v>22.008025401280801</v>
      </c>
      <c r="K492">
        <v>0.26599875718582899</v>
      </c>
      <c r="L492" t="s">
        <v>482</v>
      </c>
      <c r="M492">
        <v>5.37378897245926</v>
      </c>
      <c r="N492">
        <v>41767221</v>
      </c>
      <c r="O492">
        <f>IFERROR(VLOOKUP($A492,Actual!$A:$D,4,FALSE),IFERROR(VLOOKUP($A492,FC!$A:$AD,29,FALSE),"Not Found"))</f>
        <v>3</v>
      </c>
      <c r="P492" s="5" t="str">
        <f>IFERROR(VLOOKUP($A492,Actual!$A:$D,3,FALSE),"0")</f>
        <v>0</v>
      </c>
    </row>
    <row r="493" spans="1:16" x14ac:dyDescent="0.2">
      <c r="A493" t="s">
        <v>358</v>
      </c>
      <c r="B493" t="s">
        <v>498</v>
      </c>
      <c r="C493" t="s">
        <v>10</v>
      </c>
      <c r="D493">
        <v>2500</v>
      </c>
      <c r="E493">
        <v>5.1719026811320301</v>
      </c>
      <c r="F493">
        <v>4</v>
      </c>
      <c r="G493">
        <v>1.1719026811320301</v>
      </c>
      <c r="H493">
        <v>2.0687610724528098</v>
      </c>
      <c r="I493">
        <v>1.292975670283</v>
      </c>
      <c r="J493">
        <v>17.929756702830002</v>
      </c>
      <c r="K493">
        <v>0.17733250479055199</v>
      </c>
      <c r="L493" t="s">
        <v>482</v>
      </c>
      <c r="M493">
        <v>4.3928989135079703</v>
      </c>
      <c r="N493">
        <v>41767313</v>
      </c>
      <c r="O493">
        <f>IFERROR(VLOOKUP($A493,Actual!$A:$D,4,FALSE),IFERROR(VLOOKUP($A493,FC!$A:$AD,29,FALSE),"Not Found"))</f>
        <v>0</v>
      </c>
      <c r="P493" s="5">
        <f>IFERROR(VLOOKUP($A493,Actual!$A:$D,3,FALSE),"0")</f>
        <v>3.3999999999999998E-3</v>
      </c>
    </row>
    <row r="494" spans="1:16" x14ac:dyDescent="0.2">
      <c r="A494" t="s">
        <v>423</v>
      </c>
      <c r="B494" t="s">
        <v>487</v>
      </c>
      <c r="C494" t="s">
        <v>5</v>
      </c>
      <c r="D494">
        <v>2500</v>
      </c>
      <c r="E494">
        <v>4.2807867411971898</v>
      </c>
      <c r="F494">
        <v>3.72</v>
      </c>
      <c r="G494">
        <v>0.56078674119719596</v>
      </c>
      <c r="H494">
        <v>1.71231469647887</v>
      </c>
      <c r="I494">
        <v>1.0701966852992899</v>
      </c>
      <c r="J494">
        <v>15.7019668529929</v>
      </c>
      <c r="K494">
        <v>0.68225251145056598</v>
      </c>
      <c r="L494" t="s">
        <v>482</v>
      </c>
      <c r="M494">
        <v>2.54467549435011</v>
      </c>
      <c r="N494">
        <v>41766791</v>
      </c>
      <c r="O494">
        <f>IFERROR(VLOOKUP($A494,Actual!$A:$D,4,FALSE),IFERROR(VLOOKUP($A494,FC!$A:$AD,29,FALSE),"Not Found"))</f>
        <v>1.3</v>
      </c>
      <c r="P494" s="5">
        <f>IFERROR(VLOOKUP($A494,Actual!$A:$D,3,FALSE),"0")</f>
        <v>1.6999999999999999E-3</v>
      </c>
    </row>
    <row r="495" spans="1:16" x14ac:dyDescent="0.2">
      <c r="A495" t="s">
        <v>314</v>
      </c>
      <c r="B495" t="s">
        <v>490</v>
      </c>
      <c r="C495" t="s">
        <v>10</v>
      </c>
      <c r="D495">
        <v>2700</v>
      </c>
      <c r="E495">
        <v>6.8642707598160699</v>
      </c>
      <c r="F495">
        <v>5.64</v>
      </c>
      <c r="G495">
        <v>1.22427075981607</v>
      </c>
      <c r="H495">
        <v>2.5423225036355799</v>
      </c>
      <c r="I495">
        <v>1.7160676899540099</v>
      </c>
      <c r="J495">
        <v>22.1606768995401</v>
      </c>
      <c r="K495">
        <v>0.30589857076370303</v>
      </c>
      <c r="L495" t="s">
        <v>482</v>
      </c>
      <c r="M495">
        <v>5.25635827582059</v>
      </c>
      <c r="N495">
        <v>41767159</v>
      </c>
      <c r="O495">
        <f>IFERROR(VLOOKUP($A495,Actual!$A:$D,4,FALSE),IFERROR(VLOOKUP($A495,FC!$A:$AD,29,FALSE),"Not Found"))</f>
        <v>0</v>
      </c>
      <c r="P495" s="5">
        <f>IFERROR(VLOOKUP($A495,Actual!$A:$D,3,FALSE),"0")</f>
        <v>5.1000000000000004E-3</v>
      </c>
    </row>
    <row r="496" spans="1:16" x14ac:dyDescent="0.2">
      <c r="A496" t="s">
        <v>534</v>
      </c>
      <c r="B496" t="s">
        <v>483</v>
      </c>
      <c r="C496" t="s">
        <v>5</v>
      </c>
      <c r="D496">
        <v>2500</v>
      </c>
      <c r="E496">
        <v>6.1423689288482901</v>
      </c>
      <c r="F496">
        <v>4.74</v>
      </c>
      <c r="G496">
        <v>1.4023689288482899</v>
      </c>
      <c r="H496">
        <v>2.4569475715393101</v>
      </c>
      <c r="I496">
        <v>1.5355922322120701</v>
      </c>
      <c r="J496">
        <v>20.355922322120701</v>
      </c>
      <c r="K496">
        <v>1.17688558225222</v>
      </c>
      <c r="L496" t="s">
        <v>482</v>
      </c>
      <c r="M496">
        <v>2.8216314991132099</v>
      </c>
      <c r="N496">
        <v>41766701</v>
      </c>
      <c r="O496">
        <f>IFERROR(VLOOKUP($A496,Actual!$A:$D,4,FALSE),IFERROR(VLOOKUP($A496,FC!$A:$AD,29,FALSE),"Not Found"))</f>
        <v>1.3</v>
      </c>
      <c r="P496" s="5" t="str">
        <f>IFERROR(VLOOKUP($A496,Actual!$A:$D,3,FALSE),"0")</f>
        <v>0</v>
      </c>
    </row>
    <row r="497" spans="1:16" x14ac:dyDescent="0.2">
      <c r="A497" t="s">
        <v>704</v>
      </c>
      <c r="B497" t="s">
        <v>489</v>
      </c>
      <c r="C497" t="s">
        <v>5</v>
      </c>
      <c r="D497">
        <v>2500</v>
      </c>
      <c r="E497">
        <v>2.8089685593558298</v>
      </c>
      <c r="F497">
        <v>2.5099999999999998</v>
      </c>
      <c r="G497">
        <v>0.298968559355832</v>
      </c>
      <c r="H497">
        <v>1.12358742374233</v>
      </c>
      <c r="I497">
        <v>0.702242139838958</v>
      </c>
      <c r="J497">
        <v>12.022421398389501</v>
      </c>
      <c r="K497">
        <v>0.409351506870339</v>
      </c>
      <c r="L497" t="s">
        <v>482</v>
      </c>
      <c r="M497">
        <v>1.99309295492473</v>
      </c>
      <c r="N497">
        <v>41766683</v>
      </c>
      <c r="O497">
        <f>IFERROR(VLOOKUP($A497,Actual!$A:$D,4,FALSE),IFERROR(VLOOKUP($A497,FC!$A:$AD,29,FALSE),"Not Found"))</f>
        <v>8.4</v>
      </c>
      <c r="P497" s="5" t="str">
        <f>IFERROR(VLOOKUP($A497,Actual!$A:$D,3,FALSE),"0")</f>
        <v>0</v>
      </c>
    </row>
    <row r="498" spans="1:16" x14ac:dyDescent="0.2">
      <c r="A498" t="s">
        <v>686</v>
      </c>
      <c r="B498" t="s">
        <v>480</v>
      </c>
      <c r="C498" t="s">
        <v>5</v>
      </c>
      <c r="D498">
        <v>2500</v>
      </c>
      <c r="E498">
        <v>3.2273551661630502</v>
      </c>
      <c r="F498">
        <v>2.63</v>
      </c>
      <c r="G498">
        <v>0.59735516616305795</v>
      </c>
      <c r="H498">
        <v>1.29094206646522</v>
      </c>
      <c r="I498">
        <v>0.80683879154076399</v>
      </c>
      <c r="J498">
        <v>13.0683879154076</v>
      </c>
      <c r="K498">
        <v>0.14957533497914299</v>
      </c>
      <c r="L498" t="s">
        <v>482</v>
      </c>
      <c r="M498">
        <v>2.8074325083023899</v>
      </c>
      <c r="N498">
        <v>41767385</v>
      </c>
      <c r="O498">
        <f>IFERROR(VLOOKUP($A498,Actual!$A:$D,4,FALSE),IFERROR(VLOOKUP($A498,FC!$A:$AD,29,FALSE),"Not Found"))</f>
        <v>0</v>
      </c>
      <c r="P498" s="5" t="str">
        <f>IFERROR(VLOOKUP($A498,Actual!$A:$D,3,FALSE),"0")</f>
        <v>0</v>
      </c>
    </row>
    <row r="499" spans="1:16" x14ac:dyDescent="0.2">
      <c r="A499" t="s">
        <v>656</v>
      </c>
      <c r="B499" t="s">
        <v>508</v>
      </c>
      <c r="C499" t="s">
        <v>10</v>
      </c>
      <c r="D499">
        <v>2500</v>
      </c>
      <c r="E499">
        <v>3.8649003521885299</v>
      </c>
      <c r="F499">
        <v>3.24</v>
      </c>
      <c r="G499">
        <v>0.62490035218853501</v>
      </c>
      <c r="H499">
        <v>1.54596014087541</v>
      </c>
      <c r="I499">
        <v>0.96622508804713403</v>
      </c>
      <c r="J499">
        <v>14.6622508804713</v>
      </c>
      <c r="K499">
        <v>0.14957533497914299</v>
      </c>
      <c r="L499" t="s">
        <v>482</v>
      </c>
      <c r="M499">
        <v>3.3620244229219201</v>
      </c>
      <c r="N499">
        <v>41767341</v>
      </c>
      <c r="O499">
        <f>IFERROR(VLOOKUP($A499,Actual!$A:$D,4,FALSE),IFERROR(VLOOKUP($A499,FC!$A:$AD,29,FALSE),"Not Found"))</f>
        <v>2.8</v>
      </c>
      <c r="P499" s="5" t="str">
        <f>IFERROR(VLOOKUP($A499,Actual!$A:$D,3,FALSE),"0")</f>
        <v>0</v>
      </c>
    </row>
    <row r="500" spans="1:16" x14ac:dyDescent="0.2">
      <c r="A500" t="s">
        <v>639</v>
      </c>
      <c r="B500" t="s">
        <v>494</v>
      </c>
      <c r="C500" t="s">
        <v>5</v>
      </c>
      <c r="D500">
        <v>2500</v>
      </c>
      <c r="E500">
        <v>4.1064012226833499</v>
      </c>
      <c r="F500">
        <v>3.76</v>
      </c>
      <c r="G500">
        <v>0.34640122268335699</v>
      </c>
      <c r="H500">
        <v>1.6425604890733401</v>
      </c>
      <c r="I500">
        <v>1.0266003056708299</v>
      </c>
      <c r="J500">
        <v>15.2660030567083</v>
      </c>
      <c r="K500">
        <v>0.17733250479055199</v>
      </c>
      <c r="L500" t="s">
        <v>482</v>
      </c>
      <c r="M500">
        <v>3.4878857128079401</v>
      </c>
      <c r="N500">
        <v>41767319</v>
      </c>
      <c r="O500">
        <f>IFERROR(VLOOKUP($A500,Actual!$A:$D,4,FALSE),IFERROR(VLOOKUP($A500,FC!$A:$AD,29,FALSE),"Not Found"))</f>
        <v>2.8</v>
      </c>
      <c r="P500" s="5" t="str">
        <f>IFERROR(VLOOKUP($A500,Actual!$A:$D,3,FALSE),"0")</f>
        <v>0</v>
      </c>
    </row>
    <row r="501" spans="1:16" x14ac:dyDescent="0.2">
      <c r="A501" t="s">
        <v>365</v>
      </c>
      <c r="B501" t="s">
        <v>489</v>
      </c>
      <c r="C501" t="s">
        <v>10</v>
      </c>
      <c r="D501">
        <v>2500</v>
      </c>
      <c r="E501">
        <v>3.4112002679478399</v>
      </c>
      <c r="F501">
        <v>2.16</v>
      </c>
      <c r="G501">
        <v>1.25120026794784</v>
      </c>
      <c r="H501">
        <v>1.3644801071791299</v>
      </c>
      <c r="I501">
        <v>0.85280006698696098</v>
      </c>
      <c r="J501">
        <v>13.5280006698696</v>
      </c>
      <c r="K501">
        <v>0.14957533497914299</v>
      </c>
      <c r="L501" t="s">
        <v>482</v>
      </c>
      <c r="M501">
        <v>2.96735687009997</v>
      </c>
      <c r="N501">
        <v>41767283</v>
      </c>
      <c r="O501">
        <f>IFERROR(VLOOKUP($A501,Actual!$A:$D,4,FALSE),IFERROR(VLOOKUP($A501,FC!$A:$AD,29,FALSE),"Not Found"))</f>
        <v>3</v>
      </c>
      <c r="P501" s="5">
        <f>IFERROR(VLOOKUP($A501,Actual!$A:$D,3,FALSE),"0")</f>
        <v>3.3999999999999998E-3</v>
      </c>
    </row>
    <row r="502" spans="1:16" x14ac:dyDescent="0.2">
      <c r="A502" t="s">
        <v>513</v>
      </c>
      <c r="B502" t="s">
        <v>493</v>
      </c>
      <c r="C502" t="s">
        <v>17</v>
      </c>
      <c r="D502">
        <v>2500</v>
      </c>
      <c r="E502">
        <v>8.1296208361855395</v>
      </c>
      <c r="F502">
        <v>5.67</v>
      </c>
      <c r="G502">
        <v>2.4596208361855401</v>
      </c>
      <c r="H502">
        <v>3.25184833447421</v>
      </c>
      <c r="I502">
        <v>2.03240520904638</v>
      </c>
      <c r="J502">
        <v>25.324052090463798</v>
      </c>
      <c r="K502">
        <v>1.24554282531262</v>
      </c>
      <c r="L502" t="s">
        <v>482</v>
      </c>
      <c r="M502">
        <v>3.6203365816698301</v>
      </c>
      <c r="N502">
        <v>41767983</v>
      </c>
      <c r="O502">
        <f>IFERROR(VLOOKUP($A502,Actual!$A:$D,4,FALSE),IFERROR(VLOOKUP($A502,FC!$A:$AD,29,FALSE),"Not Found"))</f>
        <v>0</v>
      </c>
      <c r="P502" s="5" t="str">
        <f>IFERROR(VLOOKUP($A502,Actual!$A:$D,3,FALSE),"0")</f>
        <v>0</v>
      </c>
    </row>
    <row r="503" spans="1:16" x14ac:dyDescent="0.2">
      <c r="A503" t="s">
        <v>596</v>
      </c>
      <c r="B503" t="s">
        <v>498</v>
      </c>
      <c r="C503" t="s">
        <v>5</v>
      </c>
      <c r="D503">
        <v>2500</v>
      </c>
      <c r="E503">
        <v>4.6488951737981496</v>
      </c>
      <c r="F503">
        <v>3.76</v>
      </c>
      <c r="G503">
        <v>0.88889517379814897</v>
      </c>
      <c r="H503">
        <v>1.8595580695192599</v>
      </c>
      <c r="I503">
        <v>1.1622237934495301</v>
      </c>
      <c r="J503">
        <v>16.622237934495299</v>
      </c>
      <c r="K503">
        <v>0.17733250479055199</v>
      </c>
      <c r="L503" t="s">
        <v>482</v>
      </c>
      <c r="M503">
        <v>3.9486679887643001</v>
      </c>
      <c r="N503">
        <v>41767311</v>
      </c>
      <c r="O503">
        <f>IFERROR(VLOOKUP($A503,Actual!$A:$D,4,FALSE),IFERROR(VLOOKUP($A503,FC!$A:$AD,29,FALSE),"Not Found"))</f>
        <v>1.5</v>
      </c>
      <c r="P503" s="5" t="str">
        <f>IFERROR(VLOOKUP($A503,Actual!$A:$D,3,FALSE),"0")</f>
        <v>0</v>
      </c>
    </row>
    <row r="504" spans="1:16" x14ac:dyDescent="0.2">
      <c r="A504" t="s">
        <v>584</v>
      </c>
      <c r="B504" t="s">
        <v>500</v>
      </c>
      <c r="C504" t="s">
        <v>17</v>
      </c>
      <c r="D504">
        <v>2500</v>
      </c>
      <c r="E504">
        <v>4.8380110368540503</v>
      </c>
      <c r="F504">
        <v>3.6</v>
      </c>
      <c r="G504">
        <v>1.23801103685405</v>
      </c>
      <c r="H504">
        <v>1.9352044147416201</v>
      </c>
      <c r="I504">
        <v>1.2095027592135099</v>
      </c>
      <c r="J504">
        <v>17.0950275921351</v>
      </c>
      <c r="K504">
        <v>0.69196823628479198</v>
      </c>
      <c r="L504" t="s">
        <v>482</v>
      </c>
      <c r="M504">
        <v>2.8593982635733801</v>
      </c>
      <c r="N504">
        <v>41767843</v>
      </c>
      <c r="O504">
        <f>IFERROR(VLOOKUP($A504,Actual!$A:$D,4,FALSE),IFERROR(VLOOKUP($A504,FC!$A:$AD,29,FALSE),"Not Found"))</f>
        <v>11.5</v>
      </c>
      <c r="P504" s="5" t="str">
        <f>IFERROR(VLOOKUP($A504,Actual!$A:$D,3,FALSE),"0")</f>
        <v>0</v>
      </c>
    </row>
    <row r="505" spans="1:16" x14ac:dyDescent="0.2">
      <c r="A505" t="s">
        <v>646</v>
      </c>
      <c r="B505" t="s">
        <v>501</v>
      </c>
      <c r="C505" t="s">
        <v>5</v>
      </c>
      <c r="D505">
        <v>2500</v>
      </c>
      <c r="E505">
        <v>3.9460234682389599</v>
      </c>
      <c r="F505">
        <v>3.3</v>
      </c>
      <c r="G505">
        <v>0.64602346823896195</v>
      </c>
      <c r="H505">
        <v>1.57840938729558</v>
      </c>
      <c r="I505">
        <v>0.98650586705973997</v>
      </c>
      <c r="J505">
        <v>14.865058670597399</v>
      </c>
      <c r="K505">
        <v>0.68225251145056598</v>
      </c>
      <c r="L505" t="s">
        <v>482</v>
      </c>
      <c r="M505">
        <v>2.3456784527766201</v>
      </c>
      <c r="N505">
        <v>41766767</v>
      </c>
      <c r="O505">
        <f>IFERROR(VLOOKUP($A505,Actual!$A:$D,4,FALSE),IFERROR(VLOOKUP($A505,FC!$A:$AD,29,FALSE),"Not Found"))</f>
        <v>2.6</v>
      </c>
      <c r="P505" s="5" t="str">
        <f>IFERROR(VLOOKUP($A505,Actual!$A:$D,3,FALSE),"0")</f>
        <v>0</v>
      </c>
    </row>
    <row r="506" spans="1:16" x14ac:dyDescent="0.2">
      <c r="A506" t="s">
        <v>409</v>
      </c>
      <c r="B506" t="s">
        <v>496</v>
      </c>
      <c r="C506" t="s">
        <v>10</v>
      </c>
      <c r="D506">
        <v>2500</v>
      </c>
      <c r="E506">
        <v>5.0196053199378596</v>
      </c>
      <c r="F506">
        <v>4.1100000000000003</v>
      </c>
      <c r="G506">
        <v>0.90960531993786498</v>
      </c>
      <c r="H506">
        <v>2.0078421279751399</v>
      </c>
      <c r="I506">
        <v>1.25490132998446</v>
      </c>
      <c r="J506">
        <v>17.549013299844599</v>
      </c>
      <c r="K506">
        <v>0.17733250479055199</v>
      </c>
      <c r="L506" t="s">
        <v>482</v>
      </c>
      <c r="M506">
        <v>4.2635409279138603</v>
      </c>
      <c r="N506">
        <v>41767333</v>
      </c>
      <c r="O506">
        <f>IFERROR(VLOOKUP($A506,Actual!$A:$D,4,FALSE),IFERROR(VLOOKUP($A506,FC!$A:$AD,29,FALSE),"Not Found"))</f>
        <v>1.3</v>
      </c>
      <c r="P506" s="5">
        <f>IFERROR(VLOOKUP($A506,Actual!$A:$D,3,FALSE),"0")</f>
        <v>1.6999999999999999E-3</v>
      </c>
    </row>
    <row r="507" spans="1:16" x14ac:dyDescent="0.2">
      <c r="A507" t="s">
        <v>690</v>
      </c>
      <c r="B507" t="s">
        <v>506</v>
      </c>
      <c r="C507" t="s">
        <v>5</v>
      </c>
      <c r="D507">
        <v>2500</v>
      </c>
      <c r="E507">
        <v>3.1710263624996302</v>
      </c>
      <c r="F507">
        <v>2.94</v>
      </c>
      <c r="G507">
        <v>0.23102636249963199</v>
      </c>
      <c r="H507">
        <v>1.26841054499985</v>
      </c>
      <c r="I507">
        <v>0.792756590624908</v>
      </c>
      <c r="J507">
        <v>12.927565906249001</v>
      </c>
      <c r="K507">
        <v>0.14957533497914299</v>
      </c>
      <c r="L507" t="s">
        <v>482</v>
      </c>
      <c r="M507">
        <v>2.7584328456013401</v>
      </c>
      <c r="N507">
        <v>41767433</v>
      </c>
      <c r="O507">
        <f>IFERROR(VLOOKUP($A507,Actual!$A:$D,4,FALSE),IFERROR(VLOOKUP($A507,FC!$A:$AD,29,FALSE),"Not Found"))</f>
        <v>1.3</v>
      </c>
      <c r="P507" s="5" t="str">
        <f>IFERROR(VLOOKUP($A507,Actual!$A:$D,3,FALSE),"0")</f>
        <v>0</v>
      </c>
    </row>
    <row r="508" spans="1:16" x14ac:dyDescent="0.2">
      <c r="A508" t="s">
        <v>620</v>
      </c>
      <c r="B508" t="s">
        <v>486</v>
      </c>
      <c r="C508" t="s">
        <v>17</v>
      </c>
      <c r="D508">
        <v>2500</v>
      </c>
      <c r="E508">
        <v>4.3608134268788996</v>
      </c>
      <c r="F508">
        <v>2.2000000000000002</v>
      </c>
      <c r="G508">
        <v>2.1608134268788999</v>
      </c>
      <c r="H508">
        <v>1.74432537075156</v>
      </c>
      <c r="I508">
        <v>1.09020335671972</v>
      </c>
      <c r="J508">
        <v>15.902033567197201</v>
      </c>
      <c r="K508">
        <v>0.69196823628479198</v>
      </c>
      <c r="L508" t="s">
        <v>482</v>
      </c>
      <c r="M508">
        <v>2.5773612845441698</v>
      </c>
      <c r="N508">
        <v>41768029</v>
      </c>
      <c r="O508">
        <f>IFERROR(VLOOKUP($A508,Actual!$A:$D,4,FALSE),IFERROR(VLOOKUP($A508,FC!$A:$AD,29,FALSE),"Not Found"))</f>
        <v>8.4</v>
      </c>
      <c r="P508" s="5" t="str">
        <f>IFERROR(VLOOKUP($A508,Actual!$A:$D,3,FALSE),"0")</f>
        <v>0</v>
      </c>
    </row>
    <row r="509" spans="1:16" x14ac:dyDescent="0.2">
      <c r="A509" t="s">
        <v>299</v>
      </c>
      <c r="B509" t="s">
        <v>480</v>
      </c>
      <c r="C509" t="s">
        <v>5</v>
      </c>
      <c r="D509">
        <v>2700</v>
      </c>
      <c r="E509">
        <v>5.72269460872596</v>
      </c>
      <c r="F509">
        <v>4.9400000000000004</v>
      </c>
      <c r="G509">
        <v>0.78269460872596597</v>
      </c>
      <c r="H509">
        <v>2.11951652175035</v>
      </c>
      <c r="I509">
        <v>1.43067365218149</v>
      </c>
      <c r="J509">
        <v>19.306736521814901</v>
      </c>
      <c r="K509">
        <v>0.17733250479055199</v>
      </c>
      <c r="L509" t="s">
        <v>482</v>
      </c>
      <c r="M509">
        <v>4.8607293058166503</v>
      </c>
      <c r="N509">
        <v>41767161</v>
      </c>
      <c r="O509">
        <f>IFERROR(VLOOKUP($A509,Actual!$A:$D,4,FALSE),IFERROR(VLOOKUP($A509,FC!$A:$AD,29,FALSE),"Not Found"))</f>
        <v>3</v>
      </c>
      <c r="P509" s="5">
        <f>IFERROR(VLOOKUP($A509,Actual!$A:$D,3,FALSE),"0")</f>
        <v>6.7000000000000002E-3</v>
      </c>
    </row>
    <row r="510" spans="1:16" x14ac:dyDescent="0.2">
      <c r="A510" t="s">
        <v>601</v>
      </c>
      <c r="B510" t="s">
        <v>502</v>
      </c>
      <c r="C510" t="s">
        <v>10</v>
      </c>
      <c r="D510">
        <v>2700</v>
      </c>
      <c r="E510">
        <v>4.6105810303672703</v>
      </c>
      <c r="F510">
        <v>3.84</v>
      </c>
      <c r="G510">
        <v>0.77058103036726999</v>
      </c>
      <c r="H510">
        <v>1.70762260383972</v>
      </c>
      <c r="I510">
        <v>1.15264525759181</v>
      </c>
      <c r="J510">
        <v>16.5264525759181</v>
      </c>
      <c r="K510">
        <v>0.17733250479055199</v>
      </c>
      <c r="L510" t="s">
        <v>482</v>
      </c>
      <c r="M510">
        <v>3.9161248089276901</v>
      </c>
      <c r="N510">
        <v>41767155</v>
      </c>
      <c r="O510">
        <f>IFERROR(VLOOKUP($A510,Actual!$A:$D,4,FALSE),IFERROR(VLOOKUP($A510,FC!$A:$AD,29,FALSE),"Not Found"))</f>
        <v>1.5</v>
      </c>
      <c r="P510" s="5" t="str">
        <f>IFERROR(VLOOKUP($A510,Actual!$A:$D,3,FALSE),"0")</f>
        <v>0</v>
      </c>
    </row>
    <row r="511" spans="1:16" x14ac:dyDescent="0.2">
      <c r="A511" t="s">
        <v>413</v>
      </c>
      <c r="B511" t="s">
        <v>500</v>
      </c>
      <c r="C511" t="s">
        <v>10</v>
      </c>
      <c r="D511">
        <v>2500</v>
      </c>
      <c r="E511">
        <v>3.10112406367075</v>
      </c>
      <c r="F511">
        <v>2.83</v>
      </c>
      <c r="G511">
        <v>0.27112406367075598</v>
      </c>
      <c r="H511">
        <v>1.2404496254683</v>
      </c>
      <c r="I511">
        <v>0.77528101591768905</v>
      </c>
      <c r="J511">
        <v>12.7528101591768</v>
      </c>
      <c r="K511">
        <v>0.14957533497914299</v>
      </c>
      <c r="L511" t="s">
        <v>482</v>
      </c>
      <c r="M511">
        <v>2.6976257834611701</v>
      </c>
      <c r="N511">
        <v>41767257</v>
      </c>
      <c r="O511">
        <f>IFERROR(VLOOKUP($A511,Actual!$A:$D,4,FALSE),IFERROR(VLOOKUP($A511,FC!$A:$AD,29,FALSE),"Not Found"))</f>
        <v>0</v>
      </c>
      <c r="P511" s="5">
        <f>IFERROR(VLOOKUP($A511,Actual!$A:$D,3,FALSE),"0")</f>
        <v>1.6999999999999999E-3</v>
      </c>
    </row>
    <row r="512" spans="1:16" x14ac:dyDescent="0.2">
      <c r="A512" t="s">
        <v>540</v>
      </c>
      <c r="B512" t="s">
        <v>489</v>
      </c>
      <c r="C512" t="s">
        <v>17</v>
      </c>
      <c r="D512">
        <v>2500</v>
      </c>
      <c r="E512">
        <v>5.9292949505562502</v>
      </c>
      <c r="F512">
        <v>5.47</v>
      </c>
      <c r="G512">
        <v>0.45929495055625003</v>
      </c>
      <c r="H512">
        <v>2.3717179802224999</v>
      </c>
      <c r="I512">
        <v>1.4823237376390599</v>
      </c>
      <c r="J512">
        <v>19.823237376390601</v>
      </c>
      <c r="K512">
        <v>0.69196823628479198</v>
      </c>
      <c r="L512" t="s">
        <v>482</v>
      </c>
      <c r="M512">
        <v>3.5043772237567099</v>
      </c>
      <c r="N512">
        <v>41767857</v>
      </c>
      <c r="O512">
        <f>IFERROR(VLOOKUP($A512,Actual!$A:$D,4,FALSE),IFERROR(VLOOKUP($A512,FC!$A:$AD,29,FALSE),"Not Found"))</f>
        <v>1.5</v>
      </c>
      <c r="P512" s="5" t="str">
        <f>IFERROR(VLOOKUP($A512,Actual!$A:$D,3,FALSE),"0")</f>
        <v>0</v>
      </c>
    </row>
    <row r="513" spans="1:16" x14ac:dyDescent="0.2">
      <c r="A513" t="s">
        <v>641</v>
      </c>
      <c r="B513" t="s">
        <v>496</v>
      </c>
      <c r="C513" t="s">
        <v>10</v>
      </c>
      <c r="D513">
        <v>2500</v>
      </c>
      <c r="E513">
        <v>4.0395925729306503</v>
      </c>
      <c r="F513">
        <v>3.7</v>
      </c>
      <c r="G513">
        <v>0.33959257293065398</v>
      </c>
      <c r="H513">
        <v>1.6158370291722599</v>
      </c>
      <c r="I513">
        <v>1.0098981432326599</v>
      </c>
      <c r="J513">
        <v>15.0989814323266</v>
      </c>
      <c r="K513">
        <v>0.17733250479055199</v>
      </c>
      <c r="L513" t="s">
        <v>482</v>
      </c>
      <c r="M513">
        <v>3.4311399341253099</v>
      </c>
      <c r="N513">
        <v>41767335</v>
      </c>
      <c r="O513">
        <f>IFERROR(VLOOKUP($A513,Actual!$A:$D,4,FALSE),IFERROR(VLOOKUP($A513,FC!$A:$AD,29,FALSE),"Not Found"))</f>
        <v>0</v>
      </c>
      <c r="P513" s="5" t="str">
        <f>IFERROR(VLOOKUP($A513,Actual!$A:$D,3,FALSE),"0")</f>
        <v>0</v>
      </c>
    </row>
    <row r="514" spans="1:16" x14ac:dyDescent="0.2">
      <c r="A514" t="s">
        <v>677</v>
      </c>
      <c r="B514" t="s">
        <v>483</v>
      </c>
      <c r="C514" t="s">
        <v>10</v>
      </c>
      <c r="D514">
        <v>2500</v>
      </c>
      <c r="E514">
        <v>3.3680129384550699</v>
      </c>
      <c r="F514">
        <v>2.2400000000000002</v>
      </c>
      <c r="G514">
        <v>1.1280129384550699</v>
      </c>
      <c r="H514">
        <v>1.34720517538203</v>
      </c>
      <c r="I514">
        <v>0.84200323461376902</v>
      </c>
      <c r="J514">
        <v>13.420032346137599</v>
      </c>
      <c r="K514">
        <v>0.14957533497914299</v>
      </c>
      <c r="L514" t="s">
        <v>482</v>
      </c>
      <c r="M514">
        <v>2.92978879763124</v>
      </c>
      <c r="N514">
        <v>41767301</v>
      </c>
      <c r="O514">
        <f>IFERROR(VLOOKUP($A514,Actual!$A:$D,4,FALSE),IFERROR(VLOOKUP($A514,FC!$A:$AD,29,FALSE),"Not Found"))</f>
        <v>0</v>
      </c>
      <c r="P514" s="5" t="str">
        <f>IFERROR(VLOOKUP($A514,Actual!$A:$D,3,FALSE),"0")</f>
        <v>0</v>
      </c>
    </row>
    <row r="515" spans="1:16" x14ac:dyDescent="0.2">
      <c r="A515" t="s">
        <v>575</v>
      </c>
      <c r="B515" t="s">
        <v>504</v>
      </c>
      <c r="C515" t="s">
        <v>5</v>
      </c>
      <c r="D515">
        <v>2500</v>
      </c>
      <c r="E515">
        <v>5.0527700981684598</v>
      </c>
      <c r="F515">
        <v>4.47</v>
      </c>
      <c r="G515">
        <v>0.58277009816846304</v>
      </c>
      <c r="H515">
        <v>2.0211080392673799</v>
      </c>
      <c r="I515">
        <v>1.2631925245421101</v>
      </c>
      <c r="J515">
        <v>17.631925245421101</v>
      </c>
      <c r="K515">
        <v>0.17733250479055199</v>
      </c>
      <c r="L515" t="s">
        <v>482</v>
      </c>
      <c r="M515">
        <v>4.2917103516710799</v>
      </c>
      <c r="N515">
        <v>41767209</v>
      </c>
      <c r="O515">
        <f>IFERROR(VLOOKUP($A515,Actual!$A:$D,4,FALSE),IFERROR(VLOOKUP($A515,FC!$A:$AD,29,FALSE),"Not Found"))</f>
        <v>4.3</v>
      </c>
      <c r="P515" s="5" t="str">
        <f>IFERROR(VLOOKUP($A515,Actual!$A:$D,3,FALSE),"0")</f>
        <v>0</v>
      </c>
    </row>
    <row r="516" spans="1:16" x14ac:dyDescent="0.2">
      <c r="A516" t="s">
        <v>675</v>
      </c>
      <c r="B516" t="s">
        <v>484</v>
      </c>
      <c r="C516" t="s">
        <v>5</v>
      </c>
      <c r="D516">
        <v>2500</v>
      </c>
      <c r="E516">
        <v>3.3792622339176002</v>
      </c>
      <c r="F516">
        <v>2.73</v>
      </c>
      <c r="G516">
        <v>0.64926223391760696</v>
      </c>
      <c r="H516">
        <v>1.3517048935670399</v>
      </c>
      <c r="I516">
        <v>0.84481555847940104</v>
      </c>
      <c r="J516">
        <v>13.448155584794</v>
      </c>
      <c r="K516">
        <v>0.409351506870339</v>
      </c>
      <c r="L516" t="s">
        <v>482</v>
      </c>
      <c r="M516">
        <v>2.3977426620997599</v>
      </c>
      <c r="N516">
        <v>41766779</v>
      </c>
      <c r="O516">
        <f>IFERROR(VLOOKUP($A516,Actual!$A:$D,4,FALSE),IFERROR(VLOOKUP($A516,FC!$A:$AD,29,FALSE),"Not Found"))</f>
        <v>1.5</v>
      </c>
      <c r="P516" s="5" t="str">
        <f>IFERROR(VLOOKUP($A516,Actual!$A:$D,3,FALSE),"0")</f>
        <v>0</v>
      </c>
    </row>
    <row r="517" spans="1:16" x14ac:dyDescent="0.2">
      <c r="A517" t="s">
        <v>515</v>
      </c>
      <c r="B517" t="s">
        <v>500</v>
      </c>
      <c r="C517" t="s">
        <v>5</v>
      </c>
      <c r="D517">
        <v>3500</v>
      </c>
      <c r="E517">
        <v>7.5873052058259303</v>
      </c>
      <c r="F517">
        <v>6.84</v>
      </c>
      <c r="G517">
        <v>0.74730520582593896</v>
      </c>
      <c r="H517">
        <v>2.1678014873788398</v>
      </c>
      <c r="I517">
        <v>1.8968263014564799</v>
      </c>
      <c r="J517">
        <v>23.968263014564801</v>
      </c>
      <c r="K517">
        <v>0.61179714152740605</v>
      </c>
      <c r="L517" t="s">
        <v>482</v>
      </c>
      <c r="M517">
        <v>4.7073574027038401</v>
      </c>
      <c r="N517">
        <v>41767023</v>
      </c>
      <c r="O517">
        <f>IFERROR(VLOOKUP($A517,Actual!$A:$D,4,FALSE),IFERROR(VLOOKUP($A517,FC!$A:$AD,29,FALSE),"Not Found"))</f>
        <v>0</v>
      </c>
      <c r="P517" s="5" t="str">
        <f>IFERROR(VLOOKUP($A517,Actual!$A:$D,3,FALSE),"0")</f>
        <v>0</v>
      </c>
    </row>
    <row r="518" spans="1:16" x14ac:dyDescent="0.2">
      <c r="A518" t="s">
        <v>435</v>
      </c>
      <c r="B518" t="s">
        <v>480</v>
      </c>
      <c r="C518" t="s">
        <v>5</v>
      </c>
      <c r="D518">
        <v>2500</v>
      </c>
      <c r="E518">
        <v>3.1790559704496801</v>
      </c>
      <c r="F518">
        <v>2.7</v>
      </c>
      <c r="G518">
        <v>0.47905597044968001</v>
      </c>
      <c r="H518">
        <v>1.2716223881798701</v>
      </c>
      <c r="I518">
        <v>0.79476399261242003</v>
      </c>
      <c r="J518">
        <v>12.9476399261242</v>
      </c>
      <c r="K518">
        <v>0.409351506870339</v>
      </c>
      <c r="L518" t="s">
        <v>482</v>
      </c>
      <c r="M518">
        <v>2.2556870695155502</v>
      </c>
      <c r="N518">
        <v>41766743</v>
      </c>
      <c r="O518">
        <f>IFERROR(VLOOKUP($A518,Actual!$A:$D,4,FALSE),IFERROR(VLOOKUP($A518,FC!$A:$AD,29,FALSE),"Not Found"))</f>
        <v>4.0999999999999996</v>
      </c>
      <c r="P518" s="5">
        <f>IFERROR(VLOOKUP($A518,Actual!$A:$D,3,FALSE),"0")</f>
        <v>1.6999999999999999E-3</v>
      </c>
    </row>
    <row r="519" spans="1:16" x14ac:dyDescent="0.2">
      <c r="A519" t="s">
        <v>716</v>
      </c>
      <c r="B519" t="s">
        <v>501</v>
      </c>
      <c r="C519" t="s">
        <v>10</v>
      </c>
      <c r="D519">
        <v>2500</v>
      </c>
      <c r="E519">
        <v>2.3717714634005498</v>
      </c>
      <c r="F519">
        <v>2.48</v>
      </c>
      <c r="G519">
        <v>-0.10822853659944801</v>
      </c>
      <c r="H519">
        <v>0.94870858536021996</v>
      </c>
      <c r="I519">
        <v>0.592942865850137</v>
      </c>
      <c r="J519">
        <v>10.929428658501299</v>
      </c>
      <c r="K519">
        <v>0.14957533497914299</v>
      </c>
      <c r="L519" t="s">
        <v>482</v>
      </c>
      <c r="M519">
        <v>2.0631718437518298</v>
      </c>
      <c r="N519">
        <v>41767451</v>
      </c>
      <c r="O519">
        <f>IFERROR(VLOOKUP($A519,Actual!$A:$D,4,FALSE),IFERROR(VLOOKUP($A519,FC!$A:$AD,29,FALSE),"Not Found"))</f>
        <v>0</v>
      </c>
      <c r="P519" s="5" t="str">
        <f>IFERROR(VLOOKUP($A519,Actual!$A:$D,3,FALSE),"0")</f>
        <v>0</v>
      </c>
    </row>
    <row r="520" spans="1:16" x14ac:dyDescent="0.2">
      <c r="A520" t="s">
        <v>681</v>
      </c>
      <c r="B520" t="s">
        <v>494</v>
      </c>
      <c r="C520" t="s">
        <v>5</v>
      </c>
      <c r="D520">
        <v>2500</v>
      </c>
      <c r="E520">
        <v>3.3003876235948502</v>
      </c>
      <c r="F520">
        <v>2.57</v>
      </c>
      <c r="G520">
        <v>0.73038762359485898</v>
      </c>
      <c r="H520">
        <v>1.3201550494379399</v>
      </c>
      <c r="I520">
        <v>0.82509690589871398</v>
      </c>
      <c r="J520">
        <v>13.250969058987099</v>
      </c>
      <c r="K520">
        <v>0.14957533497914299</v>
      </c>
      <c r="L520" t="s">
        <v>482</v>
      </c>
      <c r="M520">
        <v>2.8709624529781101</v>
      </c>
      <c r="N520">
        <v>41767321</v>
      </c>
      <c r="O520">
        <f>IFERROR(VLOOKUP($A520,Actual!$A:$D,4,FALSE),IFERROR(VLOOKUP($A520,FC!$A:$AD,29,FALSE),"Not Found"))</f>
        <v>1.5</v>
      </c>
      <c r="P520" s="5" t="str">
        <f>IFERROR(VLOOKUP($A520,Actual!$A:$D,3,FALSE),"0")</f>
        <v>0</v>
      </c>
    </row>
    <row r="521" spans="1:16" x14ac:dyDescent="0.2">
      <c r="A521" t="s">
        <v>714</v>
      </c>
      <c r="B521" t="s">
        <v>495</v>
      </c>
      <c r="C521" t="s">
        <v>5</v>
      </c>
      <c r="D521">
        <v>2500</v>
      </c>
      <c r="E521">
        <v>2.4575779847402299</v>
      </c>
      <c r="F521">
        <v>2.76</v>
      </c>
      <c r="G521">
        <v>-0.30242201525976697</v>
      </c>
      <c r="H521">
        <v>0.98303119389609195</v>
      </c>
      <c r="I521">
        <v>0.61439449618505804</v>
      </c>
      <c r="J521">
        <v>11.143944961850501</v>
      </c>
      <c r="K521">
        <v>0.409351506870339</v>
      </c>
      <c r="L521" t="s">
        <v>482</v>
      </c>
      <c r="M521">
        <v>1.7437651095272999</v>
      </c>
      <c r="N521">
        <v>41766677</v>
      </c>
      <c r="O521">
        <f>IFERROR(VLOOKUP($A521,Actual!$A:$D,4,FALSE),IFERROR(VLOOKUP($A521,FC!$A:$AD,29,FALSE),"Not Found"))</f>
        <v>4.0999999999999996</v>
      </c>
      <c r="P521" s="5" t="str">
        <f>IFERROR(VLOOKUP($A521,Actual!$A:$D,3,FALSE),"0")</f>
        <v>0</v>
      </c>
    </row>
    <row r="522" spans="1:16" x14ac:dyDescent="0.2">
      <c r="A522" t="s">
        <v>329</v>
      </c>
      <c r="B522" t="s">
        <v>487</v>
      </c>
      <c r="C522" t="s">
        <v>10</v>
      </c>
      <c r="D522">
        <v>2600</v>
      </c>
      <c r="E522">
        <v>4.5805367382465398</v>
      </c>
      <c r="F522">
        <v>4.92</v>
      </c>
      <c r="G522">
        <v>-0.33946326175345998</v>
      </c>
      <c r="H522">
        <v>1.76174489932559</v>
      </c>
      <c r="I522">
        <v>1.1451341845616301</v>
      </c>
      <c r="J522">
        <v>16.451341845616302</v>
      </c>
      <c r="K522">
        <v>0.17733250479055199</v>
      </c>
      <c r="L522" t="s">
        <v>482</v>
      </c>
      <c r="M522">
        <v>3.8906058565514701</v>
      </c>
      <c r="N522">
        <v>41767187</v>
      </c>
      <c r="O522">
        <f>IFERROR(VLOOKUP($A522,Actual!$A:$D,4,FALSE),IFERROR(VLOOKUP($A522,FC!$A:$AD,29,FALSE),"Not Found"))</f>
        <v>3</v>
      </c>
      <c r="P522" s="5">
        <f>IFERROR(VLOOKUP($A522,Actual!$A:$D,3,FALSE),"0")</f>
        <v>5.1000000000000004E-3</v>
      </c>
    </row>
    <row r="523" spans="1:16" x14ac:dyDescent="0.2">
      <c r="A523" t="s">
        <v>629</v>
      </c>
      <c r="B523" t="s">
        <v>493</v>
      </c>
      <c r="C523" t="s">
        <v>10</v>
      </c>
      <c r="D523">
        <v>2800</v>
      </c>
      <c r="E523">
        <v>4.2451081611227899</v>
      </c>
      <c r="F523">
        <v>3.12</v>
      </c>
      <c r="G523">
        <v>1.12510816112278</v>
      </c>
      <c r="H523">
        <v>1.51611005754385</v>
      </c>
      <c r="I523">
        <v>1.0612770402806899</v>
      </c>
      <c r="J523">
        <v>15.6127704028069</v>
      </c>
      <c r="K523">
        <v>0.14957533497914299</v>
      </c>
      <c r="L523" t="s">
        <v>482</v>
      </c>
      <c r="M523">
        <v>3.6927620417323999</v>
      </c>
      <c r="N523">
        <v>41767143</v>
      </c>
      <c r="O523">
        <f>IFERROR(VLOOKUP($A523,Actual!$A:$D,4,FALSE),IFERROR(VLOOKUP($A523,FC!$A:$AD,29,FALSE),"Not Found"))</f>
        <v>5</v>
      </c>
      <c r="P523" s="5" t="str">
        <f>IFERROR(VLOOKUP($A523,Actual!$A:$D,3,FALSE),"0")</f>
        <v>0</v>
      </c>
    </row>
    <row r="524" spans="1:16" x14ac:dyDescent="0.2">
      <c r="A524" t="s">
        <v>436</v>
      </c>
      <c r="B524" t="s">
        <v>480</v>
      </c>
      <c r="C524" t="s">
        <v>5</v>
      </c>
      <c r="D524">
        <v>2500</v>
      </c>
      <c r="E524">
        <v>2.8438152440050501</v>
      </c>
      <c r="F524">
        <v>2.2400000000000002</v>
      </c>
      <c r="G524">
        <v>0.60381524400504905</v>
      </c>
      <c r="H524">
        <v>1.1375260976020201</v>
      </c>
      <c r="I524">
        <v>0.71095381100126198</v>
      </c>
      <c r="J524">
        <v>12.1095381100126</v>
      </c>
      <c r="K524">
        <v>0.14957533497914299</v>
      </c>
      <c r="L524" t="s">
        <v>482</v>
      </c>
      <c r="M524">
        <v>2.4737963293694398</v>
      </c>
      <c r="N524">
        <v>41767383</v>
      </c>
      <c r="O524">
        <f>IFERROR(VLOOKUP($A524,Actual!$A:$D,4,FALSE),IFERROR(VLOOKUP($A524,FC!$A:$AD,29,FALSE),"Not Found"))</f>
        <v>3</v>
      </c>
      <c r="P524" s="5">
        <f>IFERROR(VLOOKUP($A524,Actual!$A:$D,3,FALSE),"0")</f>
        <v>1.6999999999999999E-3</v>
      </c>
    </row>
    <row r="525" spans="1:16" x14ac:dyDescent="0.2">
      <c r="A525" t="s">
        <v>702</v>
      </c>
      <c r="B525" t="s">
        <v>493</v>
      </c>
      <c r="C525" t="s">
        <v>5</v>
      </c>
      <c r="D525">
        <v>2500</v>
      </c>
      <c r="E525">
        <v>2.8204048805342699</v>
      </c>
      <c r="F525">
        <v>2.79</v>
      </c>
      <c r="G525">
        <v>3.0404880534273801E-2</v>
      </c>
      <c r="H525">
        <v>1.1281619522137001</v>
      </c>
      <c r="I525">
        <v>0.70510122013356802</v>
      </c>
      <c r="J525">
        <v>12.051012201335601</v>
      </c>
      <c r="K525">
        <v>0.409351506870339</v>
      </c>
      <c r="L525" t="s">
        <v>482</v>
      </c>
      <c r="M525">
        <v>2.0012075531088498</v>
      </c>
      <c r="N525">
        <v>41766747</v>
      </c>
      <c r="O525">
        <f>IFERROR(VLOOKUP($A525,Actual!$A:$D,4,FALSE),IFERROR(VLOOKUP($A525,FC!$A:$AD,29,FALSE),"Not Found"))</f>
        <v>6.5</v>
      </c>
      <c r="P525" s="5" t="str">
        <f>IFERROR(VLOOKUP($A525,Actual!$A:$D,3,FALSE),"0")</f>
        <v>0</v>
      </c>
    </row>
    <row r="526" spans="1:16" x14ac:dyDescent="0.2">
      <c r="A526" t="s">
        <v>678</v>
      </c>
      <c r="B526" t="s">
        <v>489</v>
      </c>
      <c r="C526" t="s">
        <v>10</v>
      </c>
      <c r="D526">
        <v>2500</v>
      </c>
      <c r="E526">
        <v>3.36477065684725</v>
      </c>
      <c r="F526">
        <v>2.5</v>
      </c>
      <c r="G526">
        <v>0.86477065684725896</v>
      </c>
      <c r="H526">
        <v>1.3459082627389001</v>
      </c>
      <c r="I526">
        <v>0.84119266421181405</v>
      </c>
      <c r="J526">
        <v>13.4119266421181</v>
      </c>
      <c r="K526">
        <v>0.14957533497914299</v>
      </c>
      <c r="L526" t="s">
        <v>482</v>
      </c>
      <c r="M526">
        <v>2.9269683808136899</v>
      </c>
      <c r="N526">
        <v>41767281</v>
      </c>
      <c r="O526">
        <f>IFERROR(VLOOKUP($A526,Actual!$A:$D,4,FALSE),IFERROR(VLOOKUP($A526,FC!$A:$AD,29,FALSE),"Not Found"))</f>
        <v>0</v>
      </c>
      <c r="P526" s="5" t="str">
        <f>IFERROR(VLOOKUP($A526,Actual!$A:$D,3,FALSE),"0")</f>
        <v>0</v>
      </c>
    </row>
    <row r="527" spans="1:16" x14ac:dyDescent="0.2">
      <c r="A527" t="s">
        <v>427</v>
      </c>
      <c r="B527" t="s">
        <v>494</v>
      </c>
      <c r="C527" t="s">
        <v>10</v>
      </c>
      <c r="D527">
        <v>2800</v>
      </c>
      <c r="E527">
        <v>6.0290184155150301</v>
      </c>
      <c r="F527">
        <v>4.6100000000000003</v>
      </c>
      <c r="G527">
        <v>1.4190184155150301</v>
      </c>
      <c r="H527">
        <v>2.15322086268394</v>
      </c>
      <c r="I527">
        <v>1.50725460387875</v>
      </c>
      <c r="J527">
        <v>20.0725460387875</v>
      </c>
      <c r="K527">
        <v>0.17733250479055199</v>
      </c>
      <c r="L527" t="s">
        <v>482</v>
      </c>
      <c r="M527">
        <v>5.1209139227728997</v>
      </c>
      <c r="N527">
        <v>41767137</v>
      </c>
      <c r="O527">
        <f>IFERROR(VLOOKUP($A527,Actual!$A:$D,4,FALSE),IFERROR(VLOOKUP($A527,FC!$A:$AD,29,FALSE),"Not Found"))</f>
        <v>8</v>
      </c>
      <c r="P527" s="5">
        <f>IFERROR(VLOOKUP($A527,Actual!$A:$D,3,FALSE),"0")</f>
        <v>1.6999999999999999E-3</v>
      </c>
    </row>
    <row r="528" spans="1:16" x14ac:dyDescent="0.2">
      <c r="A528" t="s">
        <v>526</v>
      </c>
      <c r="B528" t="s">
        <v>506</v>
      </c>
      <c r="C528" t="s">
        <v>10</v>
      </c>
      <c r="D528">
        <v>2500</v>
      </c>
      <c r="E528">
        <v>6.4157309776645297</v>
      </c>
      <c r="F528">
        <v>5.45</v>
      </c>
      <c r="G528">
        <v>0.96573097766453897</v>
      </c>
      <c r="H528">
        <v>2.5662923910658102</v>
      </c>
      <c r="I528">
        <v>1.60393274441613</v>
      </c>
      <c r="J528">
        <v>21.039327444161302</v>
      </c>
      <c r="K528">
        <v>0.30589857076370303</v>
      </c>
      <c r="L528" t="s">
        <v>482</v>
      </c>
      <c r="M528">
        <v>4.91288613166377</v>
      </c>
      <c r="N528">
        <v>41767431</v>
      </c>
      <c r="O528">
        <f>IFERROR(VLOOKUP($A528,Actual!$A:$D,4,FALSE),IFERROR(VLOOKUP($A528,FC!$A:$AD,29,FALSE),"Not Found"))</f>
        <v>0</v>
      </c>
      <c r="P528" s="5" t="str">
        <f>IFERROR(VLOOKUP($A528,Actual!$A:$D,3,FALSE),"0")</f>
        <v>0</v>
      </c>
    </row>
    <row r="529" spans="1:16" x14ac:dyDescent="0.2">
      <c r="A529" t="s">
        <v>713</v>
      </c>
      <c r="B529" t="s">
        <v>501</v>
      </c>
      <c r="C529" t="s">
        <v>5</v>
      </c>
      <c r="D529">
        <v>2500</v>
      </c>
      <c r="E529">
        <v>2.49454513870849</v>
      </c>
      <c r="F529">
        <v>1.63</v>
      </c>
      <c r="G529">
        <v>0.86454513870849004</v>
      </c>
      <c r="H529">
        <v>0.99781805548339597</v>
      </c>
      <c r="I529">
        <v>0.62363628467712195</v>
      </c>
      <c r="J529">
        <v>11.2363628467712</v>
      </c>
      <c r="K529">
        <v>0.14957533497914299</v>
      </c>
      <c r="L529" t="s">
        <v>482</v>
      </c>
      <c r="M529">
        <v>2.1699709995550198</v>
      </c>
      <c r="N529">
        <v>41767443</v>
      </c>
      <c r="O529">
        <f>IFERROR(VLOOKUP($A529,Actual!$A:$D,4,FALSE),IFERROR(VLOOKUP($A529,FC!$A:$AD,29,FALSE),"Not Found"))</f>
        <v>0</v>
      </c>
      <c r="P529" s="5" t="str">
        <f>IFERROR(VLOOKUP($A529,Actual!$A:$D,3,FALSE),"0")</f>
        <v>0</v>
      </c>
    </row>
    <row r="530" spans="1:16" x14ac:dyDescent="0.2">
      <c r="A530" t="s">
        <v>542</v>
      </c>
      <c r="B530" t="s">
        <v>504</v>
      </c>
      <c r="C530" t="s">
        <v>5</v>
      </c>
      <c r="D530">
        <v>2500</v>
      </c>
      <c r="E530">
        <v>5.7207552052132602</v>
      </c>
      <c r="F530">
        <v>5.14</v>
      </c>
      <c r="G530">
        <v>0.58075520521326396</v>
      </c>
      <c r="H530">
        <v>2.2883020820853002</v>
      </c>
      <c r="I530">
        <v>1.4301888013033099</v>
      </c>
      <c r="J530">
        <v>19.3018880130331</v>
      </c>
      <c r="K530">
        <v>1.0233787671758401</v>
      </c>
      <c r="L530" t="s">
        <v>482</v>
      </c>
      <c r="M530">
        <v>2.8273278824597199</v>
      </c>
      <c r="N530">
        <v>41766653</v>
      </c>
      <c r="O530">
        <f>IFERROR(VLOOKUP($A530,Actual!$A:$D,4,FALSE),IFERROR(VLOOKUP($A530,FC!$A:$AD,29,FALSE),"Not Found"))</f>
        <v>0</v>
      </c>
      <c r="P530" s="5" t="str">
        <f>IFERROR(VLOOKUP($A530,Actual!$A:$D,3,FALSE),"0")</f>
        <v>0</v>
      </c>
    </row>
    <row r="531" spans="1:16" x14ac:dyDescent="0.2">
      <c r="A531" t="s">
        <v>710</v>
      </c>
      <c r="B531" t="s">
        <v>484</v>
      </c>
      <c r="C531" t="s">
        <v>10</v>
      </c>
      <c r="D531">
        <v>2500</v>
      </c>
      <c r="E531">
        <v>2.5797205249767399</v>
      </c>
      <c r="F531">
        <v>1.82</v>
      </c>
      <c r="G531">
        <v>0.75972052497674003</v>
      </c>
      <c r="H531">
        <v>1.0318882099906901</v>
      </c>
      <c r="I531">
        <v>0.64493013124418497</v>
      </c>
      <c r="J531">
        <v>11.449301312441801</v>
      </c>
      <c r="K531">
        <v>0.14957533497914299</v>
      </c>
      <c r="L531" t="s">
        <v>482</v>
      </c>
      <c r="M531">
        <v>2.24406391341333</v>
      </c>
      <c r="N531">
        <v>41767481</v>
      </c>
      <c r="O531">
        <f>IFERROR(VLOOKUP($A531,Actual!$A:$D,4,FALSE),IFERROR(VLOOKUP($A531,FC!$A:$AD,29,FALSE),"Not Found"))</f>
        <v>1.3</v>
      </c>
      <c r="P531" s="5" t="str">
        <f>IFERROR(VLOOKUP($A531,Actual!$A:$D,3,FALSE),"0")</f>
        <v>0</v>
      </c>
    </row>
    <row r="532" spans="1:16" x14ac:dyDescent="0.2">
      <c r="A532" t="s">
        <v>530</v>
      </c>
      <c r="B532" t="s">
        <v>493</v>
      </c>
      <c r="C532" t="s">
        <v>10</v>
      </c>
      <c r="D532">
        <v>2500</v>
      </c>
      <c r="E532">
        <v>6.2632697514232296</v>
      </c>
      <c r="F532">
        <v>5.05</v>
      </c>
      <c r="G532">
        <v>1.21326975142323</v>
      </c>
      <c r="H532">
        <v>2.50530790056929</v>
      </c>
      <c r="I532">
        <v>1.5658174378558001</v>
      </c>
      <c r="J532">
        <v>20.658174378558002</v>
      </c>
      <c r="K532">
        <v>0.26599875718582899</v>
      </c>
      <c r="L532" t="s">
        <v>482</v>
      </c>
      <c r="M532">
        <v>4.9472953396461197</v>
      </c>
      <c r="N532">
        <v>41767399</v>
      </c>
      <c r="O532">
        <f>IFERROR(VLOOKUP($A532,Actual!$A:$D,4,FALSE),IFERROR(VLOOKUP($A532,FC!$A:$AD,29,FALSE),"Not Found"))</f>
        <v>11.5</v>
      </c>
      <c r="P532" s="5" t="str">
        <f>IFERROR(VLOOKUP($A532,Actual!$A:$D,3,FALSE),"0")</f>
        <v>0</v>
      </c>
    </row>
    <row r="533" spans="1:16" x14ac:dyDescent="0.2">
      <c r="A533" t="s">
        <v>721</v>
      </c>
      <c r="B533" t="s">
        <v>507</v>
      </c>
      <c r="C533" t="s">
        <v>10</v>
      </c>
      <c r="D533">
        <v>2500</v>
      </c>
      <c r="E533">
        <v>2.16090091020902</v>
      </c>
      <c r="F533">
        <v>2.27</v>
      </c>
      <c r="G533">
        <v>-0.109099089790975</v>
      </c>
      <c r="H533">
        <v>0.86436036408360895</v>
      </c>
      <c r="I533">
        <v>0.54022522755225599</v>
      </c>
      <c r="J533">
        <v>10.4022522755225</v>
      </c>
      <c r="K533">
        <v>0.14957533497914299</v>
      </c>
      <c r="L533" t="s">
        <v>482</v>
      </c>
      <c r="M533">
        <v>1.87973840813854</v>
      </c>
      <c r="N533">
        <v>41767373</v>
      </c>
      <c r="O533">
        <f>IFERROR(VLOOKUP($A533,Actual!$A:$D,4,FALSE),IFERROR(VLOOKUP($A533,FC!$A:$AD,29,FALSE),"Not Found"))</f>
        <v>2.6</v>
      </c>
      <c r="P533" s="5" t="str">
        <f>IFERROR(VLOOKUP($A533,Actual!$A:$D,3,FALSE),"0")</f>
        <v>0</v>
      </c>
    </row>
    <row r="534" spans="1:16" x14ac:dyDescent="0.2">
      <c r="A534" t="s">
        <v>431</v>
      </c>
      <c r="B534" t="s">
        <v>493</v>
      </c>
      <c r="C534" t="s">
        <v>10</v>
      </c>
      <c r="D534">
        <v>2500</v>
      </c>
      <c r="E534">
        <v>4.3355894697096096</v>
      </c>
      <c r="F534">
        <v>3.32</v>
      </c>
      <c r="G534">
        <v>1.0155894697096099</v>
      </c>
      <c r="H534">
        <v>1.7342357878838399</v>
      </c>
      <c r="I534">
        <v>1.0838973674273999</v>
      </c>
      <c r="J534">
        <v>15.838973674273999</v>
      </c>
      <c r="K534">
        <v>0.68225251145056598</v>
      </c>
      <c r="L534" t="s">
        <v>482</v>
      </c>
      <c r="M534">
        <v>2.57725248748247</v>
      </c>
      <c r="N534">
        <v>41766745</v>
      </c>
      <c r="O534">
        <f>IFERROR(VLOOKUP($A534,Actual!$A:$D,4,FALSE),IFERROR(VLOOKUP($A534,FC!$A:$AD,29,FALSE),"Not Found"))</f>
        <v>0</v>
      </c>
      <c r="P534" s="5">
        <f>IFERROR(VLOOKUP($A534,Actual!$A:$D,3,FALSE),"0")</f>
        <v>1.6999999999999999E-3</v>
      </c>
    </row>
    <row r="535" spans="1:16" x14ac:dyDescent="0.2">
      <c r="A535" t="s">
        <v>411</v>
      </c>
      <c r="B535" t="s">
        <v>500</v>
      </c>
      <c r="C535" t="s">
        <v>5</v>
      </c>
      <c r="D535">
        <v>2500</v>
      </c>
      <c r="E535">
        <v>3.0092388926191398</v>
      </c>
      <c r="F535">
        <v>2.36</v>
      </c>
      <c r="G535">
        <v>0.64923889261914902</v>
      </c>
      <c r="H535">
        <v>1.20369555704765</v>
      </c>
      <c r="I535">
        <v>0.75230972315478695</v>
      </c>
      <c r="J535">
        <v>12.5230972315478</v>
      </c>
      <c r="K535">
        <v>0.409351506870339</v>
      </c>
      <c r="L535" t="s">
        <v>482</v>
      </c>
      <c r="M535">
        <v>2.1351940079885199</v>
      </c>
      <c r="N535">
        <v>41766675</v>
      </c>
      <c r="O535">
        <f>IFERROR(VLOOKUP($A535,Actual!$A:$D,4,FALSE),IFERROR(VLOOKUP($A535,FC!$A:$AD,29,FALSE),"Not Found"))</f>
        <v>1.3</v>
      </c>
      <c r="P535" s="5">
        <f>IFERROR(VLOOKUP($A535,Actual!$A:$D,3,FALSE),"0")</f>
        <v>1.6999999999999999E-3</v>
      </c>
    </row>
    <row r="536" spans="1:16" x14ac:dyDescent="0.2">
      <c r="A536" t="s">
        <v>582</v>
      </c>
      <c r="B536" t="s">
        <v>505</v>
      </c>
      <c r="C536" t="s">
        <v>5</v>
      </c>
      <c r="D536">
        <v>3300</v>
      </c>
      <c r="E536">
        <v>4.8681362285285301</v>
      </c>
      <c r="F536">
        <v>4.33</v>
      </c>
      <c r="G536">
        <v>0.53813622852853105</v>
      </c>
      <c r="H536">
        <v>1.4751927965237901</v>
      </c>
      <c r="I536">
        <v>1.2170340571321301</v>
      </c>
      <c r="J536">
        <v>17.170340571321301</v>
      </c>
      <c r="K536">
        <v>0.14957533497914299</v>
      </c>
      <c r="L536" t="s">
        <v>482</v>
      </c>
      <c r="M536">
        <v>4.2347257116619099</v>
      </c>
      <c r="N536">
        <v>41767055</v>
      </c>
      <c r="O536">
        <f>IFERROR(VLOOKUP($A536,Actual!$A:$D,4,FALSE),IFERROR(VLOOKUP($A536,FC!$A:$AD,29,FALSE),"Not Found"))</f>
        <v>0</v>
      </c>
      <c r="P536" s="5" t="str">
        <f>IFERROR(VLOOKUP($A536,Actual!$A:$D,3,FALSE),"0")</f>
        <v>0</v>
      </c>
    </row>
    <row r="537" spans="1:16" x14ac:dyDescent="0.2">
      <c r="A537" t="s">
        <v>91</v>
      </c>
      <c r="B537" t="s">
        <v>495</v>
      </c>
      <c r="C537" t="s">
        <v>5</v>
      </c>
      <c r="D537">
        <v>8100</v>
      </c>
      <c r="E537">
        <v>15.992334385954599</v>
      </c>
      <c r="F537">
        <v>13.62</v>
      </c>
      <c r="G537">
        <v>2.37233438595465</v>
      </c>
      <c r="H537">
        <v>1.97436226987094</v>
      </c>
      <c r="I537">
        <v>3.9980835964886601</v>
      </c>
      <c r="J537">
        <v>44.980835964886602</v>
      </c>
      <c r="K537">
        <v>5.4047191141474498</v>
      </c>
      <c r="L537" t="s">
        <v>479</v>
      </c>
      <c r="M537">
        <v>2.4969610846210202</v>
      </c>
      <c r="N537">
        <v>41766449</v>
      </c>
      <c r="O537">
        <f>IFERROR(VLOOKUP($A537,Actual!$A:$D,4,FALSE),IFERROR(VLOOKUP($A537,FC!$A:$AD,29,FALSE),"Not Found"))</f>
        <v>0</v>
      </c>
      <c r="P537" s="5">
        <f>IFERROR(VLOOKUP($A537,Actual!$A:$D,3,FALSE),"0")</f>
        <v>3.2000000000000001E-2</v>
      </c>
    </row>
    <row r="538" spans="1:16" x14ac:dyDescent="0.2">
      <c r="A538" t="s">
        <v>514</v>
      </c>
      <c r="B538" t="s">
        <v>510</v>
      </c>
      <c r="C538" t="s">
        <v>7</v>
      </c>
      <c r="D538">
        <v>7500</v>
      </c>
      <c r="E538">
        <v>8.0972077696597893</v>
      </c>
      <c r="F538">
        <v>7.93</v>
      </c>
      <c r="G538">
        <v>0.167207769659796</v>
      </c>
      <c r="H538">
        <v>1.0796277026212999</v>
      </c>
      <c r="I538">
        <v>1.61944155393195</v>
      </c>
      <c r="J538">
        <v>26.1944155393195</v>
      </c>
      <c r="K538">
        <v>2.9754848580395801</v>
      </c>
      <c r="L538" t="s">
        <v>482</v>
      </c>
      <c r="M538">
        <v>2.0367849605274899</v>
      </c>
      <c r="N538">
        <v>41768109</v>
      </c>
      <c r="O538">
        <f>IFERROR(VLOOKUP($A538,Actual!$A:$D,4,FALSE),IFERROR(VLOOKUP($A538,FC!$A:$AD,29,FALSE),"Not Found"))</f>
        <v>4.7</v>
      </c>
      <c r="P538" s="5" t="str">
        <f>IFERROR(VLOOKUP($A538,Actual!$A:$D,3,FALSE),"0")</f>
        <v>0</v>
      </c>
    </row>
    <row r="539" spans="1:16" x14ac:dyDescent="0.2">
      <c r="A539" t="s">
        <v>633</v>
      </c>
      <c r="B539" t="s">
        <v>491</v>
      </c>
      <c r="C539" t="s">
        <v>10</v>
      </c>
      <c r="D539">
        <v>2500</v>
      </c>
      <c r="E539">
        <v>4.1941328393601403</v>
      </c>
      <c r="F539">
        <v>4.3600000000000003</v>
      </c>
      <c r="G539">
        <v>-0.16586716063985199</v>
      </c>
      <c r="H539">
        <v>1.6776531357440501</v>
      </c>
      <c r="I539">
        <v>1.04853320984003</v>
      </c>
      <c r="J539">
        <v>15.485332098400299</v>
      </c>
      <c r="K539">
        <v>0.78459038816815097</v>
      </c>
      <c r="L539" t="s">
        <v>482</v>
      </c>
      <c r="M539">
        <v>2.35019356103634</v>
      </c>
      <c r="N539">
        <v>41766647</v>
      </c>
      <c r="O539">
        <f>IFERROR(VLOOKUP($A539,Actual!$A:$D,4,FALSE),IFERROR(VLOOKUP($A539,FC!$A:$AD,29,FALSE),"Not Found"))</f>
        <v>0</v>
      </c>
      <c r="P539" s="5" t="str">
        <f>IFERROR(VLOOKUP($A539,Actual!$A:$D,3,FALSE),"0")</f>
        <v>0</v>
      </c>
    </row>
    <row r="540" spans="1:16" x14ac:dyDescent="0.2">
      <c r="A540" t="s">
        <v>616</v>
      </c>
      <c r="B540" t="s">
        <v>492</v>
      </c>
      <c r="C540" t="s">
        <v>10</v>
      </c>
      <c r="D540">
        <v>2500</v>
      </c>
      <c r="E540">
        <v>4.3990400412509203</v>
      </c>
      <c r="F540">
        <v>3.32</v>
      </c>
      <c r="G540">
        <v>1.07904004125092</v>
      </c>
      <c r="H540">
        <v>1.75961601650037</v>
      </c>
      <c r="I540">
        <v>1.0997600103127301</v>
      </c>
      <c r="J540">
        <v>15.997600103127301</v>
      </c>
      <c r="K540">
        <v>0.17733250479055199</v>
      </c>
      <c r="L540" t="s">
        <v>482</v>
      </c>
      <c r="M540">
        <v>3.7364466056541201</v>
      </c>
      <c r="N540">
        <v>41767461</v>
      </c>
      <c r="O540">
        <f>IFERROR(VLOOKUP($A540,Actual!$A:$D,4,FALSE),IFERROR(VLOOKUP($A540,FC!$A:$AD,29,FALSE),"Not Found"))</f>
        <v>0</v>
      </c>
      <c r="P540" s="5" t="str">
        <f>IFERROR(VLOOKUP($A540,Actual!$A:$D,3,FALSE),"0")</f>
        <v>0</v>
      </c>
    </row>
    <row r="541" spans="1:16" x14ac:dyDescent="0.2">
      <c r="A541" t="s">
        <v>648</v>
      </c>
      <c r="B541" t="s">
        <v>481</v>
      </c>
      <c r="C541" t="s">
        <v>17</v>
      </c>
      <c r="D541">
        <v>2500</v>
      </c>
      <c r="E541">
        <v>3.9319544050456501</v>
      </c>
      <c r="F541">
        <v>1.92</v>
      </c>
      <c r="G541">
        <v>2.0119544050456502</v>
      </c>
      <c r="H541">
        <v>1.57278176201826</v>
      </c>
      <c r="I541">
        <v>0.98298860126141396</v>
      </c>
      <c r="J541">
        <v>14.8298860126141</v>
      </c>
      <c r="K541">
        <v>0.415180941770875</v>
      </c>
      <c r="L541" t="s">
        <v>482</v>
      </c>
      <c r="M541">
        <v>2.7784110773322301</v>
      </c>
      <c r="N541">
        <v>41767947</v>
      </c>
      <c r="O541">
        <f>IFERROR(VLOOKUP($A541,Actual!$A:$D,4,FALSE),IFERROR(VLOOKUP($A541,FC!$A:$AD,29,FALSE),"Not Found"))</f>
        <v>0</v>
      </c>
      <c r="P541" s="5" t="str">
        <f>IFERROR(VLOOKUP($A541,Actual!$A:$D,3,FALSE),"0")</f>
        <v>0</v>
      </c>
    </row>
    <row r="542" spans="1:16" x14ac:dyDescent="0.2">
      <c r="A542" t="s">
        <v>350</v>
      </c>
      <c r="B542" t="s">
        <v>505</v>
      </c>
      <c r="C542" t="s">
        <v>5</v>
      </c>
      <c r="D542">
        <v>2900</v>
      </c>
      <c r="E542">
        <v>4.9955381682442903</v>
      </c>
      <c r="F542">
        <v>4.96</v>
      </c>
      <c r="G542">
        <v>3.5538168244296502E-2</v>
      </c>
      <c r="H542">
        <v>1.7225993683601</v>
      </c>
      <c r="I542">
        <v>1.2488845420610699</v>
      </c>
      <c r="J542">
        <v>17.488845420610701</v>
      </c>
      <c r="K542">
        <v>0.68225251145056598</v>
      </c>
      <c r="L542" t="s">
        <v>482</v>
      </c>
      <c r="M542">
        <v>2.96955310468626</v>
      </c>
      <c r="N542">
        <v>41766605</v>
      </c>
      <c r="O542">
        <f>IFERROR(VLOOKUP($A542,Actual!$A:$D,4,FALSE),IFERROR(VLOOKUP($A542,FC!$A:$AD,29,FALSE),"Not Found"))</f>
        <v>9.1</v>
      </c>
      <c r="P542" s="5">
        <f>IFERROR(VLOOKUP($A542,Actual!$A:$D,3,FALSE),"0")</f>
        <v>3.3999999999999998E-3</v>
      </c>
    </row>
    <row r="543" spans="1:16" x14ac:dyDescent="0.2">
      <c r="A543" t="s">
        <v>503</v>
      </c>
      <c r="B543" t="s">
        <v>499</v>
      </c>
      <c r="C543" t="s">
        <v>10</v>
      </c>
      <c r="D543">
        <v>6400</v>
      </c>
      <c r="E543">
        <v>13.5675655572267</v>
      </c>
      <c r="F543">
        <v>12.03</v>
      </c>
      <c r="G543">
        <v>1.5375655572267</v>
      </c>
      <c r="H543">
        <v>2.1199321183166702</v>
      </c>
      <c r="I543">
        <v>3.3918913893066698</v>
      </c>
      <c r="J543">
        <v>38.918913893066701</v>
      </c>
      <c r="K543">
        <v>0.69159676868315501</v>
      </c>
      <c r="L543" t="s">
        <v>482</v>
      </c>
      <c r="M543">
        <v>8.0205671992318504</v>
      </c>
      <c r="N543">
        <v>41766845</v>
      </c>
      <c r="O543">
        <f>IFERROR(VLOOKUP($A543,Actual!$A:$D,4,FALSE),IFERROR(VLOOKUP($A543,FC!$A:$AD,29,FALSE),"Not Found"))</f>
        <v>0</v>
      </c>
      <c r="P543" s="5" t="str">
        <f>IFERROR(VLOOKUP($A543,Actual!$A:$D,3,FALSE),"0")</f>
        <v>0</v>
      </c>
    </row>
    <row r="544" spans="1:16" x14ac:dyDescent="0.2">
      <c r="A544" t="s">
        <v>322</v>
      </c>
      <c r="B544" t="s">
        <v>484</v>
      </c>
      <c r="C544" t="s">
        <v>10</v>
      </c>
      <c r="D544">
        <v>3000</v>
      </c>
      <c r="E544">
        <v>9.1916844172065009</v>
      </c>
      <c r="F544">
        <v>7.9</v>
      </c>
      <c r="G544">
        <v>1.2916844172065001</v>
      </c>
      <c r="H544">
        <v>3.0638948057355</v>
      </c>
      <c r="I544">
        <v>2.2979211043016199</v>
      </c>
      <c r="J544">
        <v>27.9792110430162</v>
      </c>
      <c r="K544">
        <v>0.31919850862299398</v>
      </c>
      <c r="L544" t="s">
        <v>482</v>
      </c>
      <c r="M544">
        <v>6.9676279628309796</v>
      </c>
      <c r="N544">
        <v>41767107</v>
      </c>
      <c r="O544">
        <f>IFERROR(VLOOKUP($A544,Actual!$A:$D,4,FALSE),IFERROR(VLOOKUP($A544,FC!$A:$AD,29,FALSE),"Not Found"))</f>
        <v>0</v>
      </c>
      <c r="P544" s="5">
        <f>IFERROR(VLOOKUP($A544,Actual!$A:$D,3,FALSE),"0")</f>
        <v>5.1000000000000004E-3</v>
      </c>
    </row>
    <row r="545" spans="1:16" x14ac:dyDescent="0.2">
      <c r="A545" t="s">
        <v>518</v>
      </c>
      <c r="B545" t="s">
        <v>486</v>
      </c>
      <c r="C545" t="s">
        <v>10</v>
      </c>
      <c r="D545">
        <v>2500</v>
      </c>
      <c r="E545">
        <v>7.4811140291554601</v>
      </c>
      <c r="F545">
        <v>6.02</v>
      </c>
      <c r="G545">
        <v>1.4611140291554601</v>
      </c>
      <c r="H545">
        <v>2.99244561166218</v>
      </c>
      <c r="I545">
        <v>1.8702785072888599</v>
      </c>
      <c r="J545">
        <v>23.702785072888599</v>
      </c>
      <c r="K545">
        <v>0.31919850862299398</v>
      </c>
      <c r="L545" t="s">
        <v>482</v>
      </c>
      <c r="M545">
        <v>5.67095397717239</v>
      </c>
      <c r="N545">
        <v>41767477</v>
      </c>
      <c r="O545">
        <f>IFERROR(VLOOKUP($A545,Actual!$A:$D,4,FALSE),IFERROR(VLOOKUP($A545,FC!$A:$AD,29,FALSE),"Not Found"))</f>
        <v>0</v>
      </c>
      <c r="P545" s="5" t="str">
        <f>IFERROR(VLOOKUP($A545,Actual!$A:$D,3,FALSE),"0")</f>
        <v>0</v>
      </c>
    </row>
    <row r="546" spans="1:16" x14ac:dyDescent="0.2">
      <c r="A546" t="s">
        <v>376</v>
      </c>
      <c r="B546" t="s">
        <v>484</v>
      </c>
      <c r="C546" t="s">
        <v>10</v>
      </c>
      <c r="D546">
        <v>2800</v>
      </c>
      <c r="E546">
        <v>7.1887472097964302</v>
      </c>
      <c r="F546">
        <v>5.85</v>
      </c>
      <c r="G546">
        <v>1.3387472097964299</v>
      </c>
      <c r="H546">
        <v>2.5674097177844399</v>
      </c>
      <c r="I546">
        <v>1.7971868024491</v>
      </c>
      <c r="J546">
        <v>22.971868024490998</v>
      </c>
      <c r="K546">
        <v>0.26599875718582899</v>
      </c>
      <c r="L546" t="s">
        <v>482</v>
      </c>
      <c r="M546">
        <v>5.6783209059195201</v>
      </c>
      <c r="N546">
        <v>41767147</v>
      </c>
      <c r="O546">
        <f>IFERROR(VLOOKUP($A546,Actual!$A:$D,4,FALSE),IFERROR(VLOOKUP($A546,FC!$A:$AD,29,FALSE),"Not Found"))</f>
        <v>0</v>
      </c>
      <c r="P546" s="5">
        <f>IFERROR(VLOOKUP($A546,Actual!$A:$D,3,FALSE),"0")</f>
        <v>3.3999999999999998E-3</v>
      </c>
    </row>
    <row r="547" spans="1:16" x14ac:dyDescent="0.2">
      <c r="A547" t="s">
        <v>520</v>
      </c>
      <c r="B547" t="s">
        <v>498</v>
      </c>
      <c r="C547" t="s">
        <v>17</v>
      </c>
      <c r="D547">
        <v>2500</v>
      </c>
      <c r="E547">
        <v>7.1456342954661602</v>
      </c>
      <c r="F547">
        <v>5.35</v>
      </c>
      <c r="G547">
        <v>1.7956342954661599</v>
      </c>
      <c r="H547">
        <v>2.85825371818646</v>
      </c>
      <c r="I547">
        <v>1.7864085738665401</v>
      </c>
      <c r="J547">
        <v>22.864085738665398</v>
      </c>
      <c r="K547">
        <v>1.03795235442718</v>
      </c>
      <c r="L547" t="s">
        <v>482</v>
      </c>
      <c r="M547">
        <v>3.5062813318197499</v>
      </c>
      <c r="N547">
        <v>41767889</v>
      </c>
      <c r="O547">
        <f>IFERROR(VLOOKUP($A547,Actual!$A:$D,4,FALSE),IFERROR(VLOOKUP($A547,FC!$A:$AD,29,FALSE),"Not Found"))</f>
        <v>0</v>
      </c>
      <c r="P547" s="5" t="str">
        <f>IFERROR(VLOOKUP($A547,Actual!$A:$D,3,FALSE),"0")</f>
        <v>0</v>
      </c>
    </row>
    <row r="548" spans="1:16" x14ac:dyDescent="0.2">
      <c r="A548" t="s">
        <v>430</v>
      </c>
      <c r="B548" t="s">
        <v>491</v>
      </c>
      <c r="C548" t="s">
        <v>17</v>
      </c>
      <c r="D548">
        <v>2500</v>
      </c>
      <c r="E548">
        <v>6.4703654686041698</v>
      </c>
      <c r="F548">
        <v>5.31</v>
      </c>
      <c r="G548">
        <v>1.16036546860417</v>
      </c>
      <c r="H548">
        <v>2.58814618744166</v>
      </c>
      <c r="I548">
        <v>1.61759136715104</v>
      </c>
      <c r="J548">
        <v>21.175913671510401</v>
      </c>
      <c r="K548">
        <v>1.03795235442718</v>
      </c>
      <c r="L548" t="s">
        <v>482</v>
      </c>
      <c r="M548">
        <v>3.1749346124545701</v>
      </c>
      <c r="N548">
        <v>41767799</v>
      </c>
      <c r="O548">
        <f>IFERROR(VLOOKUP($A548,Actual!$A:$D,4,FALSE),IFERROR(VLOOKUP($A548,FC!$A:$AD,29,FALSE),"Not Found"))</f>
        <v>0</v>
      </c>
      <c r="P548" s="5">
        <f>IFERROR(VLOOKUP($A548,Actual!$A:$D,3,FALSE),"0")</f>
        <v>1.6999999999999999E-3</v>
      </c>
    </row>
    <row r="549" spans="1:16" x14ac:dyDescent="0.2">
      <c r="A549" t="s">
        <v>529</v>
      </c>
      <c r="B549" t="s">
        <v>494</v>
      </c>
      <c r="C549" t="s">
        <v>17</v>
      </c>
      <c r="D549">
        <v>2500</v>
      </c>
      <c r="E549">
        <v>6.3598335916336302</v>
      </c>
      <c r="F549">
        <v>4</v>
      </c>
      <c r="G549">
        <v>2.3598335916336302</v>
      </c>
      <c r="H549">
        <v>2.5439334366534498</v>
      </c>
      <c r="I549">
        <v>1.5899583979084</v>
      </c>
      <c r="J549">
        <v>20.899583979083999</v>
      </c>
      <c r="K549">
        <v>1.03795235442718</v>
      </c>
      <c r="L549" t="s">
        <v>482</v>
      </c>
      <c r="M549">
        <v>3.1206978798192702</v>
      </c>
      <c r="N549">
        <v>41767905</v>
      </c>
      <c r="O549">
        <f>IFERROR(VLOOKUP($A549,Actual!$A:$D,4,FALSE),IFERROR(VLOOKUP($A549,FC!$A:$AD,29,FALSE),"Not Found"))</f>
        <v>0</v>
      </c>
      <c r="P549" s="5" t="str">
        <f>IFERROR(VLOOKUP($A549,Actual!$A:$D,3,FALSE),"0")</f>
        <v>0</v>
      </c>
    </row>
    <row r="550" spans="1:16" x14ac:dyDescent="0.2">
      <c r="A550" t="s">
        <v>405</v>
      </c>
      <c r="B550" t="s">
        <v>499</v>
      </c>
      <c r="C550" t="s">
        <v>10</v>
      </c>
      <c r="D550">
        <v>2500</v>
      </c>
      <c r="E550">
        <v>6.2753764598259902</v>
      </c>
      <c r="F550">
        <v>4.5999999999999996</v>
      </c>
      <c r="G550">
        <v>1.6753764598259899</v>
      </c>
      <c r="H550">
        <v>2.5101505839303901</v>
      </c>
      <c r="I550">
        <v>1.56884411495649</v>
      </c>
      <c r="J550">
        <v>20.688441149564898</v>
      </c>
      <c r="K550">
        <v>1.0233787671758401</v>
      </c>
      <c r="L550" t="s">
        <v>482</v>
      </c>
      <c r="M550">
        <v>3.1014343738443499</v>
      </c>
      <c r="N550">
        <v>41766753</v>
      </c>
      <c r="O550">
        <f>IFERROR(VLOOKUP($A550,Actual!$A:$D,4,FALSE),IFERROR(VLOOKUP($A550,FC!$A:$AD,29,FALSE),"Not Found"))</f>
        <v>0</v>
      </c>
      <c r="P550" s="5">
        <f>IFERROR(VLOOKUP($A550,Actual!$A:$D,3,FALSE),"0")</f>
        <v>1.6999999999999999E-3</v>
      </c>
    </row>
    <row r="551" spans="1:16" x14ac:dyDescent="0.2">
      <c r="A551" t="s">
        <v>533</v>
      </c>
      <c r="B551" t="s">
        <v>498</v>
      </c>
      <c r="C551" t="s">
        <v>17</v>
      </c>
      <c r="D551">
        <v>2500</v>
      </c>
      <c r="E551">
        <v>6.2136419478878198</v>
      </c>
      <c r="F551">
        <v>3.79</v>
      </c>
      <c r="G551">
        <v>2.4236419478878202</v>
      </c>
      <c r="H551">
        <v>2.4854567791551201</v>
      </c>
      <c r="I551">
        <v>1.5534104869719501</v>
      </c>
      <c r="J551">
        <v>20.534104869719499</v>
      </c>
      <c r="K551">
        <v>1.03795235442718</v>
      </c>
      <c r="L551" t="s">
        <v>482</v>
      </c>
      <c r="M551">
        <v>3.0489633059327801</v>
      </c>
      <c r="N551">
        <v>41767887</v>
      </c>
      <c r="O551">
        <f>IFERROR(VLOOKUP($A551,Actual!$A:$D,4,FALSE),IFERROR(VLOOKUP($A551,FC!$A:$AD,29,FALSE),"Not Found"))</f>
        <v>0</v>
      </c>
      <c r="P551" s="5" t="str">
        <f>IFERROR(VLOOKUP($A551,Actual!$A:$D,3,FALSE),"0")</f>
        <v>0</v>
      </c>
    </row>
    <row r="552" spans="1:16" x14ac:dyDescent="0.2">
      <c r="A552" t="s">
        <v>341</v>
      </c>
      <c r="B552" t="s">
        <v>491</v>
      </c>
      <c r="C552" t="s">
        <v>10</v>
      </c>
      <c r="D552">
        <v>2500</v>
      </c>
      <c r="E552">
        <v>6.1198474362677997</v>
      </c>
      <c r="F552">
        <v>5.5</v>
      </c>
      <c r="G552">
        <v>0.61984743626780303</v>
      </c>
      <c r="H552">
        <v>2.4479389745071201</v>
      </c>
      <c r="I552">
        <v>1.5299618590669499</v>
      </c>
      <c r="J552">
        <v>20.2996185906695</v>
      </c>
      <c r="K552">
        <v>0.26599875718582899</v>
      </c>
      <c r="L552" t="s">
        <v>482</v>
      </c>
      <c r="M552">
        <v>4.8340074597478404</v>
      </c>
      <c r="N552">
        <v>41767203</v>
      </c>
      <c r="O552">
        <f>IFERROR(VLOOKUP($A552,Actual!$A:$D,4,FALSE),IFERROR(VLOOKUP($A552,FC!$A:$AD,29,FALSE),"Not Found"))</f>
        <v>0</v>
      </c>
      <c r="P552" s="5">
        <f>IFERROR(VLOOKUP($A552,Actual!$A:$D,3,FALSE),"0")</f>
        <v>3.3999999999999998E-3</v>
      </c>
    </row>
    <row r="553" spans="1:16" x14ac:dyDescent="0.2">
      <c r="A553" t="s">
        <v>535</v>
      </c>
      <c r="B553" t="s">
        <v>509</v>
      </c>
      <c r="C553" t="s">
        <v>10</v>
      </c>
      <c r="D553">
        <v>2800</v>
      </c>
      <c r="E553">
        <v>6.1120264794737</v>
      </c>
      <c r="F553">
        <v>5.49</v>
      </c>
      <c r="G553">
        <v>0.62202647947370604</v>
      </c>
      <c r="H553">
        <v>2.18286659981203</v>
      </c>
      <c r="I553">
        <v>1.5280066198684199</v>
      </c>
      <c r="J553">
        <v>20.280066198684199</v>
      </c>
      <c r="K553">
        <v>0.17733250479055199</v>
      </c>
      <c r="L553" t="s">
        <v>482</v>
      </c>
      <c r="M553">
        <v>5.1914191229783704</v>
      </c>
      <c r="N553">
        <v>41767133</v>
      </c>
      <c r="O553">
        <f>IFERROR(VLOOKUP($A553,Actual!$A:$D,4,FALSE),IFERROR(VLOOKUP($A553,FC!$A:$AD,29,FALSE),"Not Found"))</f>
        <v>0</v>
      </c>
      <c r="P553" s="5" t="str">
        <f>IFERROR(VLOOKUP($A553,Actual!$A:$D,3,FALSE),"0")</f>
        <v>0</v>
      </c>
    </row>
    <row r="554" spans="1:16" x14ac:dyDescent="0.2">
      <c r="A554" t="s">
        <v>537</v>
      </c>
      <c r="B554" t="s">
        <v>485</v>
      </c>
      <c r="C554" t="s">
        <v>5</v>
      </c>
      <c r="D554">
        <v>2700</v>
      </c>
      <c r="E554">
        <v>6.0090458365485997</v>
      </c>
      <c r="F554">
        <v>5.64</v>
      </c>
      <c r="G554">
        <v>0.36904583654860301</v>
      </c>
      <c r="H554">
        <v>2.2255725320550299</v>
      </c>
      <c r="I554">
        <v>1.5022614591371499</v>
      </c>
      <c r="J554">
        <v>20.0226145913715</v>
      </c>
      <c r="K554">
        <v>0.17733250479055199</v>
      </c>
      <c r="L554" t="s">
        <v>482</v>
      </c>
      <c r="M554">
        <v>5.1039496591641296</v>
      </c>
      <c r="N554">
        <v>41767149</v>
      </c>
      <c r="O554">
        <f>IFERROR(VLOOKUP($A554,Actual!$A:$D,4,FALSE),IFERROR(VLOOKUP($A554,FC!$A:$AD,29,FALSE),"Not Found"))</f>
        <v>0</v>
      </c>
      <c r="P554" s="5" t="str">
        <f>IFERROR(VLOOKUP($A554,Actual!$A:$D,3,FALSE),"0")</f>
        <v>0</v>
      </c>
    </row>
    <row r="555" spans="1:16" x14ac:dyDescent="0.2">
      <c r="A555" t="s">
        <v>543</v>
      </c>
      <c r="B555" t="s">
        <v>492</v>
      </c>
      <c r="C555" t="s">
        <v>10</v>
      </c>
      <c r="D555">
        <v>2500</v>
      </c>
      <c r="E555">
        <v>5.6926957708542902</v>
      </c>
      <c r="F555">
        <v>5.37</v>
      </c>
      <c r="G555">
        <v>0.32269577085429102</v>
      </c>
      <c r="H555">
        <v>2.2770783083417099</v>
      </c>
      <c r="I555">
        <v>1.4231739427135699</v>
      </c>
      <c r="J555">
        <v>19.2317394271357</v>
      </c>
      <c r="K555">
        <v>0.17733250479055199</v>
      </c>
      <c r="L555" t="s">
        <v>482</v>
      </c>
      <c r="M555">
        <v>4.8352489612669096</v>
      </c>
      <c r="N555">
        <v>41767463</v>
      </c>
      <c r="O555">
        <f>IFERROR(VLOOKUP($A555,Actual!$A:$D,4,FALSE),IFERROR(VLOOKUP($A555,FC!$A:$AD,29,FALSE),"Not Found"))</f>
        <v>0</v>
      </c>
      <c r="P555" s="5" t="str">
        <f>IFERROR(VLOOKUP($A555,Actual!$A:$D,3,FALSE),"0")</f>
        <v>0</v>
      </c>
    </row>
    <row r="556" spans="1:16" x14ac:dyDescent="0.2">
      <c r="A556" t="s">
        <v>544</v>
      </c>
      <c r="B556" t="s">
        <v>510</v>
      </c>
      <c r="C556" t="s">
        <v>10</v>
      </c>
      <c r="D556">
        <v>2500</v>
      </c>
      <c r="E556">
        <v>5.6706991240917803</v>
      </c>
      <c r="F556">
        <v>5.04</v>
      </c>
      <c r="G556">
        <v>0.63069912409178297</v>
      </c>
      <c r="H556">
        <v>2.2682796496367099</v>
      </c>
      <c r="I556">
        <v>1.41767478102294</v>
      </c>
      <c r="J556">
        <v>19.176747810229401</v>
      </c>
      <c r="K556">
        <v>0.17733250479055199</v>
      </c>
      <c r="L556" t="s">
        <v>482</v>
      </c>
      <c r="M556">
        <v>4.8165654995659803</v>
      </c>
      <c r="N556">
        <v>41767253</v>
      </c>
      <c r="O556">
        <f>IFERROR(VLOOKUP($A556,Actual!$A:$D,4,FALSE),IFERROR(VLOOKUP($A556,FC!$A:$AD,29,FALSE),"Not Found"))</f>
        <v>0</v>
      </c>
      <c r="P556" s="5" t="str">
        <f>IFERROR(VLOOKUP($A556,Actual!$A:$D,3,FALSE),"0")</f>
        <v>0</v>
      </c>
    </row>
    <row r="557" spans="1:16" x14ac:dyDescent="0.2">
      <c r="A557" t="s">
        <v>546</v>
      </c>
      <c r="B557" t="s">
        <v>505</v>
      </c>
      <c r="C557" t="s">
        <v>17</v>
      </c>
      <c r="D557">
        <v>2500</v>
      </c>
      <c r="E557">
        <v>5.6307309048313003</v>
      </c>
      <c r="F557">
        <v>4.45</v>
      </c>
      <c r="G557">
        <v>1.1807309048312999</v>
      </c>
      <c r="H557">
        <v>2.2522923619325201</v>
      </c>
      <c r="I557">
        <v>1.40768272620782</v>
      </c>
      <c r="J557">
        <v>19.076827262078201</v>
      </c>
      <c r="K557">
        <v>0.69196823628479198</v>
      </c>
      <c r="L557" t="s">
        <v>482</v>
      </c>
      <c r="M557">
        <v>3.3279176193018798</v>
      </c>
      <c r="N557">
        <v>41767937</v>
      </c>
      <c r="O557">
        <f>IFERROR(VLOOKUP($A557,Actual!$A:$D,4,FALSE),IFERROR(VLOOKUP($A557,FC!$A:$AD,29,FALSE),"Not Found"))</f>
        <v>0</v>
      </c>
      <c r="P557" s="5" t="str">
        <f>IFERROR(VLOOKUP($A557,Actual!$A:$D,3,FALSE),"0")</f>
        <v>0</v>
      </c>
    </row>
    <row r="558" spans="1:16" x14ac:dyDescent="0.2">
      <c r="A558" t="s">
        <v>432</v>
      </c>
      <c r="B558" t="s">
        <v>485</v>
      </c>
      <c r="C558" t="s">
        <v>17</v>
      </c>
      <c r="D558">
        <v>2500</v>
      </c>
      <c r="E558">
        <v>5.4491743996127697</v>
      </c>
      <c r="F558">
        <v>3.84</v>
      </c>
      <c r="G558">
        <v>1.6091743996127701</v>
      </c>
      <c r="H558">
        <v>2.17966975984511</v>
      </c>
      <c r="I558">
        <v>1.36229359990319</v>
      </c>
      <c r="J558">
        <v>18.622935999031899</v>
      </c>
      <c r="K558">
        <v>0.69196823628479198</v>
      </c>
      <c r="L558" t="s">
        <v>482</v>
      </c>
      <c r="M558">
        <v>3.22061270581416</v>
      </c>
      <c r="N558">
        <v>41767815</v>
      </c>
      <c r="O558">
        <f>IFERROR(VLOOKUP($A558,Actual!$A:$D,4,FALSE),IFERROR(VLOOKUP($A558,FC!$A:$AD,29,FALSE),"Not Found"))</f>
        <v>0</v>
      </c>
      <c r="P558" s="5">
        <f>IFERROR(VLOOKUP($A558,Actual!$A:$D,3,FALSE),"0")</f>
        <v>1.6999999999999999E-3</v>
      </c>
    </row>
    <row r="559" spans="1:16" x14ac:dyDescent="0.2">
      <c r="A559" t="s">
        <v>554</v>
      </c>
      <c r="B559" t="s">
        <v>499</v>
      </c>
      <c r="C559" t="s">
        <v>17</v>
      </c>
      <c r="D559">
        <v>2500</v>
      </c>
      <c r="E559">
        <v>5.3826265596107401</v>
      </c>
      <c r="F559">
        <v>4.82</v>
      </c>
      <c r="G559">
        <v>0.56262655961074304</v>
      </c>
      <c r="H559">
        <v>2.1530506238442899</v>
      </c>
      <c r="I559">
        <v>1.3456566399026799</v>
      </c>
      <c r="J559">
        <v>18.456566399026801</v>
      </c>
      <c r="K559">
        <v>0.69196823628479198</v>
      </c>
      <c r="L559" t="s">
        <v>482</v>
      </c>
      <c r="M559">
        <v>3.1812810927407602</v>
      </c>
      <c r="N559">
        <v>41768001</v>
      </c>
      <c r="O559">
        <f>IFERROR(VLOOKUP($A559,Actual!$A:$D,4,FALSE),IFERROR(VLOOKUP($A559,FC!$A:$AD,29,FALSE),"Not Found"))</f>
        <v>0</v>
      </c>
      <c r="P559" s="5" t="str">
        <f>IFERROR(VLOOKUP($A559,Actual!$A:$D,3,FALSE),"0")</f>
        <v>0</v>
      </c>
    </row>
    <row r="560" spans="1:16" x14ac:dyDescent="0.2">
      <c r="A560" t="s">
        <v>555</v>
      </c>
      <c r="B560" t="s">
        <v>505</v>
      </c>
      <c r="C560" t="s">
        <v>10</v>
      </c>
      <c r="D560">
        <v>2500</v>
      </c>
      <c r="E560">
        <v>5.3824455548849199</v>
      </c>
      <c r="F560">
        <v>3.99</v>
      </c>
      <c r="G560">
        <v>1.3924455548849199</v>
      </c>
      <c r="H560">
        <v>2.1529782219539699</v>
      </c>
      <c r="I560">
        <v>1.34561138872123</v>
      </c>
      <c r="J560">
        <v>18.4561138872123</v>
      </c>
      <c r="K560">
        <v>0.17733250479055199</v>
      </c>
      <c r="L560" t="s">
        <v>482</v>
      </c>
      <c r="M560">
        <v>4.57172933982865</v>
      </c>
      <c r="N560">
        <v>41767353</v>
      </c>
      <c r="O560">
        <f>IFERROR(VLOOKUP($A560,Actual!$A:$D,4,FALSE),IFERROR(VLOOKUP($A560,FC!$A:$AD,29,FALSE),"Not Found"))</f>
        <v>0</v>
      </c>
      <c r="P560" s="5" t="str">
        <f>IFERROR(VLOOKUP($A560,Actual!$A:$D,3,FALSE),"0")</f>
        <v>0</v>
      </c>
    </row>
    <row r="561" spans="1:16" x14ac:dyDescent="0.2">
      <c r="A561" t="s">
        <v>557</v>
      </c>
      <c r="B561" t="s">
        <v>480</v>
      </c>
      <c r="C561" t="s">
        <v>10</v>
      </c>
      <c r="D561">
        <v>2500</v>
      </c>
      <c r="E561">
        <v>5.3222286038567903</v>
      </c>
      <c r="F561">
        <v>4.26</v>
      </c>
      <c r="G561">
        <v>1.0622286038567901</v>
      </c>
      <c r="H561">
        <v>2.1288914415427098</v>
      </c>
      <c r="I561">
        <v>1.33055715096419</v>
      </c>
      <c r="J561">
        <v>18.305571509641901</v>
      </c>
      <c r="K561">
        <v>0.17733250479055199</v>
      </c>
      <c r="L561" t="s">
        <v>482</v>
      </c>
      <c r="M561">
        <v>4.5205824031874604</v>
      </c>
      <c r="N561">
        <v>41767395</v>
      </c>
      <c r="O561">
        <f>IFERROR(VLOOKUP($A561,Actual!$A:$D,4,FALSE),IFERROR(VLOOKUP($A561,FC!$A:$AD,29,FALSE),"Not Found"))</f>
        <v>0</v>
      </c>
      <c r="P561" s="5" t="str">
        <f>IFERROR(VLOOKUP($A561,Actual!$A:$D,3,FALSE),"0")</f>
        <v>0</v>
      </c>
    </row>
    <row r="562" spans="1:16" x14ac:dyDescent="0.2">
      <c r="A562" t="s">
        <v>563</v>
      </c>
      <c r="B562" t="s">
        <v>504</v>
      </c>
      <c r="C562" t="s">
        <v>5</v>
      </c>
      <c r="D562">
        <v>2500</v>
      </c>
      <c r="E562">
        <v>5.2608343253977399</v>
      </c>
      <c r="F562">
        <v>4.83</v>
      </c>
      <c r="G562">
        <v>0.43083432539774502</v>
      </c>
      <c r="H562">
        <v>2.1043337301590901</v>
      </c>
      <c r="I562">
        <v>1.3152085813494301</v>
      </c>
      <c r="J562">
        <v>18.152085813494299</v>
      </c>
      <c r="K562">
        <v>0.68225251145056598</v>
      </c>
      <c r="L562" t="s">
        <v>482</v>
      </c>
      <c r="M562">
        <v>3.12725603890551</v>
      </c>
      <c r="N562">
        <v>41766659</v>
      </c>
      <c r="O562">
        <f>IFERROR(VLOOKUP($A562,Actual!$A:$D,4,FALSE),IFERROR(VLOOKUP($A562,FC!$A:$AD,29,FALSE),"Not Found"))</f>
        <v>0</v>
      </c>
      <c r="P562" s="5" t="str">
        <f>IFERROR(VLOOKUP($A562,Actual!$A:$D,3,FALSE),"0")</f>
        <v>0</v>
      </c>
    </row>
    <row r="563" spans="1:16" x14ac:dyDescent="0.2">
      <c r="A563" t="s">
        <v>566</v>
      </c>
      <c r="B563" t="s">
        <v>480</v>
      </c>
      <c r="C563" t="s">
        <v>10</v>
      </c>
      <c r="D563">
        <v>2500</v>
      </c>
      <c r="E563">
        <v>5.2285743829360998</v>
      </c>
      <c r="F563">
        <v>4.01</v>
      </c>
      <c r="G563">
        <v>1.2185743829361</v>
      </c>
      <c r="H563">
        <v>2.0914297531744399</v>
      </c>
      <c r="I563">
        <v>1.3071435957340201</v>
      </c>
      <c r="J563">
        <v>18.071435957340199</v>
      </c>
      <c r="K563">
        <v>0.17733250479055199</v>
      </c>
      <c r="L563" t="s">
        <v>482</v>
      </c>
      <c r="M563">
        <v>4.4410345944421703</v>
      </c>
      <c r="N563">
        <v>41767393</v>
      </c>
      <c r="O563">
        <f>IFERROR(VLOOKUP($A563,Actual!$A:$D,4,FALSE),IFERROR(VLOOKUP($A563,FC!$A:$AD,29,FALSE),"Not Found"))</f>
        <v>0</v>
      </c>
      <c r="P563" s="5" t="str">
        <f>IFERROR(VLOOKUP($A563,Actual!$A:$D,3,FALSE),"0")</f>
        <v>0</v>
      </c>
    </row>
    <row r="564" spans="1:16" x14ac:dyDescent="0.2">
      <c r="A564" t="s">
        <v>569</v>
      </c>
      <c r="B564" t="s">
        <v>509</v>
      </c>
      <c r="C564" t="s">
        <v>17</v>
      </c>
      <c r="D564">
        <v>2500</v>
      </c>
      <c r="E564">
        <v>5.1836198756004004</v>
      </c>
      <c r="F564">
        <v>3.93</v>
      </c>
      <c r="G564">
        <v>1.2536198756004</v>
      </c>
      <c r="H564">
        <v>2.0734479502401602</v>
      </c>
      <c r="I564">
        <v>1.2959049689001001</v>
      </c>
      <c r="J564">
        <v>17.959049689000999</v>
      </c>
      <c r="K564">
        <v>0.69196823628479198</v>
      </c>
      <c r="L564" t="s">
        <v>482</v>
      </c>
      <c r="M564">
        <v>3.0636626411985901</v>
      </c>
      <c r="N564">
        <v>41767871</v>
      </c>
      <c r="O564">
        <f>IFERROR(VLOOKUP($A564,Actual!$A:$D,4,FALSE),IFERROR(VLOOKUP($A564,FC!$A:$AD,29,FALSE),"Not Found"))</f>
        <v>0</v>
      </c>
      <c r="P564" s="5" t="str">
        <f>IFERROR(VLOOKUP($A564,Actual!$A:$D,3,FALSE),"0")</f>
        <v>0</v>
      </c>
    </row>
    <row r="565" spans="1:16" x14ac:dyDescent="0.2">
      <c r="A565" t="s">
        <v>573</v>
      </c>
      <c r="B565" t="s">
        <v>490</v>
      </c>
      <c r="C565" t="s">
        <v>17</v>
      </c>
      <c r="D565">
        <v>2500</v>
      </c>
      <c r="E565">
        <v>5.0809901403738698</v>
      </c>
      <c r="F565">
        <v>4.12</v>
      </c>
      <c r="G565">
        <v>0.96099014037387498</v>
      </c>
      <c r="H565">
        <v>2.0323960561495502</v>
      </c>
      <c r="I565">
        <v>1.2702475350934599</v>
      </c>
      <c r="J565">
        <v>17.702475350934598</v>
      </c>
      <c r="K565">
        <v>0.69196823628479198</v>
      </c>
      <c r="L565" t="s">
        <v>482</v>
      </c>
      <c r="M565">
        <v>3.0030056306084401</v>
      </c>
      <c r="N565">
        <v>41767963</v>
      </c>
      <c r="O565">
        <f>IFERROR(VLOOKUP($A565,Actual!$A:$D,4,FALSE),IFERROR(VLOOKUP($A565,FC!$A:$AD,29,FALSE),"Not Found"))</f>
        <v>0</v>
      </c>
      <c r="P565" s="5" t="str">
        <f>IFERROR(VLOOKUP($A565,Actual!$A:$D,3,FALSE),"0")</f>
        <v>0</v>
      </c>
    </row>
    <row r="566" spans="1:16" x14ac:dyDescent="0.2">
      <c r="A566" t="s">
        <v>574</v>
      </c>
      <c r="B566" t="s">
        <v>510</v>
      </c>
      <c r="C566" t="s">
        <v>5</v>
      </c>
      <c r="D566">
        <v>2500</v>
      </c>
      <c r="E566">
        <v>5.0778095006343698</v>
      </c>
      <c r="F566">
        <v>4.34</v>
      </c>
      <c r="G566">
        <v>0.737809500634379</v>
      </c>
      <c r="H566">
        <v>2.0311238002537499</v>
      </c>
      <c r="I566">
        <v>1.26945237515859</v>
      </c>
      <c r="J566">
        <v>17.694523751585901</v>
      </c>
      <c r="K566">
        <v>0.68225251145056598</v>
      </c>
      <c r="L566" t="s">
        <v>482</v>
      </c>
      <c r="M566">
        <v>3.01845856437801</v>
      </c>
      <c r="N566">
        <v>41766667</v>
      </c>
      <c r="O566">
        <f>IFERROR(VLOOKUP($A566,Actual!$A:$D,4,FALSE),IFERROR(VLOOKUP($A566,FC!$A:$AD,29,FALSE),"Not Found"))</f>
        <v>0</v>
      </c>
      <c r="P566" s="5" t="str">
        <f>IFERROR(VLOOKUP($A566,Actual!$A:$D,3,FALSE),"0")</f>
        <v>0</v>
      </c>
    </row>
    <row r="567" spans="1:16" x14ac:dyDescent="0.2">
      <c r="A567" t="s">
        <v>577</v>
      </c>
      <c r="B567" t="s">
        <v>499</v>
      </c>
      <c r="C567" t="s">
        <v>17</v>
      </c>
      <c r="D567">
        <v>2500</v>
      </c>
      <c r="E567">
        <v>5.0507316924426497</v>
      </c>
      <c r="F567">
        <v>4.5</v>
      </c>
      <c r="G567">
        <v>0.55073169244265596</v>
      </c>
      <c r="H567">
        <v>2.0202926769770602</v>
      </c>
      <c r="I567">
        <v>1.26268292311066</v>
      </c>
      <c r="J567">
        <v>17.626829231106601</v>
      </c>
      <c r="K567">
        <v>0.69196823628479198</v>
      </c>
      <c r="L567" t="s">
        <v>482</v>
      </c>
      <c r="M567">
        <v>2.98512205142397</v>
      </c>
      <c r="N567">
        <v>41767995</v>
      </c>
      <c r="O567">
        <f>IFERROR(VLOOKUP($A567,Actual!$A:$D,4,FALSE),IFERROR(VLOOKUP($A567,FC!$A:$AD,29,FALSE),"Not Found"))</f>
        <v>0</v>
      </c>
      <c r="P567" s="5" t="str">
        <f>IFERROR(VLOOKUP($A567,Actual!$A:$D,3,FALSE),"0")</f>
        <v>0</v>
      </c>
    </row>
    <row r="568" spans="1:16" x14ac:dyDescent="0.2">
      <c r="A568" t="s">
        <v>578</v>
      </c>
      <c r="B568" t="s">
        <v>498</v>
      </c>
      <c r="C568" t="s">
        <v>10</v>
      </c>
      <c r="D568">
        <v>2500</v>
      </c>
      <c r="E568">
        <v>5.03606880421321</v>
      </c>
      <c r="F568">
        <v>4.28</v>
      </c>
      <c r="G568">
        <v>0.75606880421321598</v>
      </c>
      <c r="H568">
        <v>2.0144275216852798</v>
      </c>
      <c r="I568">
        <v>1.2590172010533001</v>
      </c>
      <c r="J568">
        <v>17.590172010532999</v>
      </c>
      <c r="K568">
        <v>0.17733250479055199</v>
      </c>
      <c r="L568" t="s">
        <v>482</v>
      </c>
      <c r="M568">
        <v>4.2775246446704802</v>
      </c>
      <c r="N568">
        <v>41767317</v>
      </c>
      <c r="O568">
        <f>IFERROR(VLOOKUP($A568,Actual!$A:$D,4,FALSE),IFERROR(VLOOKUP($A568,FC!$A:$AD,29,FALSE),"Not Found"))</f>
        <v>0</v>
      </c>
      <c r="P568" s="5" t="str">
        <f>IFERROR(VLOOKUP($A568,Actual!$A:$D,3,FALSE),"0")</f>
        <v>0</v>
      </c>
    </row>
    <row r="569" spans="1:16" x14ac:dyDescent="0.2">
      <c r="A569" t="s">
        <v>583</v>
      </c>
      <c r="B569" t="s">
        <v>478</v>
      </c>
      <c r="C569" t="s">
        <v>17</v>
      </c>
      <c r="D569">
        <v>2500</v>
      </c>
      <c r="E569">
        <v>4.8490244253338703</v>
      </c>
      <c r="F569">
        <v>2.81</v>
      </c>
      <c r="G569">
        <v>2.0390244253338698</v>
      </c>
      <c r="H569">
        <v>1.93960977013354</v>
      </c>
      <c r="I569">
        <v>1.21225610633346</v>
      </c>
      <c r="J569">
        <v>17.122561063334601</v>
      </c>
      <c r="K569">
        <v>0.69196823628479198</v>
      </c>
      <c r="L569" t="s">
        <v>482</v>
      </c>
      <c r="M569">
        <v>2.8659074806163698</v>
      </c>
      <c r="N569">
        <v>41767789</v>
      </c>
      <c r="O569">
        <f>IFERROR(VLOOKUP($A569,Actual!$A:$D,4,FALSE),IFERROR(VLOOKUP($A569,FC!$A:$AD,29,FALSE),"Not Found"))</f>
        <v>0</v>
      </c>
      <c r="P569" s="5" t="str">
        <f>IFERROR(VLOOKUP($A569,Actual!$A:$D,3,FALSE),"0")</f>
        <v>0</v>
      </c>
    </row>
    <row r="570" spans="1:16" x14ac:dyDescent="0.2">
      <c r="A570" t="s">
        <v>586</v>
      </c>
      <c r="B570" t="s">
        <v>489</v>
      </c>
      <c r="C570" t="s">
        <v>5</v>
      </c>
      <c r="D570">
        <v>2500</v>
      </c>
      <c r="E570">
        <v>4.8362040937602204</v>
      </c>
      <c r="F570">
        <v>3.74</v>
      </c>
      <c r="G570">
        <v>1.09620409376022</v>
      </c>
      <c r="H570">
        <v>1.9344816375040901</v>
      </c>
      <c r="I570">
        <v>1.20905102344005</v>
      </c>
      <c r="J570">
        <v>17.090510234400501</v>
      </c>
      <c r="K570">
        <v>0.17733250479055199</v>
      </c>
      <c r="L570" t="s">
        <v>482</v>
      </c>
      <c r="M570">
        <v>4.1077640123599402</v>
      </c>
      <c r="N570">
        <v>41767285</v>
      </c>
      <c r="O570">
        <f>IFERROR(VLOOKUP($A570,Actual!$A:$D,4,FALSE),IFERROR(VLOOKUP($A570,FC!$A:$AD,29,FALSE),"Not Found"))</f>
        <v>0</v>
      </c>
      <c r="P570" s="5" t="str">
        <f>IFERROR(VLOOKUP($A570,Actual!$A:$D,3,FALSE),"0")</f>
        <v>0</v>
      </c>
    </row>
    <row r="571" spans="1:16" x14ac:dyDescent="0.2">
      <c r="A571" t="s">
        <v>587</v>
      </c>
      <c r="B571" t="s">
        <v>485</v>
      </c>
      <c r="C571" t="s">
        <v>17</v>
      </c>
      <c r="D571">
        <v>2500</v>
      </c>
      <c r="E571">
        <v>4.8290100345369504</v>
      </c>
      <c r="F571">
        <v>3.75</v>
      </c>
      <c r="G571">
        <v>1.07901003453695</v>
      </c>
      <c r="H571">
        <v>1.9316040138147801</v>
      </c>
      <c r="I571">
        <v>1.2072525086342301</v>
      </c>
      <c r="J571">
        <v>17.072525086342399</v>
      </c>
      <c r="K571">
        <v>0.69196823628479198</v>
      </c>
      <c r="L571" t="s">
        <v>482</v>
      </c>
      <c r="M571">
        <v>2.8540784223824698</v>
      </c>
      <c r="N571">
        <v>41767821</v>
      </c>
      <c r="O571">
        <f>IFERROR(VLOOKUP($A571,Actual!$A:$D,4,FALSE),IFERROR(VLOOKUP($A571,FC!$A:$AD,29,FALSE),"Not Found"))</f>
        <v>0</v>
      </c>
      <c r="P571" s="5" t="str">
        <f>IFERROR(VLOOKUP($A571,Actual!$A:$D,3,FALSE),"0")</f>
        <v>0</v>
      </c>
    </row>
    <row r="572" spans="1:16" x14ac:dyDescent="0.2">
      <c r="A572" t="s">
        <v>363</v>
      </c>
      <c r="B572" t="s">
        <v>489</v>
      </c>
      <c r="C572" t="s">
        <v>5</v>
      </c>
      <c r="D572">
        <v>2900</v>
      </c>
      <c r="E572">
        <v>4.7710823978687698</v>
      </c>
      <c r="F572">
        <v>3.6</v>
      </c>
      <c r="G572">
        <v>1.1710823978687701</v>
      </c>
      <c r="H572">
        <v>1.6452008268513001</v>
      </c>
      <c r="I572">
        <v>1.19277059946719</v>
      </c>
      <c r="J572">
        <v>16.9277059946719</v>
      </c>
      <c r="K572">
        <v>0.17733250479055199</v>
      </c>
      <c r="L572" t="s">
        <v>482</v>
      </c>
      <c r="M572">
        <v>4.0524510947037298</v>
      </c>
      <c r="N572">
        <v>41767111</v>
      </c>
      <c r="O572">
        <f>IFERROR(VLOOKUP($A572,Actual!$A:$D,4,FALSE),IFERROR(VLOOKUP($A572,FC!$A:$AD,29,FALSE),"Not Found"))</f>
        <v>0</v>
      </c>
      <c r="P572" s="5">
        <f>IFERROR(VLOOKUP($A572,Actual!$A:$D,3,FALSE),"0")</f>
        <v>3.3999999999999998E-3</v>
      </c>
    </row>
    <row r="573" spans="1:16" x14ac:dyDescent="0.2">
      <c r="A573" t="s">
        <v>592</v>
      </c>
      <c r="B573" t="s">
        <v>495</v>
      </c>
      <c r="C573" t="s">
        <v>17</v>
      </c>
      <c r="D573">
        <v>2500</v>
      </c>
      <c r="E573">
        <v>4.7147107401538397</v>
      </c>
      <c r="F573">
        <v>2.69</v>
      </c>
      <c r="G573">
        <v>2.0247107401538398</v>
      </c>
      <c r="H573">
        <v>1.8858842960615301</v>
      </c>
      <c r="I573">
        <v>1.1786776850384599</v>
      </c>
      <c r="J573">
        <v>16.786776850384602</v>
      </c>
      <c r="K573">
        <v>0.69196823628479198</v>
      </c>
      <c r="L573" t="s">
        <v>482</v>
      </c>
      <c r="M573">
        <v>2.7865243797403401</v>
      </c>
      <c r="N573">
        <v>41767849</v>
      </c>
      <c r="O573">
        <f>IFERROR(VLOOKUP($A573,Actual!$A:$D,4,FALSE),IFERROR(VLOOKUP($A573,FC!$A:$AD,29,FALSE),"Not Found"))</f>
        <v>0</v>
      </c>
      <c r="P573" s="5" t="str">
        <f>IFERROR(VLOOKUP($A573,Actual!$A:$D,3,FALSE),"0")</f>
        <v>0</v>
      </c>
    </row>
    <row r="574" spans="1:16" x14ac:dyDescent="0.2">
      <c r="A574" t="s">
        <v>599</v>
      </c>
      <c r="B574" t="s">
        <v>504</v>
      </c>
      <c r="C574" t="s">
        <v>10</v>
      </c>
      <c r="D574">
        <v>2500</v>
      </c>
      <c r="E574">
        <v>4.6310126232940103</v>
      </c>
      <c r="F574">
        <v>4.24</v>
      </c>
      <c r="G574">
        <v>0.39101262329400999</v>
      </c>
      <c r="H574">
        <v>1.8524050493176001</v>
      </c>
      <c r="I574">
        <v>1.1577531558234999</v>
      </c>
      <c r="J574">
        <v>16.577531558234998</v>
      </c>
      <c r="K574">
        <v>0.17733250479055199</v>
      </c>
      <c r="L574" t="s">
        <v>482</v>
      </c>
      <c r="M574">
        <v>3.9334789487680601</v>
      </c>
      <c r="N574">
        <v>41767219</v>
      </c>
      <c r="O574">
        <f>IFERROR(VLOOKUP($A574,Actual!$A:$D,4,FALSE),IFERROR(VLOOKUP($A574,FC!$A:$AD,29,FALSE),"Not Found"))</f>
        <v>0</v>
      </c>
      <c r="P574" s="5" t="str">
        <f>IFERROR(VLOOKUP($A574,Actual!$A:$D,3,FALSE),"0")</f>
        <v>0</v>
      </c>
    </row>
    <row r="575" spans="1:16" x14ac:dyDescent="0.2">
      <c r="A575" t="s">
        <v>600</v>
      </c>
      <c r="B575" t="s">
        <v>500</v>
      </c>
      <c r="C575" t="s">
        <v>10</v>
      </c>
      <c r="D575">
        <v>2500</v>
      </c>
      <c r="E575">
        <v>4.6250913791056503</v>
      </c>
      <c r="F575">
        <v>3.71</v>
      </c>
      <c r="G575">
        <v>0.91509137910565297</v>
      </c>
      <c r="H575">
        <v>1.8500365516422601</v>
      </c>
      <c r="I575">
        <v>1.1562728447764099</v>
      </c>
      <c r="J575">
        <v>16.562728447764101</v>
      </c>
      <c r="K575">
        <v>0.17733250479055199</v>
      </c>
      <c r="L575" t="s">
        <v>482</v>
      </c>
      <c r="M575">
        <v>3.92844957587275</v>
      </c>
      <c r="N575">
        <v>41767259</v>
      </c>
      <c r="O575">
        <f>IFERROR(VLOOKUP($A575,Actual!$A:$D,4,FALSE),IFERROR(VLOOKUP($A575,FC!$A:$AD,29,FALSE),"Not Found"))</f>
        <v>0</v>
      </c>
      <c r="P575" s="5" t="str">
        <f>IFERROR(VLOOKUP($A575,Actual!$A:$D,3,FALSE),"0")</f>
        <v>0</v>
      </c>
    </row>
    <row r="576" spans="1:16" x14ac:dyDescent="0.2">
      <c r="A576" t="s">
        <v>603</v>
      </c>
      <c r="B576" t="s">
        <v>496</v>
      </c>
      <c r="C576" t="s">
        <v>10</v>
      </c>
      <c r="D576">
        <v>2500</v>
      </c>
      <c r="E576">
        <v>4.5943212557479498</v>
      </c>
      <c r="F576">
        <v>3.93</v>
      </c>
      <c r="G576">
        <v>0.66432125574794998</v>
      </c>
      <c r="H576">
        <v>1.8377285022991801</v>
      </c>
      <c r="I576">
        <v>1.1485803139369799</v>
      </c>
      <c r="J576">
        <v>16.4858031393698</v>
      </c>
      <c r="K576">
        <v>0.17733250479055199</v>
      </c>
      <c r="L576" t="s">
        <v>482</v>
      </c>
      <c r="M576">
        <v>3.9023141186145001</v>
      </c>
      <c r="N576">
        <v>41767337</v>
      </c>
      <c r="O576">
        <f>IFERROR(VLOOKUP($A576,Actual!$A:$D,4,FALSE),IFERROR(VLOOKUP($A576,FC!$A:$AD,29,FALSE),"Not Found"))</f>
        <v>0</v>
      </c>
      <c r="P576" s="5" t="str">
        <f>IFERROR(VLOOKUP($A576,Actual!$A:$D,3,FALSE),"0")</f>
        <v>0</v>
      </c>
    </row>
    <row r="577" spans="1:16" x14ac:dyDescent="0.2">
      <c r="A577" t="s">
        <v>604</v>
      </c>
      <c r="B577" t="s">
        <v>510</v>
      </c>
      <c r="C577" t="s">
        <v>17</v>
      </c>
      <c r="D577">
        <v>2500</v>
      </c>
      <c r="E577">
        <v>4.5757949266722502</v>
      </c>
      <c r="F577">
        <v>2.96</v>
      </c>
      <c r="G577">
        <v>1.61579492667225</v>
      </c>
      <c r="H577">
        <v>1.8303179706688999</v>
      </c>
      <c r="I577">
        <v>1.1439487316680601</v>
      </c>
      <c r="J577">
        <v>16.439487316680601</v>
      </c>
      <c r="K577">
        <v>0.69196823628479198</v>
      </c>
      <c r="L577" t="s">
        <v>482</v>
      </c>
      <c r="M577">
        <v>2.7044212938179801</v>
      </c>
      <c r="N577">
        <v>41767837</v>
      </c>
      <c r="O577">
        <f>IFERROR(VLOOKUP($A577,Actual!$A:$D,4,FALSE),IFERROR(VLOOKUP($A577,FC!$A:$AD,29,FALSE),"Not Found"))</f>
        <v>0</v>
      </c>
      <c r="P577" s="5" t="str">
        <f>IFERROR(VLOOKUP($A577,Actual!$A:$D,3,FALSE),"0")</f>
        <v>0</v>
      </c>
    </row>
    <row r="578" spans="1:16" x14ac:dyDescent="0.2">
      <c r="A578" t="s">
        <v>605</v>
      </c>
      <c r="B578" t="s">
        <v>504</v>
      </c>
      <c r="C578" t="s">
        <v>17</v>
      </c>
      <c r="D578">
        <v>2500</v>
      </c>
      <c r="E578">
        <v>4.5749744299847297</v>
      </c>
      <c r="F578">
        <v>3.13</v>
      </c>
      <c r="G578">
        <v>1.44497442998473</v>
      </c>
      <c r="H578">
        <v>1.82998977199389</v>
      </c>
      <c r="I578">
        <v>1.14374360749618</v>
      </c>
      <c r="J578">
        <v>16.437436074961798</v>
      </c>
      <c r="K578">
        <v>0.69196823628479198</v>
      </c>
      <c r="L578" t="s">
        <v>482</v>
      </c>
      <c r="M578">
        <v>2.70393635759405</v>
      </c>
      <c r="N578">
        <v>41767809</v>
      </c>
      <c r="O578">
        <f>IFERROR(VLOOKUP($A578,Actual!$A:$D,4,FALSE),IFERROR(VLOOKUP($A578,FC!$A:$AD,29,FALSE),"Not Found"))</f>
        <v>0</v>
      </c>
      <c r="P578" s="5" t="str">
        <f>IFERROR(VLOOKUP($A578,Actual!$A:$D,3,FALSE),"0")</f>
        <v>0</v>
      </c>
    </row>
    <row r="579" spans="1:16" x14ac:dyDescent="0.2">
      <c r="A579" t="s">
        <v>606</v>
      </c>
      <c r="B579" t="s">
        <v>501</v>
      </c>
      <c r="C579" t="s">
        <v>5</v>
      </c>
      <c r="D579">
        <v>2500</v>
      </c>
      <c r="E579">
        <v>4.56621665382744</v>
      </c>
      <c r="F579">
        <v>3.85</v>
      </c>
      <c r="G579">
        <v>0.71621665382744204</v>
      </c>
      <c r="H579">
        <v>1.8264866615309701</v>
      </c>
      <c r="I579">
        <v>1.14155416345686</v>
      </c>
      <c r="J579">
        <v>16.415541634568601</v>
      </c>
      <c r="K579">
        <v>0.17733250479055199</v>
      </c>
      <c r="L579" t="s">
        <v>482</v>
      </c>
      <c r="M579">
        <v>3.87844269588035</v>
      </c>
      <c r="N579">
        <v>41767445</v>
      </c>
      <c r="O579">
        <f>IFERROR(VLOOKUP($A579,Actual!$A:$D,4,FALSE),IFERROR(VLOOKUP($A579,FC!$A:$AD,29,FALSE),"Not Found"))</f>
        <v>0</v>
      </c>
      <c r="P579" s="5" t="str">
        <f>IFERROR(VLOOKUP($A579,Actual!$A:$D,3,FALSE),"0")</f>
        <v>0</v>
      </c>
    </row>
    <row r="580" spans="1:16" x14ac:dyDescent="0.2">
      <c r="A580" t="s">
        <v>607</v>
      </c>
      <c r="B580" t="s">
        <v>505</v>
      </c>
      <c r="C580" t="s">
        <v>17</v>
      </c>
      <c r="D580">
        <v>2500</v>
      </c>
      <c r="E580">
        <v>4.5646719065405099</v>
      </c>
      <c r="F580">
        <v>4.2</v>
      </c>
      <c r="G580">
        <v>0.36467190654051601</v>
      </c>
      <c r="H580">
        <v>1.8258687626162</v>
      </c>
      <c r="I580">
        <v>1.1411679766351199</v>
      </c>
      <c r="J580">
        <v>16.411679766351199</v>
      </c>
      <c r="K580">
        <v>0.69196823628479198</v>
      </c>
      <c r="L580" t="s">
        <v>482</v>
      </c>
      <c r="M580">
        <v>2.6978472814380798</v>
      </c>
      <c r="N580">
        <v>41767935</v>
      </c>
      <c r="O580">
        <f>IFERROR(VLOOKUP($A580,Actual!$A:$D,4,FALSE),IFERROR(VLOOKUP($A580,FC!$A:$AD,29,FALSE),"Not Found"))</f>
        <v>0</v>
      </c>
      <c r="P580" s="5" t="str">
        <f>IFERROR(VLOOKUP($A580,Actual!$A:$D,3,FALSE),"0")</f>
        <v>0</v>
      </c>
    </row>
    <row r="581" spans="1:16" x14ac:dyDescent="0.2">
      <c r="A581" t="s">
        <v>608</v>
      </c>
      <c r="B581" t="s">
        <v>494</v>
      </c>
      <c r="C581" t="s">
        <v>17</v>
      </c>
      <c r="D581">
        <v>2500</v>
      </c>
      <c r="E581">
        <v>4.5540485026943101</v>
      </c>
      <c r="F581">
        <v>2.81</v>
      </c>
      <c r="G581">
        <v>1.74404850269431</v>
      </c>
      <c r="H581">
        <v>1.82161940107772</v>
      </c>
      <c r="I581">
        <v>1.13851212567357</v>
      </c>
      <c r="J581">
        <v>16.385121256735701</v>
      </c>
      <c r="K581">
        <v>0.69196823628479198</v>
      </c>
      <c r="L581" t="s">
        <v>482</v>
      </c>
      <c r="M581">
        <v>2.6915685560942002</v>
      </c>
      <c r="N581">
        <v>41767903</v>
      </c>
      <c r="O581">
        <f>IFERROR(VLOOKUP($A581,Actual!$A:$D,4,FALSE),IFERROR(VLOOKUP($A581,FC!$A:$AD,29,FALSE),"Not Found"))</f>
        <v>0</v>
      </c>
      <c r="P581" s="5" t="str">
        <f>IFERROR(VLOOKUP($A581,Actual!$A:$D,3,FALSE),"0")</f>
        <v>0</v>
      </c>
    </row>
    <row r="582" spans="1:16" x14ac:dyDescent="0.2">
      <c r="A582" t="s">
        <v>609</v>
      </c>
      <c r="B582" t="s">
        <v>502</v>
      </c>
      <c r="C582" t="s">
        <v>17</v>
      </c>
      <c r="D582">
        <v>2500</v>
      </c>
      <c r="E582">
        <v>4.4690079437676298</v>
      </c>
      <c r="F582">
        <v>2.94</v>
      </c>
      <c r="G582">
        <v>1.5290079437676201</v>
      </c>
      <c r="H582">
        <v>1.78760317750705</v>
      </c>
      <c r="I582">
        <v>1.1172519859418999</v>
      </c>
      <c r="J582">
        <v>16.172519859419001</v>
      </c>
      <c r="K582">
        <v>0.69196823628479198</v>
      </c>
      <c r="L582" t="s">
        <v>482</v>
      </c>
      <c r="M582">
        <v>2.6413072349281399</v>
      </c>
      <c r="N582">
        <v>41767865</v>
      </c>
      <c r="O582">
        <f>IFERROR(VLOOKUP($A582,Actual!$A:$D,4,FALSE),IFERROR(VLOOKUP($A582,FC!$A:$AD,29,FALSE),"Not Found"))</f>
        <v>0</v>
      </c>
      <c r="P582" s="5" t="str">
        <f>IFERROR(VLOOKUP($A582,Actual!$A:$D,3,FALSE),"0")</f>
        <v>0</v>
      </c>
    </row>
    <row r="583" spans="1:16" x14ac:dyDescent="0.2">
      <c r="A583" t="s">
        <v>613</v>
      </c>
      <c r="B583" t="s">
        <v>481</v>
      </c>
      <c r="C583" t="s">
        <v>10</v>
      </c>
      <c r="D583">
        <v>2500</v>
      </c>
      <c r="E583">
        <v>4.4387359070847801</v>
      </c>
      <c r="F583">
        <v>3.47</v>
      </c>
      <c r="G583">
        <v>0.96873590708478297</v>
      </c>
      <c r="H583">
        <v>1.7754943628339099</v>
      </c>
      <c r="I583">
        <v>1.1096839767711899</v>
      </c>
      <c r="J583">
        <v>16.096839767711899</v>
      </c>
      <c r="K583">
        <v>0.17733250479055199</v>
      </c>
      <c r="L583" t="s">
        <v>482</v>
      </c>
      <c r="M583">
        <v>3.77016338971668</v>
      </c>
      <c r="N583">
        <v>41767367</v>
      </c>
      <c r="O583">
        <f>IFERROR(VLOOKUP($A583,Actual!$A:$D,4,FALSE),IFERROR(VLOOKUP($A583,FC!$A:$AD,29,FALSE),"Not Found"))</f>
        <v>0</v>
      </c>
      <c r="P583" s="5" t="str">
        <f>IFERROR(VLOOKUP($A583,Actual!$A:$D,3,FALSE),"0")</f>
        <v>0</v>
      </c>
    </row>
    <row r="584" spans="1:16" x14ac:dyDescent="0.2">
      <c r="A584" t="s">
        <v>614</v>
      </c>
      <c r="B584" t="s">
        <v>507</v>
      </c>
      <c r="C584" t="s">
        <v>17</v>
      </c>
      <c r="D584">
        <v>2500</v>
      </c>
      <c r="E584">
        <v>4.4378453723304103</v>
      </c>
      <c r="F584">
        <v>5.74</v>
      </c>
      <c r="G584">
        <v>-1.3021546276695799</v>
      </c>
      <c r="H584">
        <v>1.77513814893216</v>
      </c>
      <c r="I584">
        <v>1.1094613430825999</v>
      </c>
      <c r="J584">
        <v>16.094613430826001</v>
      </c>
      <c r="K584">
        <v>0.69196823628479198</v>
      </c>
      <c r="L584" t="s">
        <v>482</v>
      </c>
      <c r="M584">
        <v>2.62288929375825</v>
      </c>
      <c r="N584">
        <v>41767957</v>
      </c>
      <c r="O584">
        <f>IFERROR(VLOOKUP($A584,Actual!$A:$D,4,FALSE),IFERROR(VLOOKUP($A584,FC!$A:$AD,29,FALSE),"Not Found"))</f>
        <v>0</v>
      </c>
      <c r="P584" s="5" t="str">
        <f>IFERROR(VLOOKUP($A584,Actual!$A:$D,3,FALSE),"0")</f>
        <v>0</v>
      </c>
    </row>
    <row r="585" spans="1:16" x14ac:dyDescent="0.2">
      <c r="A585" t="s">
        <v>622</v>
      </c>
      <c r="B585" t="s">
        <v>499</v>
      </c>
      <c r="C585" t="s">
        <v>10</v>
      </c>
      <c r="D585">
        <v>2500</v>
      </c>
      <c r="E585">
        <v>4.3370535085698698</v>
      </c>
      <c r="F585">
        <v>3.27</v>
      </c>
      <c r="G585">
        <v>1.06705350856986</v>
      </c>
      <c r="H585">
        <v>1.7348214034279399</v>
      </c>
      <c r="I585">
        <v>1.0842633771424599</v>
      </c>
      <c r="J585">
        <v>15.8426337714246</v>
      </c>
      <c r="K585">
        <v>0.17733250479055199</v>
      </c>
      <c r="L585" t="s">
        <v>482</v>
      </c>
      <c r="M585">
        <v>3.6837966257811101</v>
      </c>
      <c r="N585">
        <v>41767425</v>
      </c>
      <c r="O585">
        <f>IFERROR(VLOOKUP($A585,Actual!$A:$D,4,FALSE),IFERROR(VLOOKUP($A585,FC!$A:$AD,29,FALSE),"Not Found"))</f>
        <v>0</v>
      </c>
      <c r="P585" s="5" t="str">
        <f>IFERROR(VLOOKUP($A585,Actual!$A:$D,3,FALSE),"0")</f>
        <v>0</v>
      </c>
    </row>
    <row r="586" spans="1:16" x14ac:dyDescent="0.2">
      <c r="A586" t="s">
        <v>623</v>
      </c>
      <c r="B586" t="s">
        <v>484</v>
      </c>
      <c r="C586" t="s">
        <v>17</v>
      </c>
      <c r="D586">
        <v>2500</v>
      </c>
      <c r="E586">
        <v>4.3360832342459297</v>
      </c>
      <c r="F586">
        <v>3.78</v>
      </c>
      <c r="G586">
        <v>0.55608323424592898</v>
      </c>
      <c r="H586">
        <v>1.73443329369837</v>
      </c>
      <c r="I586">
        <v>1.08402080856148</v>
      </c>
      <c r="J586">
        <v>15.840208085614799</v>
      </c>
      <c r="K586">
        <v>0.69196823628479198</v>
      </c>
      <c r="L586" t="s">
        <v>482</v>
      </c>
      <c r="M586">
        <v>2.5627450570626902</v>
      </c>
      <c r="N586">
        <v>41768047</v>
      </c>
      <c r="O586">
        <f>IFERROR(VLOOKUP($A586,Actual!$A:$D,4,FALSE),IFERROR(VLOOKUP($A586,FC!$A:$AD,29,FALSE),"Not Found"))</f>
        <v>0</v>
      </c>
      <c r="P586" s="5" t="str">
        <f>IFERROR(VLOOKUP($A586,Actual!$A:$D,3,FALSE),"0")</f>
        <v>0</v>
      </c>
    </row>
    <row r="587" spans="1:16" x14ac:dyDescent="0.2">
      <c r="A587" t="s">
        <v>625</v>
      </c>
      <c r="B587" t="s">
        <v>492</v>
      </c>
      <c r="C587" t="s">
        <v>5</v>
      </c>
      <c r="D587">
        <v>2500</v>
      </c>
      <c r="E587">
        <v>4.3250366086030203</v>
      </c>
      <c r="F587">
        <v>3.69</v>
      </c>
      <c r="G587">
        <v>0.63503660860302302</v>
      </c>
      <c r="H587">
        <v>1.7300146434412</v>
      </c>
      <c r="I587">
        <v>1.08125915215075</v>
      </c>
      <c r="J587">
        <v>15.8125915215075</v>
      </c>
      <c r="K587">
        <v>0.68225251145056598</v>
      </c>
      <c r="L587" t="s">
        <v>482</v>
      </c>
      <c r="M587">
        <v>2.57097943332754</v>
      </c>
      <c r="N587">
        <v>41766775</v>
      </c>
      <c r="O587">
        <f>IFERROR(VLOOKUP($A587,Actual!$A:$D,4,FALSE),IFERROR(VLOOKUP($A587,FC!$A:$AD,29,FALSE),"Not Found"))</f>
        <v>0</v>
      </c>
      <c r="P587" s="5" t="str">
        <f>IFERROR(VLOOKUP($A587,Actual!$A:$D,3,FALSE),"0")</f>
        <v>0</v>
      </c>
    </row>
    <row r="588" spans="1:16" x14ac:dyDescent="0.2">
      <c r="A588" t="s">
        <v>626</v>
      </c>
      <c r="B588" t="s">
        <v>480</v>
      </c>
      <c r="C588" t="s">
        <v>10</v>
      </c>
      <c r="D588">
        <v>2500</v>
      </c>
      <c r="E588">
        <v>4.2936888826864203</v>
      </c>
      <c r="F588">
        <v>3.63</v>
      </c>
      <c r="G588">
        <v>0.66368888268642101</v>
      </c>
      <c r="H588">
        <v>1.71747555307456</v>
      </c>
      <c r="I588">
        <v>1.0734222206716</v>
      </c>
      <c r="J588">
        <v>15.734222206716</v>
      </c>
      <c r="K588">
        <v>0.17733250479055199</v>
      </c>
      <c r="L588" t="s">
        <v>482</v>
      </c>
      <c r="M588">
        <v>3.6469636786680399</v>
      </c>
      <c r="N588">
        <v>41767387</v>
      </c>
      <c r="O588">
        <f>IFERROR(VLOOKUP($A588,Actual!$A:$D,4,FALSE),IFERROR(VLOOKUP($A588,FC!$A:$AD,29,FALSE),"Not Found"))</f>
        <v>0</v>
      </c>
      <c r="P588" s="5" t="str">
        <f>IFERROR(VLOOKUP($A588,Actual!$A:$D,3,FALSE),"0")</f>
        <v>0</v>
      </c>
    </row>
    <row r="589" spans="1:16" x14ac:dyDescent="0.2">
      <c r="A589" t="s">
        <v>627</v>
      </c>
      <c r="B589" t="s">
        <v>501</v>
      </c>
      <c r="C589" t="s">
        <v>5</v>
      </c>
      <c r="D589">
        <v>2500</v>
      </c>
      <c r="E589">
        <v>4.2609738048856602</v>
      </c>
      <c r="F589">
        <v>3.69</v>
      </c>
      <c r="G589">
        <v>0.57097380488565996</v>
      </c>
      <c r="H589">
        <v>1.70438952195426</v>
      </c>
      <c r="I589">
        <v>1.06524345122141</v>
      </c>
      <c r="J589">
        <v>15.6524345122141</v>
      </c>
      <c r="K589">
        <v>0.17733250479055199</v>
      </c>
      <c r="L589" t="s">
        <v>482</v>
      </c>
      <c r="M589">
        <v>3.6191762204371298</v>
      </c>
      <c r="N589">
        <v>41767453</v>
      </c>
      <c r="O589">
        <f>IFERROR(VLOOKUP($A589,Actual!$A:$D,4,FALSE),IFERROR(VLOOKUP($A589,FC!$A:$AD,29,FALSE),"Not Found"))</f>
        <v>0</v>
      </c>
      <c r="P589" s="5" t="str">
        <f>IFERROR(VLOOKUP($A589,Actual!$A:$D,3,FALSE),"0")</f>
        <v>0</v>
      </c>
    </row>
    <row r="590" spans="1:16" x14ac:dyDescent="0.2">
      <c r="A590" t="s">
        <v>630</v>
      </c>
      <c r="B590" t="s">
        <v>484</v>
      </c>
      <c r="C590" t="s">
        <v>17</v>
      </c>
      <c r="D590">
        <v>2500</v>
      </c>
      <c r="E590">
        <v>4.2286199725748999</v>
      </c>
      <c r="F590">
        <v>3.98</v>
      </c>
      <c r="G590">
        <v>0.24861997257490301</v>
      </c>
      <c r="H590">
        <v>1.6914479890299601</v>
      </c>
      <c r="I590">
        <v>1.0571549931437201</v>
      </c>
      <c r="J590">
        <v>15.5715499314372</v>
      </c>
      <c r="K590">
        <v>0.69196823628479198</v>
      </c>
      <c r="L590" t="s">
        <v>482</v>
      </c>
      <c r="M590">
        <v>2.4992312987270102</v>
      </c>
      <c r="N590">
        <v>41768045</v>
      </c>
      <c r="O590">
        <f>IFERROR(VLOOKUP($A590,Actual!$A:$D,4,FALSE),IFERROR(VLOOKUP($A590,FC!$A:$AD,29,FALSE),"Not Found"))</f>
        <v>0</v>
      </c>
      <c r="P590" s="5" t="str">
        <f>IFERROR(VLOOKUP($A590,Actual!$A:$D,3,FALSE),"0")</f>
        <v>0</v>
      </c>
    </row>
    <row r="591" spans="1:16" x14ac:dyDescent="0.2">
      <c r="A591" t="s">
        <v>631</v>
      </c>
      <c r="B591" t="s">
        <v>495</v>
      </c>
      <c r="C591" t="s">
        <v>17</v>
      </c>
      <c r="D591">
        <v>2500</v>
      </c>
      <c r="E591">
        <v>4.211424760351</v>
      </c>
      <c r="F591">
        <v>3.03</v>
      </c>
      <c r="G591">
        <v>1.181424760351</v>
      </c>
      <c r="H591">
        <v>1.6845699041404001</v>
      </c>
      <c r="I591">
        <v>1.05285619008775</v>
      </c>
      <c r="J591">
        <v>15.5285619008775</v>
      </c>
      <c r="K591">
        <v>0.69196823628479198</v>
      </c>
      <c r="L591" t="s">
        <v>482</v>
      </c>
      <c r="M591">
        <v>2.4890684529624498</v>
      </c>
      <c r="N591">
        <v>41767853</v>
      </c>
      <c r="O591">
        <f>IFERROR(VLOOKUP($A591,Actual!$A:$D,4,FALSE),IFERROR(VLOOKUP($A591,FC!$A:$AD,29,FALSE),"Not Found"))</f>
        <v>0</v>
      </c>
      <c r="P591" s="5" t="str">
        <f>IFERROR(VLOOKUP($A591,Actual!$A:$D,3,FALSE),"0")</f>
        <v>0</v>
      </c>
    </row>
    <row r="592" spans="1:16" x14ac:dyDescent="0.2">
      <c r="A592" t="s">
        <v>634</v>
      </c>
      <c r="B592" t="s">
        <v>490</v>
      </c>
      <c r="C592" t="s">
        <v>17</v>
      </c>
      <c r="D592">
        <v>2500</v>
      </c>
      <c r="E592">
        <v>4.1830956474650103</v>
      </c>
      <c r="F592">
        <v>2.79</v>
      </c>
      <c r="G592">
        <v>1.39309564746501</v>
      </c>
      <c r="H592">
        <v>1.673238258986</v>
      </c>
      <c r="I592">
        <v>1.0457739118662499</v>
      </c>
      <c r="J592">
        <v>15.4577391186625</v>
      </c>
      <c r="K592">
        <v>0.69196823628479198</v>
      </c>
      <c r="L592" t="s">
        <v>482</v>
      </c>
      <c r="M592">
        <v>2.4723251641237698</v>
      </c>
      <c r="N592">
        <v>41767969</v>
      </c>
      <c r="O592">
        <f>IFERROR(VLOOKUP($A592,Actual!$A:$D,4,FALSE),IFERROR(VLOOKUP($A592,FC!$A:$AD,29,FALSE),"Not Found"))</f>
        <v>0</v>
      </c>
      <c r="P592" s="5" t="str">
        <f>IFERROR(VLOOKUP($A592,Actual!$A:$D,3,FALSE),"0")</f>
        <v>0</v>
      </c>
    </row>
    <row r="593" spans="1:16" x14ac:dyDescent="0.2">
      <c r="A593" t="s">
        <v>635</v>
      </c>
      <c r="B593" t="s">
        <v>504</v>
      </c>
      <c r="C593" t="s">
        <v>10</v>
      </c>
      <c r="D593">
        <v>2500</v>
      </c>
      <c r="E593">
        <v>4.1756385128892104</v>
      </c>
      <c r="F593">
        <v>4.0199999999999996</v>
      </c>
      <c r="G593">
        <v>0.15563851288921099</v>
      </c>
      <c r="H593">
        <v>1.6702554051556799</v>
      </c>
      <c r="I593">
        <v>1.0439096282222999</v>
      </c>
      <c r="J593">
        <v>15.439096282223</v>
      </c>
      <c r="K593">
        <v>0.17733250479055199</v>
      </c>
      <c r="L593" t="s">
        <v>482</v>
      </c>
      <c r="M593">
        <v>3.5466943245842399</v>
      </c>
      <c r="N593">
        <v>41767207</v>
      </c>
      <c r="O593">
        <f>IFERROR(VLOOKUP($A593,Actual!$A:$D,4,FALSE),IFERROR(VLOOKUP($A593,FC!$A:$AD,29,FALSE),"Not Found"))</f>
        <v>0</v>
      </c>
      <c r="P593" s="5" t="str">
        <f>IFERROR(VLOOKUP($A593,Actual!$A:$D,3,FALSE),"0")</f>
        <v>0</v>
      </c>
    </row>
    <row r="594" spans="1:16" x14ac:dyDescent="0.2">
      <c r="A594" t="s">
        <v>636</v>
      </c>
      <c r="B594" t="s">
        <v>480</v>
      </c>
      <c r="C594" t="s">
        <v>17</v>
      </c>
      <c r="D594">
        <v>2500</v>
      </c>
      <c r="E594">
        <v>4.1507659012164799</v>
      </c>
      <c r="F594">
        <v>4.1399999999999997</v>
      </c>
      <c r="G594">
        <v>1.0765901216482901E-2</v>
      </c>
      <c r="H594">
        <v>1.66030636048659</v>
      </c>
      <c r="I594">
        <v>1.03769147530412</v>
      </c>
      <c r="J594">
        <v>15.3769147530412</v>
      </c>
      <c r="K594">
        <v>0.69196823628479198</v>
      </c>
      <c r="L594" t="s">
        <v>482</v>
      </c>
      <c r="M594">
        <v>2.4532173903753001</v>
      </c>
      <c r="N594">
        <v>41767975</v>
      </c>
      <c r="O594">
        <f>IFERROR(VLOOKUP($A594,Actual!$A:$D,4,FALSE),IFERROR(VLOOKUP($A594,FC!$A:$AD,29,FALSE),"Not Found"))</f>
        <v>0</v>
      </c>
      <c r="P594" s="5" t="str">
        <f>IFERROR(VLOOKUP($A594,Actual!$A:$D,3,FALSE),"0")</f>
        <v>0</v>
      </c>
    </row>
    <row r="595" spans="1:16" x14ac:dyDescent="0.2">
      <c r="A595" t="s">
        <v>638</v>
      </c>
      <c r="B595" t="s">
        <v>506</v>
      </c>
      <c r="C595" t="s">
        <v>10</v>
      </c>
      <c r="D595">
        <v>2500</v>
      </c>
      <c r="E595">
        <v>4.1320621112018996</v>
      </c>
      <c r="F595">
        <v>4.24</v>
      </c>
      <c r="G595">
        <v>-0.107937888798097</v>
      </c>
      <c r="H595">
        <v>1.6528248444807601</v>
      </c>
      <c r="I595">
        <v>1.03301552780047</v>
      </c>
      <c r="J595">
        <v>15.3301552780047</v>
      </c>
      <c r="K595">
        <v>0.17733250479055199</v>
      </c>
      <c r="L595" t="s">
        <v>482</v>
      </c>
      <c r="M595">
        <v>3.50968149982149</v>
      </c>
      <c r="N595">
        <v>41767437</v>
      </c>
      <c r="O595">
        <f>IFERROR(VLOOKUP($A595,Actual!$A:$D,4,FALSE),IFERROR(VLOOKUP($A595,FC!$A:$AD,29,FALSE),"Not Found"))</f>
        <v>0</v>
      </c>
      <c r="P595" s="5" t="str">
        <f>IFERROR(VLOOKUP($A595,Actual!$A:$D,3,FALSE),"0")</f>
        <v>0</v>
      </c>
    </row>
    <row r="596" spans="1:16" x14ac:dyDescent="0.2">
      <c r="A596" t="s">
        <v>640</v>
      </c>
      <c r="B596" t="s">
        <v>508</v>
      </c>
      <c r="C596" t="s">
        <v>10</v>
      </c>
      <c r="D596">
        <v>2500</v>
      </c>
      <c r="E596">
        <v>4.1056141970872497</v>
      </c>
      <c r="F596">
        <v>3.56</v>
      </c>
      <c r="G596">
        <v>0.54561419708725201</v>
      </c>
      <c r="H596">
        <v>1.6422456788349</v>
      </c>
      <c r="I596">
        <v>1.02640354927181</v>
      </c>
      <c r="J596">
        <v>15.264035492718101</v>
      </c>
      <c r="K596">
        <v>0.17733250479055199</v>
      </c>
      <c r="L596" t="s">
        <v>482</v>
      </c>
      <c r="M596">
        <v>3.4872172308006002</v>
      </c>
      <c r="N596">
        <v>41767345</v>
      </c>
      <c r="O596">
        <f>IFERROR(VLOOKUP($A596,Actual!$A:$D,4,FALSE),IFERROR(VLOOKUP($A596,FC!$A:$AD,29,FALSE),"Not Found"))</f>
        <v>0</v>
      </c>
      <c r="P596" s="5" t="str">
        <f>IFERROR(VLOOKUP($A596,Actual!$A:$D,3,FALSE),"0")</f>
        <v>0</v>
      </c>
    </row>
    <row r="597" spans="1:16" x14ac:dyDescent="0.2">
      <c r="A597" t="s">
        <v>460</v>
      </c>
      <c r="B597" t="s">
        <v>480</v>
      </c>
      <c r="C597" t="s">
        <v>10</v>
      </c>
      <c r="D597">
        <v>2500</v>
      </c>
      <c r="E597">
        <v>4.0968852118288197</v>
      </c>
      <c r="F597">
        <v>3.1</v>
      </c>
      <c r="G597">
        <v>0.99688521182882195</v>
      </c>
      <c r="H597">
        <v>1.6387540847315201</v>
      </c>
      <c r="I597">
        <v>1.0242213029572</v>
      </c>
      <c r="J597">
        <v>15.242213029572</v>
      </c>
      <c r="K597">
        <v>0.17733250479055199</v>
      </c>
      <c r="L597" t="s">
        <v>482</v>
      </c>
      <c r="M597">
        <v>3.4798030251935099</v>
      </c>
      <c r="N597">
        <v>41767391</v>
      </c>
      <c r="O597">
        <f>IFERROR(VLOOKUP($A597,Actual!$A:$D,4,FALSE),IFERROR(VLOOKUP($A597,FC!$A:$AD,29,FALSE),"Not Found"))</f>
        <v>0</v>
      </c>
      <c r="P597" s="5">
        <f>IFERROR(VLOOKUP($A597,Actual!$A:$D,3,FALSE),"0")</f>
        <v>1.6999999999999999E-3</v>
      </c>
    </row>
    <row r="598" spans="1:16" x14ac:dyDescent="0.2">
      <c r="A598" t="s">
        <v>642</v>
      </c>
      <c r="B598" t="s">
        <v>497</v>
      </c>
      <c r="C598" t="s">
        <v>17</v>
      </c>
      <c r="D598">
        <v>2500</v>
      </c>
      <c r="E598">
        <v>4.0189237738838797</v>
      </c>
      <c r="F598">
        <v>1.98</v>
      </c>
      <c r="G598">
        <v>2.0389237738838801</v>
      </c>
      <c r="H598">
        <v>1.60756950955355</v>
      </c>
      <c r="I598">
        <v>1.0047309434709699</v>
      </c>
      <c r="J598">
        <v>15.0473094347097</v>
      </c>
      <c r="K598">
        <v>0.415180941770875</v>
      </c>
      <c r="L598" t="s">
        <v>482</v>
      </c>
      <c r="M598">
        <v>2.8398656703607301</v>
      </c>
      <c r="N598">
        <v>41767827</v>
      </c>
      <c r="O598">
        <f>IFERROR(VLOOKUP($A598,Actual!$A:$D,4,FALSE),IFERROR(VLOOKUP($A598,FC!$A:$AD,29,FALSE),"Not Found"))</f>
        <v>0</v>
      </c>
      <c r="P598" s="5" t="str">
        <f>IFERROR(VLOOKUP($A598,Actual!$A:$D,3,FALSE),"0")</f>
        <v>0</v>
      </c>
    </row>
    <row r="599" spans="1:16" x14ac:dyDescent="0.2">
      <c r="A599" t="s">
        <v>649</v>
      </c>
      <c r="B599" t="s">
        <v>491</v>
      </c>
      <c r="C599" t="s">
        <v>5</v>
      </c>
      <c r="D599">
        <v>2500</v>
      </c>
      <c r="E599">
        <v>3.9274611067213301</v>
      </c>
      <c r="F599">
        <v>2.8</v>
      </c>
      <c r="G599">
        <v>1.12746110672133</v>
      </c>
      <c r="H599">
        <v>1.57098444268853</v>
      </c>
      <c r="I599">
        <v>0.98186527668033297</v>
      </c>
      <c r="J599">
        <v>14.8186527668033</v>
      </c>
      <c r="K599">
        <v>0.68225251145056598</v>
      </c>
      <c r="L599" t="s">
        <v>482</v>
      </c>
      <c r="M599">
        <v>2.3346442225458599</v>
      </c>
      <c r="N599">
        <v>41766651</v>
      </c>
      <c r="O599">
        <f>IFERROR(VLOOKUP($A599,Actual!$A:$D,4,FALSE),IFERROR(VLOOKUP($A599,FC!$A:$AD,29,FALSE),"Not Found"))</f>
        <v>0</v>
      </c>
      <c r="P599" s="5" t="str">
        <f>IFERROR(VLOOKUP($A599,Actual!$A:$D,3,FALSE),"0")</f>
        <v>0</v>
      </c>
    </row>
    <row r="600" spans="1:16" x14ac:dyDescent="0.2">
      <c r="A600" t="s">
        <v>651</v>
      </c>
      <c r="B600" t="s">
        <v>507</v>
      </c>
      <c r="C600" t="s">
        <v>17</v>
      </c>
      <c r="D600">
        <v>2500</v>
      </c>
      <c r="E600">
        <v>3.9203553718033</v>
      </c>
      <c r="F600">
        <v>3.05</v>
      </c>
      <c r="G600">
        <v>0.87035537180330902</v>
      </c>
      <c r="H600">
        <v>1.5681421487213201</v>
      </c>
      <c r="I600">
        <v>0.98008884295082699</v>
      </c>
      <c r="J600">
        <v>14.8008884295082</v>
      </c>
      <c r="K600">
        <v>0.415180941770875</v>
      </c>
      <c r="L600" t="s">
        <v>482</v>
      </c>
      <c r="M600">
        <v>2.77021492876918</v>
      </c>
      <c r="N600">
        <v>41767953</v>
      </c>
      <c r="O600">
        <f>IFERROR(VLOOKUP($A600,Actual!$A:$D,4,FALSE),IFERROR(VLOOKUP($A600,FC!$A:$AD,29,FALSE),"Not Found"))</f>
        <v>0</v>
      </c>
      <c r="P600" s="5" t="str">
        <f>IFERROR(VLOOKUP($A600,Actual!$A:$D,3,FALSE),"0")</f>
        <v>0</v>
      </c>
    </row>
    <row r="601" spans="1:16" x14ac:dyDescent="0.2">
      <c r="A601" t="s">
        <v>653</v>
      </c>
      <c r="B601" t="s">
        <v>506</v>
      </c>
      <c r="C601" t="s">
        <v>5</v>
      </c>
      <c r="D601">
        <v>2500</v>
      </c>
      <c r="E601">
        <v>3.91144773980368</v>
      </c>
      <c r="F601">
        <v>3.44</v>
      </c>
      <c r="G601">
        <v>0.47144773980368099</v>
      </c>
      <c r="H601">
        <v>1.56457909592147</v>
      </c>
      <c r="I601">
        <v>0.97786193495092</v>
      </c>
      <c r="J601">
        <v>14.778619349509199</v>
      </c>
      <c r="K601">
        <v>0.68225251145056598</v>
      </c>
      <c r="L601" t="s">
        <v>482</v>
      </c>
      <c r="M601">
        <v>2.32512521941841</v>
      </c>
      <c r="N601">
        <v>41766761</v>
      </c>
      <c r="O601">
        <f>IFERROR(VLOOKUP($A601,Actual!$A:$D,4,FALSE),IFERROR(VLOOKUP($A601,FC!$A:$AD,29,FALSE),"Not Found"))</f>
        <v>0</v>
      </c>
      <c r="P601" s="5" t="str">
        <f>IFERROR(VLOOKUP($A601,Actual!$A:$D,3,FALSE),"0")</f>
        <v>0</v>
      </c>
    </row>
    <row r="602" spans="1:16" x14ac:dyDescent="0.2">
      <c r="A602" t="s">
        <v>654</v>
      </c>
      <c r="B602" t="s">
        <v>484</v>
      </c>
      <c r="C602" t="s">
        <v>10</v>
      </c>
      <c r="D602">
        <v>2500</v>
      </c>
      <c r="E602">
        <v>3.89080201628434</v>
      </c>
      <c r="F602">
        <v>2.69</v>
      </c>
      <c r="G602">
        <v>1.20080201628434</v>
      </c>
      <c r="H602">
        <v>1.5563208065137299</v>
      </c>
      <c r="I602">
        <v>0.97270050407108499</v>
      </c>
      <c r="J602">
        <v>14.7270050407108</v>
      </c>
      <c r="K602">
        <v>0.14957533497914299</v>
      </c>
      <c r="L602" t="s">
        <v>482</v>
      </c>
      <c r="M602">
        <v>3.3845559293901601</v>
      </c>
      <c r="N602">
        <v>41767483</v>
      </c>
      <c r="O602">
        <f>IFERROR(VLOOKUP($A602,Actual!$A:$D,4,FALSE),IFERROR(VLOOKUP($A602,FC!$A:$AD,29,FALSE),"Not Found"))</f>
        <v>0</v>
      </c>
      <c r="P602" s="5" t="str">
        <f>IFERROR(VLOOKUP($A602,Actual!$A:$D,3,FALSE),"0")</f>
        <v>0</v>
      </c>
    </row>
    <row r="603" spans="1:16" x14ac:dyDescent="0.2">
      <c r="A603" t="s">
        <v>658</v>
      </c>
      <c r="B603" t="s">
        <v>510</v>
      </c>
      <c r="C603" t="s">
        <v>17</v>
      </c>
      <c r="D603">
        <v>2500</v>
      </c>
      <c r="E603">
        <v>3.8169918226319499</v>
      </c>
      <c r="F603">
        <v>2.89</v>
      </c>
      <c r="G603">
        <v>0.92699182263195001</v>
      </c>
      <c r="H603">
        <v>1.52679672905278</v>
      </c>
      <c r="I603">
        <v>0.95424795565798703</v>
      </c>
      <c r="J603">
        <v>14.542479556579799</v>
      </c>
      <c r="K603">
        <v>0.415180941770875</v>
      </c>
      <c r="L603" t="s">
        <v>482</v>
      </c>
      <c r="M603">
        <v>2.6971758239307402</v>
      </c>
      <c r="N603">
        <v>41767833</v>
      </c>
      <c r="O603">
        <f>IFERROR(VLOOKUP($A603,Actual!$A:$D,4,FALSE),IFERROR(VLOOKUP($A603,FC!$A:$AD,29,FALSE),"Not Found"))</f>
        <v>0</v>
      </c>
      <c r="P603" s="5" t="str">
        <f>IFERROR(VLOOKUP($A603,Actual!$A:$D,3,FALSE),"0")</f>
        <v>0</v>
      </c>
    </row>
    <row r="604" spans="1:16" x14ac:dyDescent="0.2">
      <c r="A604" t="s">
        <v>662</v>
      </c>
      <c r="B604" t="s">
        <v>480</v>
      </c>
      <c r="C604" t="s">
        <v>5</v>
      </c>
      <c r="D604">
        <v>2500</v>
      </c>
      <c r="E604">
        <v>3.70166420173065</v>
      </c>
      <c r="F604">
        <v>3.38</v>
      </c>
      <c r="G604">
        <v>0.32166420173065302</v>
      </c>
      <c r="H604">
        <v>1.48066568069226</v>
      </c>
      <c r="I604">
        <v>0.92541605043266295</v>
      </c>
      <c r="J604">
        <v>14.254160504326601</v>
      </c>
      <c r="K604">
        <v>0.14957533497914299</v>
      </c>
      <c r="L604" t="s">
        <v>482</v>
      </c>
      <c r="M604">
        <v>3.2200275085040899</v>
      </c>
      <c r="N604">
        <v>41767389</v>
      </c>
      <c r="O604">
        <f>IFERROR(VLOOKUP($A604,Actual!$A:$D,4,FALSE),IFERROR(VLOOKUP($A604,FC!$A:$AD,29,FALSE),"Not Found"))</f>
        <v>0</v>
      </c>
      <c r="P604" s="5" t="str">
        <f>IFERROR(VLOOKUP($A604,Actual!$A:$D,3,FALSE),"0")</f>
        <v>0</v>
      </c>
    </row>
    <row r="605" spans="1:16" x14ac:dyDescent="0.2">
      <c r="A605" t="s">
        <v>665</v>
      </c>
      <c r="B605" t="s">
        <v>491</v>
      </c>
      <c r="C605" t="s">
        <v>10</v>
      </c>
      <c r="D605">
        <v>2500</v>
      </c>
      <c r="E605">
        <v>3.6486928543857502</v>
      </c>
      <c r="F605">
        <v>3.26</v>
      </c>
      <c r="G605">
        <v>0.38869285438575202</v>
      </c>
      <c r="H605">
        <v>1.4594771417543</v>
      </c>
      <c r="I605">
        <v>0.91217321359643799</v>
      </c>
      <c r="J605">
        <v>14.121732135964301</v>
      </c>
      <c r="K605">
        <v>0.14957533497914299</v>
      </c>
      <c r="L605" t="s">
        <v>482</v>
      </c>
      <c r="M605">
        <v>3.1739484515401002</v>
      </c>
      <c r="N605">
        <v>41767199</v>
      </c>
      <c r="O605">
        <f>IFERROR(VLOOKUP($A605,Actual!$A:$D,4,FALSE),IFERROR(VLOOKUP($A605,FC!$A:$AD,29,FALSE),"Not Found"))</f>
        <v>0</v>
      </c>
      <c r="P605" s="5" t="str">
        <f>IFERROR(VLOOKUP($A605,Actual!$A:$D,3,FALSE),"0")</f>
        <v>0</v>
      </c>
    </row>
    <row r="606" spans="1:16" x14ac:dyDescent="0.2">
      <c r="A606" t="s">
        <v>666</v>
      </c>
      <c r="B606" t="s">
        <v>502</v>
      </c>
      <c r="C606" t="s">
        <v>10</v>
      </c>
      <c r="D606">
        <v>2500</v>
      </c>
      <c r="E606">
        <v>3.6311742762515902</v>
      </c>
      <c r="F606">
        <v>2.76</v>
      </c>
      <c r="G606">
        <v>0.87117427625159705</v>
      </c>
      <c r="H606">
        <v>1.4524697105006299</v>
      </c>
      <c r="I606">
        <v>0.90779356906289899</v>
      </c>
      <c r="J606">
        <v>14.0779356906289</v>
      </c>
      <c r="K606">
        <v>0.14957533497914299</v>
      </c>
      <c r="L606" t="s">
        <v>482</v>
      </c>
      <c r="M606">
        <v>3.1587092779069299</v>
      </c>
      <c r="N606">
        <v>41767287</v>
      </c>
      <c r="O606">
        <f>IFERROR(VLOOKUP($A606,Actual!$A:$D,4,FALSE),IFERROR(VLOOKUP($A606,FC!$A:$AD,29,FALSE),"Not Found"))</f>
        <v>0</v>
      </c>
      <c r="P606" s="5" t="str">
        <f>IFERROR(VLOOKUP($A606,Actual!$A:$D,3,FALSE),"0")</f>
        <v>0</v>
      </c>
    </row>
    <row r="607" spans="1:16" x14ac:dyDescent="0.2">
      <c r="A607" t="s">
        <v>667</v>
      </c>
      <c r="B607" t="s">
        <v>494</v>
      </c>
      <c r="C607" t="s">
        <v>17</v>
      </c>
      <c r="D607">
        <v>2500</v>
      </c>
      <c r="E607">
        <v>3.6049989870849499</v>
      </c>
      <c r="F607">
        <v>2.2400000000000002</v>
      </c>
      <c r="G607">
        <v>1.3649989870849499</v>
      </c>
      <c r="H607">
        <v>1.4419995948339801</v>
      </c>
      <c r="I607">
        <v>0.90124974677123904</v>
      </c>
      <c r="J607">
        <v>14.012497467712301</v>
      </c>
      <c r="K607">
        <v>0.415180941770875</v>
      </c>
      <c r="L607" t="s">
        <v>482</v>
      </c>
      <c r="M607">
        <v>2.54737672101058</v>
      </c>
      <c r="N607">
        <v>41767895</v>
      </c>
      <c r="O607">
        <f>IFERROR(VLOOKUP($A607,Actual!$A:$D,4,FALSE),IFERROR(VLOOKUP($A607,FC!$A:$AD,29,FALSE),"Not Found"))</f>
        <v>0</v>
      </c>
      <c r="P607" s="5" t="str">
        <f>IFERROR(VLOOKUP($A607,Actual!$A:$D,3,FALSE),"0")</f>
        <v>0</v>
      </c>
    </row>
    <row r="608" spans="1:16" x14ac:dyDescent="0.2">
      <c r="A608" t="s">
        <v>669</v>
      </c>
      <c r="B608" t="s">
        <v>497</v>
      </c>
      <c r="C608" t="s">
        <v>17</v>
      </c>
      <c r="D608">
        <v>2500</v>
      </c>
      <c r="E608">
        <v>3.5522564621456199</v>
      </c>
      <c r="F608">
        <v>1.54</v>
      </c>
      <c r="G608">
        <v>2.0122564621456198</v>
      </c>
      <c r="H608">
        <v>1.4209025848582399</v>
      </c>
      <c r="I608">
        <v>0.88806411553640496</v>
      </c>
      <c r="J608">
        <v>13.880641155364</v>
      </c>
      <c r="K608">
        <v>0.415180941770875</v>
      </c>
      <c r="L608" t="s">
        <v>482</v>
      </c>
      <c r="M608">
        <v>2.5101076175464399</v>
      </c>
      <c r="N608">
        <v>41767831</v>
      </c>
      <c r="O608">
        <f>IFERROR(VLOOKUP($A608,Actual!$A:$D,4,FALSE),IFERROR(VLOOKUP($A608,FC!$A:$AD,29,FALSE),"Not Found"))</f>
        <v>0</v>
      </c>
      <c r="P608" s="5" t="str">
        <f>IFERROR(VLOOKUP($A608,Actual!$A:$D,3,FALSE),"0")</f>
        <v>0</v>
      </c>
    </row>
    <row r="609" spans="1:16" x14ac:dyDescent="0.2">
      <c r="A609" t="s">
        <v>670</v>
      </c>
      <c r="B609" t="s">
        <v>493</v>
      </c>
      <c r="C609" t="s">
        <v>5</v>
      </c>
      <c r="D609">
        <v>2500</v>
      </c>
      <c r="E609">
        <v>3.5356365275295998</v>
      </c>
      <c r="F609">
        <v>2.88</v>
      </c>
      <c r="G609">
        <v>0.655636527529599</v>
      </c>
      <c r="H609">
        <v>1.4142546110118399</v>
      </c>
      <c r="I609">
        <v>0.88390913188239995</v>
      </c>
      <c r="J609">
        <v>13.839091318824</v>
      </c>
      <c r="K609">
        <v>0.14957533497914299</v>
      </c>
      <c r="L609" t="s">
        <v>482</v>
      </c>
      <c r="M609">
        <v>3.0756022854245901</v>
      </c>
      <c r="N609">
        <v>41767403</v>
      </c>
      <c r="O609">
        <f>IFERROR(VLOOKUP($A609,Actual!$A:$D,4,FALSE),IFERROR(VLOOKUP($A609,FC!$A:$AD,29,FALSE),"Not Found"))</f>
        <v>0</v>
      </c>
      <c r="P609" s="5" t="str">
        <f>IFERROR(VLOOKUP($A609,Actual!$A:$D,3,FALSE),"0")</f>
        <v>0</v>
      </c>
    </row>
    <row r="610" spans="1:16" x14ac:dyDescent="0.2">
      <c r="A610" t="s">
        <v>672</v>
      </c>
      <c r="B610" t="s">
        <v>485</v>
      </c>
      <c r="C610" t="s">
        <v>17</v>
      </c>
      <c r="D610">
        <v>2500</v>
      </c>
      <c r="E610">
        <v>3.4993943565332399</v>
      </c>
      <c r="F610">
        <v>5.04</v>
      </c>
      <c r="G610">
        <v>-1.5406056434667501</v>
      </c>
      <c r="H610">
        <v>1.3997577426132899</v>
      </c>
      <c r="I610">
        <v>0.87484858913331098</v>
      </c>
      <c r="J610">
        <v>13.7484858913331</v>
      </c>
      <c r="K610">
        <v>0.415180941770875</v>
      </c>
      <c r="L610" t="s">
        <v>482</v>
      </c>
      <c r="M610">
        <v>2.4727540155779</v>
      </c>
      <c r="N610">
        <v>41767819</v>
      </c>
      <c r="O610">
        <f>IFERROR(VLOOKUP($A610,Actual!$A:$D,4,FALSE),IFERROR(VLOOKUP($A610,FC!$A:$AD,29,FALSE),"Not Found"))</f>
        <v>0</v>
      </c>
      <c r="P610" s="5" t="str">
        <f>IFERROR(VLOOKUP($A610,Actual!$A:$D,3,FALSE),"0")</f>
        <v>0</v>
      </c>
    </row>
    <row r="611" spans="1:16" x14ac:dyDescent="0.2">
      <c r="A611" t="s">
        <v>673</v>
      </c>
      <c r="B611" t="s">
        <v>499</v>
      </c>
      <c r="C611" t="s">
        <v>10</v>
      </c>
      <c r="D611">
        <v>2500</v>
      </c>
      <c r="E611">
        <v>3.4986298658744599</v>
      </c>
      <c r="F611">
        <v>3.4</v>
      </c>
      <c r="G611">
        <v>9.8629865874465303E-2</v>
      </c>
      <c r="H611">
        <v>1.3994519463497801</v>
      </c>
      <c r="I611">
        <v>0.87465746646861597</v>
      </c>
      <c r="J611">
        <v>13.746574664686101</v>
      </c>
      <c r="K611">
        <v>0.14957533497914299</v>
      </c>
      <c r="L611" t="s">
        <v>482</v>
      </c>
      <c r="M611">
        <v>3.0434106921213102</v>
      </c>
      <c r="N611">
        <v>41767419</v>
      </c>
      <c r="O611">
        <f>IFERROR(VLOOKUP($A611,Actual!$A:$D,4,FALSE),IFERROR(VLOOKUP($A611,FC!$A:$AD,29,FALSE),"Not Found"))</f>
        <v>0</v>
      </c>
      <c r="P611" s="5" t="str">
        <f>IFERROR(VLOOKUP($A611,Actual!$A:$D,3,FALSE),"0")</f>
        <v>0</v>
      </c>
    </row>
    <row r="612" spans="1:16" x14ac:dyDescent="0.2">
      <c r="A612" t="s">
        <v>679</v>
      </c>
      <c r="B612" t="s">
        <v>481</v>
      </c>
      <c r="C612" t="s">
        <v>5</v>
      </c>
      <c r="D612">
        <v>2500</v>
      </c>
      <c r="E612">
        <v>3.3511419514777101</v>
      </c>
      <c r="F612">
        <v>3.17</v>
      </c>
      <c r="G612">
        <v>0.181141951477716</v>
      </c>
      <c r="H612">
        <v>1.3404567805910801</v>
      </c>
      <c r="I612">
        <v>0.83778548786942897</v>
      </c>
      <c r="J612">
        <v>13.377854878694199</v>
      </c>
      <c r="K612">
        <v>0.14957533497914299</v>
      </c>
      <c r="L612" t="s">
        <v>482</v>
      </c>
      <c r="M612">
        <v>2.9151129547664798</v>
      </c>
      <c r="N612">
        <v>41767369</v>
      </c>
      <c r="O612">
        <f>IFERROR(VLOOKUP($A612,Actual!$A:$D,4,FALSE),IFERROR(VLOOKUP($A612,FC!$A:$AD,29,FALSE),"Not Found"))</f>
        <v>0</v>
      </c>
      <c r="P612" s="5" t="str">
        <f>IFERROR(VLOOKUP($A612,Actual!$A:$D,3,FALSE),"0")</f>
        <v>0</v>
      </c>
    </row>
    <row r="613" spans="1:16" x14ac:dyDescent="0.2">
      <c r="A613" t="s">
        <v>682</v>
      </c>
      <c r="B613" t="s">
        <v>493</v>
      </c>
      <c r="C613" t="s">
        <v>10</v>
      </c>
      <c r="D613">
        <v>2500</v>
      </c>
      <c r="E613">
        <v>3.2864962148510801</v>
      </c>
      <c r="F613">
        <v>2.4</v>
      </c>
      <c r="G613">
        <v>0.88649621485108898</v>
      </c>
      <c r="H613">
        <v>1.3145984859404301</v>
      </c>
      <c r="I613">
        <v>0.82162405371277203</v>
      </c>
      <c r="J613">
        <v>13.2162405371277</v>
      </c>
      <c r="K613">
        <v>0.14957533497914299</v>
      </c>
      <c r="L613" t="s">
        <v>482</v>
      </c>
      <c r="M613">
        <v>2.8588785048269201</v>
      </c>
      <c r="N613">
        <v>41767405</v>
      </c>
      <c r="O613">
        <f>IFERROR(VLOOKUP($A613,Actual!$A:$D,4,FALSE),IFERROR(VLOOKUP($A613,FC!$A:$AD,29,FALSE),"Not Found"))</f>
        <v>0</v>
      </c>
      <c r="P613" s="5" t="str">
        <f>IFERROR(VLOOKUP($A613,Actual!$A:$D,3,FALSE),"0")</f>
        <v>0</v>
      </c>
    </row>
    <row r="614" spans="1:16" x14ac:dyDescent="0.2">
      <c r="A614" t="s">
        <v>683</v>
      </c>
      <c r="B614" t="s">
        <v>505</v>
      </c>
      <c r="C614" t="s">
        <v>10</v>
      </c>
      <c r="D614">
        <v>2500</v>
      </c>
      <c r="E614">
        <v>3.26942024676466</v>
      </c>
      <c r="F614">
        <v>3.16</v>
      </c>
      <c r="G614">
        <v>0.10942024676466799</v>
      </c>
      <c r="H614">
        <v>1.30776809870586</v>
      </c>
      <c r="I614">
        <v>0.81735506169116701</v>
      </c>
      <c r="J614">
        <v>13.1735506169116</v>
      </c>
      <c r="K614">
        <v>0.14957533497914299</v>
      </c>
      <c r="L614" t="s">
        <v>482</v>
      </c>
      <c r="M614">
        <v>2.8440243516741601</v>
      </c>
      <c r="N614">
        <v>41767351</v>
      </c>
      <c r="O614">
        <f>IFERROR(VLOOKUP($A614,Actual!$A:$D,4,FALSE),IFERROR(VLOOKUP($A614,FC!$A:$AD,29,FALSE),"Not Found"))</f>
        <v>0</v>
      </c>
      <c r="P614" s="5" t="str">
        <f>IFERROR(VLOOKUP($A614,Actual!$A:$D,3,FALSE),"0")</f>
        <v>0</v>
      </c>
    </row>
    <row r="615" spans="1:16" x14ac:dyDescent="0.2">
      <c r="A615" t="s">
        <v>684</v>
      </c>
      <c r="B615" t="s">
        <v>488</v>
      </c>
      <c r="C615" t="s">
        <v>10</v>
      </c>
      <c r="D615">
        <v>2500</v>
      </c>
      <c r="E615">
        <v>3.2399439298262598</v>
      </c>
      <c r="F615">
        <v>2.39</v>
      </c>
      <c r="G615">
        <v>0.84994392982626898</v>
      </c>
      <c r="H615">
        <v>1.2959775719305</v>
      </c>
      <c r="I615">
        <v>0.80998598245656706</v>
      </c>
      <c r="J615">
        <v>13.0998598245656</v>
      </c>
      <c r="K615">
        <v>0.14957533497914299</v>
      </c>
      <c r="L615" t="s">
        <v>482</v>
      </c>
      <c r="M615">
        <v>2.8183833031569399</v>
      </c>
      <c r="N615">
        <v>41767489</v>
      </c>
      <c r="O615">
        <f>IFERROR(VLOOKUP($A615,Actual!$A:$D,4,FALSE),IFERROR(VLOOKUP($A615,FC!$A:$AD,29,FALSE),"Not Found"))</f>
        <v>0</v>
      </c>
      <c r="P615" s="5" t="str">
        <f>IFERROR(VLOOKUP($A615,Actual!$A:$D,3,FALSE),"0")</f>
        <v>0</v>
      </c>
    </row>
    <row r="616" spans="1:16" x14ac:dyDescent="0.2">
      <c r="A616" t="s">
        <v>685</v>
      </c>
      <c r="B616" t="s">
        <v>510</v>
      </c>
      <c r="C616" t="s">
        <v>10</v>
      </c>
      <c r="D616">
        <v>2500</v>
      </c>
      <c r="E616">
        <v>3.2378017608409499</v>
      </c>
      <c r="F616">
        <v>2.21</v>
      </c>
      <c r="G616">
        <v>1.02780176084095</v>
      </c>
      <c r="H616">
        <v>1.2951207043363799</v>
      </c>
      <c r="I616">
        <v>0.80945044021023704</v>
      </c>
      <c r="J616">
        <v>13.0945044021023</v>
      </c>
      <c r="K616">
        <v>0.14957533497914299</v>
      </c>
      <c r="L616" t="s">
        <v>482</v>
      </c>
      <c r="M616">
        <v>2.8165198593963301</v>
      </c>
      <c r="N616">
        <v>41767255</v>
      </c>
      <c r="O616">
        <f>IFERROR(VLOOKUP($A616,Actual!$A:$D,4,FALSE),IFERROR(VLOOKUP($A616,FC!$A:$AD,29,FALSE),"Not Found"))</f>
        <v>0</v>
      </c>
      <c r="P616" s="5" t="str">
        <f>IFERROR(VLOOKUP($A616,Actual!$A:$D,3,FALSE),"0")</f>
        <v>0</v>
      </c>
    </row>
    <row r="617" spans="1:16" x14ac:dyDescent="0.2">
      <c r="A617" t="s">
        <v>687</v>
      </c>
      <c r="B617" t="s">
        <v>497</v>
      </c>
      <c r="C617" t="s">
        <v>10</v>
      </c>
      <c r="D617">
        <v>2500</v>
      </c>
      <c r="E617">
        <v>3.21419128714675</v>
      </c>
      <c r="F617">
        <v>3.24</v>
      </c>
      <c r="G617">
        <v>-2.5808712853243598E-2</v>
      </c>
      <c r="H617">
        <v>1.2856765148586999</v>
      </c>
      <c r="I617">
        <v>0.80354782178668904</v>
      </c>
      <c r="J617">
        <v>13.0354782178668</v>
      </c>
      <c r="K617">
        <v>0.14957533497914299</v>
      </c>
      <c r="L617" t="s">
        <v>482</v>
      </c>
      <c r="M617">
        <v>2.7959814283985698</v>
      </c>
      <c r="N617">
        <v>41767243</v>
      </c>
      <c r="O617">
        <f>IFERROR(VLOOKUP($A617,Actual!$A:$D,4,FALSE),IFERROR(VLOOKUP($A617,FC!$A:$AD,29,FALSE),"Not Found"))</f>
        <v>0</v>
      </c>
      <c r="P617" s="5" t="str">
        <f>IFERROR(VLOOKUP($A617,Actual!$A:$D,3,FALSE),"0")</f>
        <v>0</v>
      </c>
    </row>
    <row r="618" spans="1:16" x14ac:dyDescent="0.2">
      <c r="A618" t="s">
        <v>688</v>
      </c>
      <c r="B618" t="s">
        <v>509</v>
      </c>
      <c r="C618" t="s">
        <v>17</v>
      </c>
      <c r="D618">
        <v>2500</v>
      </c>
      <c r="E618">
        <v>3.2062087005317701</v>
      </c>
      <c r="F618">
        <v>1.9</v>
      </c>
      <c r="G618">
        <v>1.30620870053177</v>
      </c>
      <c r="H618">
        <v>1.2824834802127001</v>
      </c>
      <c r="I618">
        <v>0.80155217513294297</v>
      </c>
      <c r="J618">
        <v>13.0155217513294</v>
      </c>
      <c r="K618">
        <v>0.415180941770875</v>
      </c>
      <c r="L618" t="s">
        <v>482</v>
      </c>
      <c r="M618">
        <v>2.2655821640162199</v>
      </c>
      <c r="N618">
        <v>41767875</v>
      </c>
      <c r="O618">
        <f>IFERROR(VLOOKUP($A618,Actual!$A:$D,4,FALSE),IFERROR(VLOOKUP($A618,FC!$A:$AD,29,FALSE),"Not Found"))</f>
        <v>0</v>
      </c>
      <c r="P618" s="5" t="str">
        <f>IFERROR(VLOOKUP($A618,Actual!$A:$D,3,FALSE),"0")</f>
        <v>0</v>
      </c>
    </row>
    <row r="619" spans="1:16" x14ac:dyDescent="0.2">
      <c r="A619" t="s">
        <v>691</v>
      </c>
      <c r="B619" t="s">
        <v>488</v>
      </c>
      <c r="C619" t="s">
        <v>5</v>
      </c>
      <c r="D619">
        <v>2500</v>
      </c>
      <c r="E619">
        <v>3.1417016932922599</v>
      </c>
      <c r="F619">
        <v>2.74</v>
      </c>
      <c r="G619">
        <v>0.40170169329226302</v>
      </c>
      <c r="H619">
        <v>1.2566806773168999</v>
      </c>
      <c r="I619">
        <v>0.78542542332306597</v>
      </c>
      <c r="J619">
        <v>12.8542542332306</v>
      </c>
      <c r="K619">
        <v>0.14957533497914299</v>
      </c>
      <c r="L619" t="s">
        <v>482</v>
      </c>
      <c r="M619">
        <v>2.7329237133895701</v>
      </c>
      <c r="N619">
        <v>41767487</v>
      </c>
      <c r="O619">
        <f>IFERROR(VLOOKUP($A619,Actual!$A:$D,4,FALSE),IFERROR(VLOOKUP($A619,FC!$A:$AD,29,FALSE),"Not Found"))</f>
        <v>0</v>
      </c>
      <c r="P619" s="5" t="str">
        <f>IFERROR(VLOOKUP($A619,Actual!$A:$D,3,FALSE),"0")</f>
        <v>0</v>
      </c>
    </row>
    <row r="620" spans="1:16" x14ac:dyDescent="0.2">
      <c r="A620" t="s">
        <v>693</v>
      </c>
      <c r="B620" t="s">
        <v>481</v>
      </c>
      <c r="C620" t="s">
        <v>10</v>
      </c>
      <c r="D620">
        <v>2500</v>
      </c>
      <c r="E620">
        <v>3.1024497720401101</v>
      </c>
      <c r="F620">
        <v>2.09</v>
      </c>
      <c r="G620">
        <v>1.01244977204011</v>
      </c>
      <c r="H620">
        <v>1.24097990881604</v>
      </c>
      <c r="I620">
        <v>0.77561244301002696</v>
      </c>
      <c r="J620">
        <v>12.756124430100201</v>
      </c>
      <c r="K620">
        <v>0.14957533497914299</v>
      </c>
      <c r="L620" t="s">
        <v>482</v>
      </c>
      <c r="M620">
        <v>2.6987789992000799</v>
      </c>
      <c r="N620">
        <v>41767363</v>
      </c>
      <c r="O620">
        <f>IFERROR(VLOOKUP($A620,Actual!$A:$D,4,FALSE),IFERROR(VLOOKUP($A620,FC!$A:$AD,29,FALSE),"Not Found"))</f>
        <v>0</v>
      </c>
      <c r="P620" s="5" t="str">
        <f>IFERROR(VLOOKUP($A620,Actual!$A:$D,3,FALSE),"0")</f>
        <v>0</v>
      </c>
    </row>
    <row r="621" spans="1:16" x14ac:dyDescent="0.2">
      <c r="A621" t="s">
        <v>694</v>
      </c>
      <c r="B621" t="s">
        <v>508</v>
      </c>
      <c r="C621" t="s">
        <v>17</v>
      </c>
      <c r="D621">
        <v>2500</v>
      </c>
      <c r="E621">
        <v>3.0935042762834701</v>
      </c>
      <c r="F621">
        <v>1.26</v>
      </c>
      <c r="G621">
        <v>1.8335042762834699</v>
      </c>
      <c r="H621">
        <v>1.2374017105133801</v>
      </c>
      <c r="I621">
        <v>0.77337606907086698</v>
      </c>
      <c r="J621">
        <v>12.7337606907086</v>
      </c>
      <c r="K621">
        <v>0.415180941770875</v>
      </c>
      <c r="L621" t="s">
        <v>482</v>
      </c>
      <c r="M621">
        <v>2.1859425780652701</v>
      </c>
      <c r="N621">
        <v>41767927</v>
      </c>
      <c r="O621">
        <f>IFERROR(VLOOKUP($A621,Actual!$A:$D,4,FALSE),IFERROR(VLOOKUP($A621,FC!$A:$AD,29,FALSE),"Not Found"))</f>
        <v>0</v>
      </c>
      <c r="P621" s="5" t="str">
        <f>IFERROR(VLOOKUP($A621,Actual!$A:$D,3,FALSE),"0")</f>
        <v>0</v>
      </c>
    </row>
    <row r="622" spans="1:16" x14ac:dyDescent="0.2">
      <c r="A622" t="s">
        <v>695</v>
      </c>
      <c r="B622" t="s">
        <v>487</v>
      </c>
      <c r="C622" t="s">
        <v>5</v>
      </c>
      <c r="D622">
        <v>2500</v>
      </c>
      <c r="E622">
        <v>3.0468247659222101</v>
      </c>
      <c r="F622">
        <v>2.63</v>
      </c>
      <c r="G622">
        <v>0.41682476592221201</v>
      </c>
      <c r="H622">
        <v>1.2187299063688799</v>
      </c>
      <c r="I622">
        <v>0.76170619148055296</v>
      </c>
      <c r="J622">
        <v>12.6170619148055</v>
      </c>
      <c r="K622">
        <v>0.14957533497914299</v>
      </c>
      <c r="L622" t="s">
        <v>482</v>
      </c>
      <c r="M622">
        <v>2.6503915604430399</v>
      </c>
      <c r="N622">
        <v>41767501</v>
      </c>
      <c r="O622">
        <f>IFERROR(VLOOKUP($A622,Actual!$A:$D,4,FALSE),IFERROR(VLOOKUP($A622,FC!$A:$AD,29,FALSE),"Not Found"))</f>
        <v>0</v>
      </c>
      <c r="P622" s="5" t="str">
        <f>IFERROR(VLOOKUP($A622,Actual!$A:$D,3,FALSE),"0")</f>
        <v>0</v>
      </c>
    </row>
    <row r="623" spans="1:16" x14ac:dyDescent="0.2">
      <c r="A623" t="s">
        <v>696</v>
      </c>
      <c r="B623" t="s">
        <v>495</v>
      </c>
      <c r="C623" t="s">
        <v>5</v>
      </c>
      <c r="D623">
        <v>2500</v>
      </c>
      <c r="E623">
        <v>3.0040953553888499</v>
      </c>
      <c r="F623">
        <v>2.95</v>
      </c>
      <c r="G623">
        <v>5.4095355388858499E-2</v>
      </c>
      <c r="H623">
        <v>1.20163814215554</v>
      </c>
      <c r="I623">
        <v>0.75102383884721402</v>
      </c>
      <c r="J623">
        <v>12.5102383884721</v>
      </c>
      <c r="K623">
        <v>0.14957533497914299</v>
      </c>
      <c r="L623" t="s">
        <v>482</v>
      </c>
      <c r="M623">
        <v>2.6132218254694499</v>
      </c>
      <c r="N623">
        <v>41767279</v>
      </c>
      <c r="O623">
        <f>IFERROR(VLOOKUP($A623,Actual!$A:$D,4,FALSE),IFERROR(VLOOKUP($A623,FC!$A:$AD,29,FALSE),"Not Found"))</f>
        <v>0</v>
      </c>
      <c r="P623" s="5" t="str">
        <f>IFERROR(VLOOKUP($A623,Actual!$A:$D,3,FALSE),"0")</f>
        <v>0</v>
      </c>
    </row>
    <row r="624" spans="1:16" x14ac:dyDescent="0.2">
      <c r="A624" t="s">
        <v>698</v>
      </c>
      <c r="B624" t="s">
        <v>504</v>
      </c>
      <c r="C624" t="s">
        <v>5</v>
      </c>
      <c r="D624">
        <v>2500</v>
      </c>
      <c r="E624">
        <v>2.9572940801945302</v>
      </c>
      <c r="F624">
        <v>2.58</v>
      </c>
      <c r="G624">
        <v>0.37729408019453198</v>
      </c>
      <c r="H624">
        <v>1.1829176320778101</v>
      </c>
      <c r="I624">
        <v>0.739323520048633</v>
      </c>
      <c r="J624">
        <v>12.3932352004863</v>
      </c>
      <c r="K624">
        <v>0.409351506870339</v>
      </c>
      <c r="L624" t="s">
        <v>482</v>
      </c>
      <c r="M624">
        <v>2.09833676395011</v>
      </c>
      <c r="N624">
        <v>41766657</v>
      </c>
      <c r="O624">
        <f>IFERROR(VLOOKUP($A624,Actual!$A:$D,4,FALSE),IFERROR(VLOOKUP($A624,FC!$A:$AD,29,FALSE),"Not Found"))</f>
        <v>0</v>
      </c>
      <c r="P624" s="5" t="str">
        <f>IFERROR(VLOOKUP($A624,Actual!$A:$D,3,FALSE),"0")</f>
        <v>0</v>
      </c>
    </row>
    <row r="625" spans="1:16" x14ac:dyDescent="0.2">
      <c r="A625" t="s">
        <v>699</v>
      </c>
      <c r="B625" t="s">
        <v>500</v>
      </c>
      <c r="C625" t="s">
        <v>17</v>
      </c>
      <c r="D625">
        <v>2500</v>
      </c>
      <c r="E625">
        <v>2.9020232405570598</v>
      </c>
      <c r="F625">
        <v>1.08</v>
      </c>
      <c r="G625">
        <v>1.82202324055706</v>
      </c>
      <c r="H625">
        <v>1.16080929622282</v>
      </c>
      <c r="I625">
        <v>0.72550581013926596</v>
      </c>
      <c r="J625">
        <v>12.255058101392599</v>
      </c>
      <c r="K625">
        <v>0.415180941770875</v>
      </c>
      <c r="L625" t="s">
        <v>482</v>
      </c>
      <c r="M625">
        <v>2.0506375933282701</v>
      </c>
      <c r="N625">
        <v>41767845</v>
      </c>
      <c r="O625">
        <f>IFERROR(VLOOKUP($A625,Actual!$A:$D,4,FALSE),IFERROR(VLOOKUP($A625,FC!$A:$AD,29,FALSE),"Not Found"))</f>
        <v>0</v>
      </c>
      <c r="P625" s="5" t="str">
        <f>IFERROR(VLOOKUP($A625,Actual!$A:$D,3,FALSE),"0")</f>
        <v>0</v>
      </c>
    </row>
    <row r="626" spans="1:16" x14ac:dyDescent="0.2">
      <c r="A626" t="s">
        <v>700</v>
      </c>
      <c r="B626" t="s">
        <v>497</v>
      </c>
      <c r="C626" t="s">
        <v>5</v>
      </c>
      <c r="D626">
        <v>2500</v>
      </c>
      <c r="E626">
        <v>2.8789062654648601</v>
      </c>
      <c r="F626">
        <v>1.98</v>
      </c>
      <c r="G626">
        <v>0.89890626546486097</v>
      </c>
      <c r="H626">
        <v>1.15156250618594</v>
      </c>
      <c r="I626">
        <v>0.71972656636621501</v>
      </c>
      <c r="J626">
        <v>12.197265663662099</v>
      </c>
      <c r="K626">
        <v>0.14957533497914299</v>
      </c>
      <c r="L626" t="s">
        <v>482</v>
      </c>
      <c r="M626">
        <v>2.5043215332356499</v>
      </c>
      <c r="N626">
        <v>41767249</v>
      </c>
      <c r="O626">
        <f>IFERROR(VLOOKUP($A626,Actual!$A:$D,4,FALSE),IFERROR(VLOOKUP($A626,FC!$A:$AD,29,FALSE),"Not Found"))</f>
        <v>0</v>
      </c>
      <c r="P626" s="5" t="str">
        <f>IFERROR(VLOOKUP($A626,Actual!$A:$D,3,FALSE),"0")</f>
        <v>0</v>
      </c>
    </row>
    <row r="627" spans="1:16" x14ac:dyDescent="0.2">
      <c r="A627" t="s">
        <v>701</v>
      </c>
      <c r="B627" t="s">
        <v>493</v>
      </c>
      <c r="C627" t="s">
        <v>10</v>
      </c>
      <c r="D627">
        <v>2500</v>
      </c>
      <c r="E627">
        <v>2.8492940360058201</v>
      </c>
      <c r="F627">
        <v>1.5</v>
      </c>
      <c r="G627">
        <v>1.3492940360058201</v>
      </c>
      <c r="H627">
        <v>1.13971761440233</v>
      </c>
      <c r="I627">
        <v>0.71232350900145602</v>
      </c>
      <c r="J627">
        <v>12.1232350900145</v>
      </c>
      <c r="K627">
        <v>0.14957533497914299</v>
      </c>
      <c r="L627" t="s">
        <v>482</v>
      </c>
      <c r="M627">
        <v>2.47856225625919</v>
      </c>
      <c r="N627">
        <v>41767409</v>
      </c>
      <c r="O627">
        <f>IFERROR(VLOOKUP($A627,Actual!$A:$D,4,FALSE),IFERROR(VLOOKUP($A627,FC!$A:$AD,29,FALSE),"Not Found"))</f>
        <v>0</v>
      </c>
      <c r="P627" s="5" t="str">
        <f>IFERROR(VLOOKUP($A627,Actual!$A:$D,3,FALSE),"0")</f>
        <v>0</v>
      </c>
    </row>
    <row r="628" spans="1:16" x14ac:dyDescent="0.2">
      <c r="A628" t="s">
        <v>705</v>
      </c>
      <c r="B628" t="s">
        <v>495</v>
      </c>
      <c r="C628" t="s">
        <v>10</v>
      </c>
      <c r="D628">
        <v>2500</v>
      </c>
      <c r="E628">
        <v>2.74319988445931</v>
      </c>
      <c r="F628">
        <v>1.9</v>
      </c>
      <c r="G628">
        <v>0.84319988445931005</v>
      </c>
      <c r="H628">
        <v>1.0972799537837199</v>
      </c>
      <c r="I628">
        <v>0.68579997111482704</v>
      </c>
      <c r="J628">
        <v>11.857999711148199</v>
      </c>
      <c r="K628">
        <v>0.14957533497914299</v>
      </c>
      <c r="L628" t="s">
        <v>482</v>
      </c>
      <c r="M628">
        <v>2.3862723920647402</v>
      </c>
      <c r="N628">
        <v>41767273</v>
      </c>
      <c r="O628">
        <f>IFERROR(VLOOKUP($A628,Actual!$A:$D,4,FALSE),IFERROR(VLOOKUP($A628,FC!$A:$AD,29,FALSE),"Not Found"))</f>
        <v>0</v>
      </c>
      <c r="P628" s="5" t="str">
        <f>IFERROR(VLOOKUP($A628,Actual!$A:$D,3,FALSE),"0")</f>
        <v>0</v>
      </c>
    </row>
    <row r="629" spans="1:16" x14ac:dyDescent="0.2">
      <c r="A629" t="s">
        <v>706</v>
      </c>
      <c r="B629" t="s">
        <v>487</v>
      </c>
      <c r="C629" t="s">
        <v>5</v>
      </c>
      <c r="D629">
        <v>2500</v>
      </c>
      <c r="E629">
        <v>2.6865306979368402</v>
      </c>
      <c r="F629">
        <v>2.4900000000000002</v>
      </c>
      <c r="G629">
        <v>0.19653069793684799</v>
      </c>
      <c r="H629">
        <v>1.0746122791747299</v>
      </c>
      <c r="I629">
        <v>0.67163267448421204</v>
      </c>
      <c r="J629">
        <v>11.7163267448421</v>
      </c>
      <c r="K629">
        <v>0.14957533497914299</v>
      </c>
      <c r="L629" t="s">
        <v>482</v>
      </c>
      <c r="M629">
        <v>2.33697663492892</v>
      </c>
      <c r="N629">
        <v>41767499</v>
      </c>
      <c r="O629">
        <f>IFERROR(VLOOKUP($A629,Actual!$A:$D,4,FALSE),IFERROR(VLOOKUP($A629,FC!$A:$AD,29,FALSE),"Not Found"))</f>
        <v>0</v>
      </c>
      <c r="P629" s="5" t="str">
        <f>IFERROR(VLOOKUP($A629,Actual!$A:$D,3,FALSE),"0")</f>
        <v>0</v>
      </c>
    </row>
    <row r="630" spans="1:16" x14ac:dyDescent="0.2">
      <c r="A630" t="s">
        <v>707</v>
      </c>
      <c r="B630" t="s">
        <v>478</v>
      </c>
      <c r="C630" t="s">
        <v>5</v>
      </c>
      <c r="D630">
        <v>2500</v>
      </c>
      <c r="E630">
        <v>2.6779119543368899</v>
      </c>
      <c r="F630">
        <v>1.76</v>
      </c>
      <c r="G630">
        <v>0.91791195433689199</v>
      </c>
      <c r="H630">
        <v>1.07116478173475</v>
      </c>
      <c r="I630">
        <v>0.66947798858422303</v>
      </c>
      <c r="J630">
        <v>11.6947798858422</v>
      </c>
      <c r="K630">
        <v>0.14957533497914299</v>
      </c>
      <c r="L630" t="s">
        <v>482</v>
      </c>
      <c r="M630">
        <v>2.3294793067089201</v>
      </c>
      <c r="N630">
        <v>41767197</v>
      </c>
      <c r="O630">
        <f>IFERROR(VLOOKUP($A630,Actual!$A:$D,4,FALSE),IFERROR(VLOOKUP($A630,FC!$A:$AD,29,FALSE),"Not Found"))</f>
        <v>0</v>
      </c>
      <c r="P630" s="5" t="str">
        <f>IFERROR(VLOOKUP($A630,Actual!$A:$D,3,FALSE),"0")</f>
        <v>0</v>
      </c>
    </row>
    <row r="631" spans="1:16" x14ac:dyDescent="0.2">
      <c r="A631" t="s">
        <v>708</v>
      </c>
      <c r="B631" t="s">
        <v>497</v>
      </c>
      <c r="C631" t="s">
        <v>5</v>
      </c>
      <c r="D631">
        <v>2500</v>
      </c>
      <c r="E631">
        <v>2.6674379741693901</v>
      </c>
      <c r="F631">
        <v>2.36</v>
      </c>
      <c r="G631">
        <v>0.307437974169393</v>
      </c>
      <c r="H631">
        <v>1.06697518966775</v>
      </c>
      <c r="I631">
        <v>0.66685949354234797</v>
      </c>
      <c r="J631">
        <v>11.6685949354234</v>
      </c>
      <c r="K631">
        <v>0.14957533497914299</v>
      </c>
      <c r="L631" t="s">
        <v>482</v>
      </c>
      <c r="M631">
        <v>2.32036813334881</v>
      </c>
      <c r="N631">
        <v>41767245</v>
      </c>
      <c r="O631">
        <f>IFERROR(VLOOKUP($A631,Actual!$A:$D,4,FALSE),IFERROR(VLOOKUP($A631,FC!$A:$AD,29,FALSE),"Not Found"))</f>
        <v>0</v>
      </c>
      <c r="P631" s="5" t="str">
        <f>IFERROR(VLOOKUP($A631,Actual!$A:$D,3,FALSE),"0")</f>
        <v>0</v>
      </c>
    </row>
    <row r="632" spans="1:16" x14ac:dyDescent="0.2">
      <c r="A632" t="s">
        <v>442</v>
      </c>
      <c r="B632" t="s">
        <v>495</v>
      </c>
      <c r="C632" t="s">
        <v>5</v>
      </c>
      <c r="D632">
        <v>2500</v>
      </c>
      <c r="E632">
        <v>2.54717099797733</v>
      </c>
      <c r="F632">
        <v>2.34</v>
      </c>
      <c r="G632">
        <v>0.20717099797733499</v>
      </c>
      <c r="H632">
        <v>1.01886839919093</v>
      </c>
      <c r="I632">
        <v>0.63679274949433395</v>
      </c>
      <c r="J632">
        <v>11.3679274949433</v>
      </c>
      <c r="K632">
        <v>0.409351506870339</v>
      </c>
      <c r="L632" t="s">
        <v>482</v>
      </c>
      <c r="M632">
        <v>1.80733549122438</v>
      </c>
      <c r="N632">
        <v>41766679</v>
      </c>
      <c r="O632">
        <f>IFERROR(VLOOKUP($A632,Actual!$A:$D,4,FALSE),IFERROR(VLOOKUP($A632,FC!$A:$AD,29,FALSE),"Not Found"))</f>
        <v>0</v>
      </c>
      <c r="P632" s="5">
        <f>IFERROR(VLOOKUP($A632,Actual!$A:$D,3,FALSE),"0")</f>
        <v>1.6999999999999999E-3</v>
      </c>
    </row>
    <row r="633" spans="1:16" x14ac:dyDescent="0.2">
      <c r="A633" t="s">
        <v>711</v>
      </c>
      <c r="B633" t="s">
        <v>499</v>
      </c>
      <c r="C633" t="s">
        <v>10</v>
      </c>
      <c r="D633">
        <v>2500</v>
      </c>
      <c r="E633">
        <v>2.5283710508383499</v>
      </c>
      <c r="F633">
        <v>1.92</v>
      </c>
      <c r="G633">
        <v>0.60837105083835796</v>
      </c>
      <c r="H633">
        <v>1.01134842033534</v>
      </c>
      <c r="I633">
        <v>0.63209276270958903</v>
      </c>
      <c r="J633">
        <v>11.3209276270958</v>
      </c>
      <c r="K633">
        <v>0.14957533497914299</v>
      </c>
      <c r="L633" t="s">
        <v>482</v>
      </c>
      <c r="M633">
        <v>2.1993957019652202</v>
      </c>
      <c r="N633">
        <v>41767423</v>
      </c>
      <c r="O633">
        <f>IFERROR(VLOOKUP($A633,Actual!$A:$D,4,FALSE),IFERROR(VLOOKUP($A633,FC!$A:$AD,29,FALSE),"Not Found"))</f>
        <v>0</v>
      </c>
      <c r="P633" s="5" t="str">
        <f>IFERROR(VLOOKUP($A633,Actual!$A:$D,3,FALSE),"0")</f>
        <v>0</v>
      </c>
    </row>
    <row r="634" spans="1:16" x14ac:dyDescent="0.2">
      <c r="A634" t="s">
        <v>712</v>
      </c>
      <c r="B634" t="s">
        <v>493</v>
      </c>
      <c r="C634" t="s">
        <v>5</v>
      </c>
      <c r="D634">
        <v>2500</v>
      </c>
      <c r="E634">
        <v>2.5188725793026299</v>
      </c>
      <c r="F634">
        <v>1.77</v>
      </c>
      <c r="G634">
        <v>0.74887257930263296</v>
      </c>
      <c r="H634">
        <v>1.00754903172105</v>
      </c>
      <c r="I634">
        <v>0.62971814482565802</v>
      </c>
      <c r="J634">
        <v>11.297181448256501</v>
      </c>
      <c r="K634">
        <v>0.14957533497914299</v>
      </c>
      <c r="L634" t="s">
        <v>482</v>
      </c>
      <c r="M634">
        <v>2.1911331103396798</v>
      </c>
      <c r="N634">
        <v>41767407</v>
      </c>
      <c r="O634">
        <f>IFERROR(VLOOKUP($A634,Actual!$A:$D,4,FALSE),IFERROR(VLOOKUP($A634,FC!$A:$AD,29,FALSE),"Not Found"))</f>
        <v>0</v>
      </c>
      <c r="P634" s="5" t="str">
        <f>IFERROR(VLOOKUP($A634,Actual!$A:$D,3,FALSE),"0")</f>
        <v>0</v>
      </c>
    </row>
    <row r="635" spans="1:16" x14ac:dyDescent="0.2">
      <c r="A635" t="s">
        <v>715</v>
      </c>
      <c r="B635" t="s">
        <v>496</v>
      </c>
      <c r="C635" t="s">
        <v>5</v>
      </c>
      <c r="D635">
        <v>2500</v>
      </c>
      <c r="E635">
        <v>2.3924512462901801</v>
      </c>
      <c r="F635">
        <v>3.26</v>
      </c>
      <c r="G635">
        <v>-0.86754875370981699</v>
      </c>
      <c r="H635">
        <v>0.95698049851607203</v>
      </c>
      <c r="I635">
        <v>0.59811281157254503</v>
      </c>
      <c r="J635">
        <v>10.981128115725401</v>
      </c>
      <c r="K635">
        <v>0.409351506870339</v>
      </c>
      <c r="L635" t="s">
        <v>482</v>
      </c>
      <c r="M635">
        <v>1.69755468002652</v>
      </c>
      <c r="N635">
        <v>41766719</v>
      </c>
      <c r="O635">
        <f>IFERROR(VLOOKUP($A635,Actual!$A:$D,4,FALSE),IFERROR(VLOOKUP($A635,FC!$A:$AD,29,FALSE),"Not Found"))</f>
        <v>0</v>
      </c>
      <c r="P635" s="5" t="str">
        <f>IFERROR(VLOOKUP($A635,Actual!$A:$D,3,FALSE),"0")</f>
        <v>0</v>
      </c>
    </row>
    <row r="636" spans="1:16" x14ac:dyDescent="0.2">
      <c r="A636" t="s">
        <v>717</v>
      </c>
      <c r="B636" t="s">
        <v>481</v>
      </c>
      <c r="C636" t="s">
        <v>5</v>
      </c>
      <c r="D636">
        <v>2500</v>
      </c>
      <c r="E636">
        <v>2.3066514889233498</v>
      </c>
      <c r="F636">
        <v>1.6</v>
      </c>
      <c r="G636">
        <v>0.70665148892335305</v>
      </c>
      <c r="H636">
        <v>0.92266059556934099</v>
      </c>
      <c r="I636">
        <v>0.57666287223083801</v>
      </c>
      <c r="J636">
        <v>10.766628722308299</v>
      </c>
      <c r="K636">
        <v>0.14957533497914299</v>
      </c>
      <c r="L636" t="s">
        <v>482</v>
      </c>
      <c r="M636">
        <v>2.00652486073494</v>
      </c>
      <c r="N636">
        <v>41767361</v>
      </c>
      <c r="O636">
        <f>IFERROR(VLOOKUP($A636,Actual!$A:$D,4,FALSE),IFERROR(VLOOKUP($A636,FC!$A:$AD,29,FALSE),"Not Found"))</f>
        <v>0</v>
      </c>
      <c r="P636" s="5" t="str">
        <f>IFERROR(VLOOKUP($A636,Actual!$A:$D,3,FALSE),"0")</f>
        <v>0</v>
      </c>
    </row>
    <row r="637" spans="1:16" x14ac:dyDescent="0.2">
      <c r="A637" t="s">
        <v>718</v>
      </c>
      <c r="B637" t="s">
        <v>478</v>
      </c>
      <c r="C637" t="s">
        <v>10</v>
      </c>
      <c r="D637">
        <v>2500</v>
      </c>
      <c r="E637">
        <v>2.1981462442384601</v>
      </c>
      <c r="F637">
        <v>1.31</v>
      </c>
      <c r="G637">
        <v>0.88814624423846</v>
      </c>
      <c r="H637">
        <v>0.879258497695384</v>
      </c>
      <c r="I637">
        <v>0.54953656105961501</v>
      </c>
      <c r="J637">
        <v>10.4953656105961</v>
      </c>
      <c r="K637">
        <v>0.14957533497914299</v>
      </c>
      <c r="L637" t="s">
        <v>482</v>
      </c>
      <c r="M637">
        <v>1.9121376193047299</v>
      </c>
      <c r="N637">
        <v>41767189</v>
      </c>
      <c r="O637">
        <f>IFERROR(VLOOKUP($A637,Actual!$A:$D,4,FALSE),IFERROR(VLOOKUP($A637,FC!$A:$AD,29,FALSE),"Not Found"))</f>
        <v>0</v>
      </c>
      <c r="P637" s="5" t="str">
        <f>IFERROR(VLOOKUP($A637,Actual!$A:$D,3,FALSE),"0")</f>
        <v>0</v>
      </c>
    </row>
    <row r="638" spans="1:16" x14ac:dyDescent="0.2">
      <c r="A638" t="s">
        <v>719</v>
      </c>
      <c r="B638" t="s">
        <v>487</v>
      </c>
      <c r="C638" t="s">
        <v>5</v>
      </c>
      <c r="D638">
        <v>2500</v>
      </c>
      <c r="E638">
        <v>2.1977459130069898</v>
      </c>
      <c r="F638">
        <v>1.46</v>
      </c>
      <c r="G638">
        <v>0.73774591300699199</v>
      </c>
      <c r="H638">
        <v>0.87909836520279605</v>
      </c>
      <c r="I638">
        <v>0.54943647825174802</v>
      </c>
      <c r="J638">
        <v>10.494364782517399</v>
      </c>
      <c r="K638">
        <v>0.409351506870339</v>
      </c>
      <c r="L638" t="s">
        <v>482</v>
      </c>
      <c r="M638">
        <v>1.5594022515272901</v>
      </c>
      <c r="N638">
        <v>41766793</v>
      </c>
      <c r="O638">
        <f>IFERROR(VLOOKUP($A638,Actual!$A:$D,4,FALSE),IFERROR(VLOOKUP($A638,FC!$A:$AD,29,FALSE),"Not Found"))</f>
        <v>0</v>
      </c>
      <c r="P638" s="5" t="str">
        <f>IFERROR(VLOOKUP($A638,Actual!$A:$D,3,FALSE),"0")</f>
        <v>0</v>
      </c>
    </row>
    <row r="639" spans="1:16" x14ac:dyDescent="0.2">
      <c r="A639" t="s">
        <v>720</v>
      </c>
      <c r="B639" t="s">
        <v>491</v>
      </c>
      <c r="C639" t="s">
        <v>5</v>
      </c>
      <c r="D639">
        <v>2500</v>
      </c>
      <c r="E639">
        <v>2.18750119019241</v>
      </c>
      <c r="F639">
        <v>1.39</v>
      </c>
      <c r="G639">
        <v>0.79750119019241095</v>
      </c>
      <c r="H639">
        <v>0.87500047607696396</v>
      </c>
      <c r="I639">
        <v>0.54687529754810205</v>
      </c>
      <c r="J639">
        <v>10.468752975480999</v>
      </c>
      <c r="K639">
        <v>0.409351506870339</v>
      </c>
      <c r="L639" t="s">
        <v>482</v>
      </c>
      <c r="M639">
        <v>1.5521331474289599</v>
      </c>
      <c r="N639">
        <v>41766649</v>
      </c>
      <c r="O639">
        <f>IFERROR(VLOOKUP($A639,Actual!$A:$D,4,FALSE),IFERROR(VLOOKUP($A639,FC!$A:$AD,29,FALSE),"Not Found"))</f>
        <v>0</v>
      </c>
      <c r="P639" s="5" t="str">
        <f>IFERROR(VLOOKUP($A639,Actual!$A:$D,3,FALSE),"0")</f>
        <v>0</v>
      </c>
    </row>
    <row r="640" spans="1:16" x14ac:dyDescent="0.2">
      <c r="A640" t="s">
        <v>723</v>
      </c>
      <c r="B640" t="s">
        <v>496</v>
      </c>
      <c r="C640" t="s">
        <v>10</v>
      </c>
      <c r="D640">
        <v>2500</v>
      </c>
      <c r="E640">
        <v>1.95907882586231</v>
      </c>
      <c r="F640">
        <v>1.75</v>
      </c>
      <c r="G640">
        <v>0.20907882586231699</v>
      </c>
      <c r="H640">
        <v>0.78363153034492705</v>
      </c>
      <c r="I640">
        <v>0.48976970646557899</v>
      </c>
      <c r="J640">
        <v>9.8976970646557891</v>
      </c>
      <c r="K640">
        <v>0.14957533497914299</v>
      </c>
      <c r="L640" t="s">
        <v>482</v>
      </c>
      <c r="M640">
        <v>1.7041761129102999</v>
      </c>
      <c r="N640">
        <v>41767339</v>
      </c>
      <c r="O640">
        <f>IFERROR(VLOOKUP($A640,Actual!$A:$D,4,FALSE),IFERROR(VLOOKUP($A640,FC!$A:$AD,29,FALSE),"Not Found"))</f>
        <v>0</v>
      </c>
      <c r="P640" s="5" t="str">
        <f>IFERROR(VLOOKUP($A640,Actual!$A:$D,3,FALSE),"0")</f>
        <v>0</v>
      </c>
    </row>
    <row r="641" spans="1:16" x14ac:dyDescent="0.2">
      <c r="A641" t="s">
        <v>724</v>
      </c>
      <c r="B641" t="s">
        <v>501</v>
      </c>
      <c r="C641" t="s">
        <v>10</v>
      </c>
      <c r="D641">
        <v>2500</v>
      </c>
      <c r="E641">
        <v>1.87225070743847</v>
      </c>
      <c r="F641">
        <v>1.4</v>
      </c>
      <c r="G641">
        <v>0.47225070743847902</v>
      </c>
      <c r="H641">
        <v>0.74890028297539102</v>
      </c>
      <c r="I641">
        <v>0.468062676859619</v>
      </c>
      <c r="J641">
        <v>9.6806267685961895</v>
      </c>
      <c r="K641">
        <v>0.14957533497914299</v>
      </c>
      <c r="L641" t="s">
        <v>482</v>
      </c>
      <c r="M641">
        <v>1.6286455097546499</v>
      </c>
      <c r="N641">
        <v>41767449</v>
      </c>
      <c r="O641">
        <f>IFERROR(VLOOKUP($A641,Actual!$A:$D,4,FALSE),IFERROR(VLOOKUP($A641,FC!$A:$AD,29,FALSE),"Not Found"))</f>
        <v>0</v>
      </c>
      <c r="P641" s="5" t="str">
        <f>IFERROR(VLOOKUP($A641,Actual!$A:$D,3,FALSE),"0")</f>
        <v>0</v>
      </c>
    </row>
    <row r="642" spans="1:16" x14ac:dyDescent="0.2">
      <c r="A642" t="s">
        <v>726</v>
      </c>
      <c r="B642" t="s">
        <v>495</v>
      </c>
      <c r="C642" t="s">
        <v>5</v>
      </c>
      <c r="D642">
        <v>2500</v>
      </c>
      <c r="E642">
        <v>1.60977306576862</v>
      </c>
      <c r="F642">
        <v>0.86</v>
      </c>
      <c r="G642">
        <v>0.74977306576862801</v>
      </c>
      <c r="H642">
        <v>0.64390922630745095</v>
      </c>
      <c r="I642">
        <v>0.402443266442157</v>
      </c>
      <c r="J642">
        <v>9.0244326644215693</v>
      </c>
      <c r="K642">
        <v>0.14957533497914299</v>
      </c>
      <c r="L642" t="s">
        <v>482</v>
      </c>
      <c r="M642">
        <v>1.4003197674712</v>
      </c>
      <c r="N642">
        <v>41767277</v>
      </c>
      <c r="O642">
        <f>IFERROR(VLOOKUP($A642,Actual!$A:$D,4,FALSE),IFERROR(VLOOKUP($A642,FC!$A:$AD,29,FALSE),"Not Found"))</f>
        <v>0</v>
      </c>
      <c r="P642" s="5" t="str">
        <f>IFERROR(VLOOKUP($A642,Actual!$A:$D,3,FALSE),"0")</f>
        <v>0</v>
      </c>
    </row>
    <row r="643" spans="1:16" x14ac:dyDescent="0.2">
      <c r="A643" t="s">
        <v>727</v>
      </c>
      <c r="B643" t="s">
        <v>486</v>
      </c>
      <c r="C643" t="s">
        <v>10</v>
      </c>
      <c r="D643">
        <v>2500</v>
      </c>
      <c r="E643">
        <v>1.31241343107576</v>
      </c>
      <c r="F643">
        <v>0.3</v>
      </c>
      <c r="G643">
        <v>1.01241343107576</v>
      </c>
      <c r="H643">
        <v>0.52496537243030705</v>
      </c>
      <c r="I643">
        <v>0.32810335776894201</v>
      </c>
      <c r="J643">
        <v>8.2810335776894206</v>
      </c>
      <c r="K643">
        <v>0.14957533497914299</v>
      </c>
      <c r="L643" t="s">
        <v>482</v>
      </c>
      <c r="M643">
        <v>1.14165065232508</v>
      </c>
      <c r="N643">
        <v>41767475</v>
      </c>
      <c r="O643">
        <f>IFERROR(VLOOKUP($A643,Actual!$A:$D,4,FALSE),IFERROR(VLOOKUP($A643,FC!$A:$AD,29,FALSE),"Not Found"))</f>
        <v>0</v>
      </c>
      <c r="P643" s="5" t="str">
        <f>IFERROR(VLOOKUP($A643,Actual!$A:$D,3,FALSE),"0")</f>
        <v>0</v>
      </c>
    </row>
    <row r="644" spans="1:16" x14ac:dyDescent="0.2">
      <c r="A644" t="s">
        <v>728</v>
      </c>
      <c r="B644" t="s">
        <v>500</v>
      </c>
      <c r="C644" t="s">
        <v>10</v>
      </c>
      <c r="D644">
        <v>2500</v>
      </c>
      <c r="E644">
        <v>1.19816658000207</v>
      </c>
      <c r="F644">
        <v>0.25</v>
      </c>
      <c r="G644">
        <v>0.94816658000207399</v>
      </c>
      <c r="H644">
        <v>0.47926663200082897</v>
      </c>
      <c r="I644">
        <v>0.299541645000518</v>
      </c>
      <c r="J644">
        <v>7.9954164500051803</v>
      </c>
      <c r="K644">
        <v>0.14957533497914299</v>
      </c>
      <c r="L644" t="s">
        <v>482</v>
      </c>
      <c r="M644">
        <v>1.04226886533174</v>
      </c>
      <c r="N644">
        <v>41767261</v>
      </c>
      <c r="O644">
        <f>IFERROR(VLOOKUP($A644,Actual!$A:$D,4,FALSE),IFERROR(VLOOKUP($A644,FC!$A:$AD,29,FALSE),"Not Found"))</f>
        <v>0</v>
      </c>
      <c r="P644" s="5" t="str">
        <f>IFERROR(VLOOKUP($A644,Actual!$A:$D,3,FALSE),"0")</f>
        <v>0</v>
      </c>
    </row>
    <row r="645" spans="1:16" x14ac:dyDescent="0.2">
      <c r="A645" t="s">
        <v>729</v>
      </c>
      <c r="B645" t="s">
        <v>509</v>
      </c>
      <c r="C645" t="s">
        <v>5</v>
      </c>
      <c r="D645">
        <v>2500</v>
      </c>
      <c r="E645">
        <v>0.86931543497544195</v>
      </c>
      <c r="F645">
        <v>0.78</v>
      </c>
      <c r="G645">
        <v>8.9315434975442198E-2</v>
      </c>
      <c r="H645">
        <v>0.34772617399017602</v>
      </c>
      <c r="I645">
        <v>0.21732885874385999</v>
      </c>
      <c r="J645">
        <v>7.1732885874386003</v>
      </c>
      <c r="K645">
        <v>0.409351506870339</v>
      </c>
      <c r="L645" t="s">
        <v>482</v>
      </c>
      <c r="M645">
        <v>0.61681945968602003</v>
      </c>
      <c r="N645">
        <v>41766691</v>
      </c>
      <c r="O645">
        <f>IFERROR(VLOOKUP($A645,Actual!$A:$D,4,FALSE),IFERROR(VLOOKUP($A645,FC!$A:$AD,29,FALSE),"Not Found"))</f>
        <v>0</v>
      </c>
      <c r="P645" s="5" t="str">
        <f>IFERROR(VLOOKUP($A645,Actual!$A:$D,3,FALSE),"0")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0388-B6D4-D24A-B4E6-E7B0CB29E8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6A97-D021-BA4D-B1B5-FDB24E68BE6D}">
  <dimension ref="A1:AD903"/>
  <sheetViews>
    <sheetView topLeftCell="A418" workbookViewId="0">
      <selection activeCell="A454" sqref="A454"/>
    </sheetView>
  </sheetViews>
  <sheetFormatPr baseColWidth="10" defaultRowHeight="16" x14ac:dyDescent="0.2"/>
  <cols>
    <col min="1" max="1" width="23" bestFit="1" customWidth="1"/>
    <col min="2" max="2" width="3.1640625" bestFit="1" customWidth="1"/>
    <col min="3" max="3" width="5.1640625" bestFit="1" customWidth="1"/>
    <col min="4" max="4" width="4" bestFit="1" customWidth="1"/>
    <col min="5" max="5" width="6.1640625" bestFit="1" customWidth="1"/>
    <col min="6" max="6" width="5.5" bestFit="1" customWidth="1"/>
    <col min="7" max="7" width="7.1640625" bestFit="1" customWidth="1"/>
    <col min="8" max="8" width="8.5" bestFit="1" customWidth="1"/>
    <col min="9" max="9" width="4.5" bestFit="1" customWidth="1"/>
    <col min="10" max="10" width="7.1640625" bestFit="1" customWidth="1"/>
    <col min="11" max="11" width="6.83203125" bestFit="1" customWidth="1"/>
    <col min="12" max="12" width="5.1640625" bestFit="1" customWidth="1"/>
    <col min="13" max="13" width="9.33203125" bestFit="1" customWidth="1"/>
    <col min="14" max="14" width="8.33203125" bestFit="1" customWidth="1"/>
    <col min="15" max="15" width="9.1640625" bestFit="1" customWidth="1"/>
    <col min="16" max="16" width="6.83203125" bestFit="1" customWidth="1"/>
    <col min="17" max="17" width="8.1640625" bestFit="1" customWidth="1"/>
    <col min="18" max="18" width="5.1640625" bestFit="1" customWidth="1"/>
    <col min="19" max="19" width="6.1640625" bestFit="1" customWidth="1"/>
    <col min="20" max="20" width="6.83203125" bestFit="1" customWidth="1"/>
    <col min="21" max="22" width="7" bestFit="1" customWidth="1"/>
    <col min="23" max="23" width="4.5" bestFit="1" customWidth="1"/>
    <col min="24" max="24" width="5.1640625" bestFit="1" customWidth="1"/>
    <col min="25" max="25" width="5" bestFit="1" customWidth="1"/>
    <col min="26" max="26" width="5.6640625" bestFit="1" customWidth="1"/>
    <col min="27" max="27" width="6.33203125" bestFit="1" customWidth="1"/>
    <col min="28" max="28" width="8.1640625" bestFit="1" customWidth="1"/>
    <col min="29" max="29" width="5.83203125" bestFit="1" customWidth="1"/>
    <col min="30" max="30" width="5.1640625" bestFit="1" customWidth="1"/>
  </cols>
  <sheetData>
    <row r="1" spans="1:30" x14ac:dyDescent="0.2">
      <c r="A1" t="s">
        <v>0</v>
      </c>
      <c r="B1" t="s">
        <v>733</v>
      </c>
      <c r="C1" t="s">
        <v>734</v>
      </c>
      <c r="D1" t="s">
        <v>735</v>
      </c>
      <c r="E1" t="s">
        <v>736</v>
      </c>
      <c r="F1" t="s">
        <v>737</v>
      </c>
      <c r="G1" t="s">
        <v>738</v>
      </c>
      <c r="H1" t="s">
        <v>739</v>
      </c>
      <c r="I1" t="s">
        <v>740</v>
      </c>
      <c r="J1" t="s">
        <v>741</v>
      </c>
      <c r="K1" t="s">
        <v>742</v>
      </c>
      <c r="L1" t="s">
        <v>743</v>
      </c>
      <c r="M1" t="s">
        <v>744</v>
      </c>
      <c r="N1" t="s">
        <v>745</v>
      </c>
      <c r="O1" t="s">
        <v>746</v>
      </c>
      <c r="P1" t="s">
        <v>747</v>
      </c>
      <c r="Q1" t="s">
        <v>748</v>
      </c>
      <c r="R1" t="s">
        <v>749</v>
      </c>
      <c r="S1" t="s">
        <v>750</v>
      </c>
      <c r="T1" t="s">
        <v>751</v>
      </c>
      <c r="U1" t="s">
        <v>752</v>
      </c>
      <c r="V1" t="s">
        <v>753</v>
      </c>
      <c r="W1" t="s">
        <v>754</v>
      </c>
      <c r="X1" t="s">
        <v>755</v>
      </c>
      <c r="Y1" t="s">
        <v>756</v>
      </c>
      <c r="Z1" t="s">
        <v>757</v>
      </c>
      <c r="AA1" t="s">
        <v>758</v>
      </c>
      <c r="AB1" t="s">
        <v>732</v>
      </c>
      <c r="AC1" t="s">
        <v>759</v>
      </c>
      <c r="AD1" t="s">
        <v>760</v>
      </c>
    </row>
    <row r="2" spans="1:30" x14ac:dyDescent="0.2">
      <c r="A2" t="s">
        <v>814</v>
      </c>
      <c r="C2">
        <v>0</v>
      </c>
      <c r="D2" t="s">
        <v>10</v>
      </c>
      <c r="E2">
        <v>2500</v>
      </c>
      <c r="F2" t="s">
        <v>493</v>
      </c>
      <c r="G2" t="s">
        <v>789</v>
      </c>
      <c r="H2" s="2">
        <v>0.83333333333333337</v>
      </c>
      <c r="I2" t="s">
        <v>762</v>
      </c>
      <c r="J2" s="1">
        <v>0.48699999999999999</v>
      </c>
      <c r="K2">
        <v>-95</v>
      </c>
      <c r="L2">
        <v>5.5</v>
      </c>
      <c r="M2">
        <v>2.75</v>
      </c>
      <c r="N2">
        <v>2.54</v>
      </c>
      <c r="O2">
        <v>4</v>
      </c>
      <c r="Q2" s="3">
        <v>0.47638888888888886</v>
      </c>
      <c r="R2">
        <v>4.9000000000000004</v>
      </c>
      <c r="S2">
        <v>5.84</v>
      </c>
      <c r="T2">
        <v>16.88</v>
      </c>
      <c r="U2">
        <v>5.2</v>
      </c>
      <c r="V2">
        <v>5.2</v>
      </c>
      <c r="W2">
        <v>100</v>
      </c>
      <c r="Y2">
        <v>40</v>
      </c>
      <c r="Z2">
        <v>2.1</v>
      </c>
      <c r="AA2">
        <v>0</v>
      </c>
      <c r="AB2" s="3">
        <v>0.31041666666666667</v>
      </c>
      <c r="AC2">
        <v>11.5</v>
      </c>
      <c r="AD2">
        <v>4.5999999999999996</v>
      </c>
    </row>
    <row r="3" spans="1:30" x14ac:dyDescent="0.2">
      <c r="A3" t="s">
        <v>249</v>
      </c>
      <c r="C3">
        <v>0</v>
      </c>
      <c r="D3" t="s">
        <v>17</v>
      </c>
      <c r="E3">
        <v>3900</v>
      </c>
      <c r="F3" t="s">
        <v>493</v>
      </c>
      <c r="G3" t="s">
        <v>789</v>
      </c>
      <c r="H3" s="2">
        <v>0.83333333333333337</v>
      </c>
      <c r="I3" t="s">
        <v>762</v>
      </c>
      <c r="J3" s="1">
        <v>0.48699999999999999</v>
      </c>
      <c r="K3">
        <v>-95</v>
      </c>
      <c r="L3">
        <v>5.5</v>
      </c>
      <c r="M3">
        <v>2.75</v>
      </c>
      <c r="N3">
        <v>2.54</v>
      </c>
      <c r="O3">
        <v>1</v>
      </c>
      <c r="Q3" s="3">
        <v>0.92777777777777781</v>
      </c>
      <c r="R3">
        <v>7.3</v>
      </c>
      <c r="S3">
        <v>5.29</v>
      </c>
      <c r="T3">
        <v>18.84</v>
      </c>
      <c r="U3">
        <v>8.26</v>
      </c>
      <c r="V3">
        <v>8.26</v>
      </c>
      <c r="W3">
        <v>100</v>
      </c>
      <c r="Y3">
        <v>64</v>
      </c>
      <c r="Z3">
        <v>2.1</v>
      </c>
      <c r="AA3">
        <v>0</v>
      </c>
      <c r="AB3" s="3">
        <v>0.96527777777777779</v>
      </c>
      <c r="AC3">
        <v>1.3</v>
      </c>
      <c r="AD3">
        <v>0.3</v>
      </c>
    </row>
    <row r="4" spans="1:30" x14ac:dyDescent="0.2">
      <c r="A4" t="s">
        <v>398</v>
      </c>
      <c r="C4">
        <v>0</v>
      </c>
      <c r="D4" t="s">
        <v>5</v>
      </c>
      <c r="E4">
        <v>2600</v>
      </c>
      <c r="F4" t="s">
        <v>510</v>
      </c>
      <c r="G4" t="s">
        <v>802</v>
      </c>
      <c r="H4" s="2">
        <v>0.91666666666666663</v>
      </c>
      <c r="I4" t="s">
        <v>766</v>
      </c>
      <c r="J4" s="1">
        <v>0.51200000000000001</v>
      </c>
      <c r="K4">
        <v>95.5</v>
      </c>
      <c r="L4">
        <v>6.5</v>
      </c>
      <c r="M4">
        <v>3.01</v>
      </c>
      <c r="N4">
        <v>3.25</v>
      </c>
      <c r="O4">
        <v>3</v>
      </c>
      <c r="Q4" s="3">
        <v>0.50624999999999998</v>
      </c>
      <c r="R4">
        <v>3.8</v>
      </c>
      <c r="S4">
        <v>5.1100000000000003</v>
      </c>
      <c r="T4">
        <v>14.45</v>
      </c>
      <c r="U4">
        <v>4.2300000000000004</v>
      </c>
      <c r="V4">
        <v>4.2300000000000004</v>
      </c>
      <c r="W4">
        <v>100</v>
      </c>
      <c r="Y4">
        <v>33</v>
      </c>
      <c r="Z4">
        <v>1.6</v>
      </c>
      <c r="AA4">
        <v>0</v>
      </c>
      <c r="AB4" s="3">
        <v>0.53749999999999998</v>
      </c>
      <c r="AC4">
        <v>0</v>
      </c>
    </row>
    <row r="5" spans="1:30" x14ac:dyDescent="0.2">
      <c r="A5" t="s">
        <v>667</v>
      </c>
      <c r="C5">
        <v>0</v>
      </c>
      <c r="D5" t="s">
        <v>17</v>
      </c>
      <c r="E5">
        <v>2500</v>
      </c>
      <c r="F5" t="s">
        <v>494</v>
      </c>
      <c r="G5" t="s">
        <v>782</v>
      </c>
      <c r="H5" s="2">
        <v>0.79166666666666663</v>
      </c>
      <c r="I5" t="s">
        <v>762</v>
      </c>
      <c r="J5" s="1">
        <v>0.47199999999999998</v>
      </c>
      <c r="K5">
        <v>-89.5</v>
      </c>
      <c r="L5">
        <v>6</v>
      </c>
      <c r="M5">
        <v>3</v>
      </c>
      <c r="N5">
        <v>2.82</v>
      </c>
      <c r="Q5" s="3">
        <v>0.53472222222222221</v>
      </c>
      <c r="R5">
        <v>2.2999999999999998</v>
      </c>
      <c r="S5">
        <v>2.77</v>
      </c>
      <c r="T5">
        <v>0</v>
      </c>
      <c r="U5">
        <v>0</v>
      </c>
      <c r="V5">
        <v>0</v>
      </c>
      <c r="W5">
        <v>100</v>
      </c>
      <c r="Y5">
        <v>40</v>
      </c>
      <c r="Z5">
        <v>0</v>
      </c>
      <c r="AA5">
        <v>0</v>
      </c>
    </row>
    <row r="6" spans="1:30" x14ac:dyDescent="0.2">
      <c r="A6" t="s">
        <v>958</v>
      </c>
      <c r="C6">
        <v>0</v>
      </c>
      <c r="D6" t="s">
        <v>5</v>
      </c>
      <c r="E6">
        <v>2500</v>
      </c>
      <c r="F6" t="s">
        <v>501</v>
      </c>
      <c r="G6" t="s">
        <v>783</v>
      </c>
      <c r="H6" s="2">
        <v>0.79166666666666663</v>
      </c>
      <c r="I6" t="s">
        <v>766</v>
      </c>
      <c r="J6" s="1">
        <v>0.52800000000000002</v>
      </c>
      <c r="K6">
        <v>89.5</v>
      </c>
      <c r="L6">
        <v>6</v>
      </c>
      <c r="M6">
        <v>2.82</v>
      </c>
      <c r="N6">
        <v>3</v>
      </c>
      <c r="Q6" s="3">
        <v>0.40347222222222223</v>
      </c>
      <c r="R6">
        <v>3.6</v>
      </c>
      <c r="S6">
        <v>3.99</v>
      </c>
      <c r="T6">
        <v>0</v>
      </c>
      <c r="U6">
        <v>0</v>
      </c>
      <c r="V6">
        <v>0</v>
      </c>
      <c r="W6">
        <v>100</v>
      </c>
      <c r="Y6">
        <v>45</v>
      </c>
      <c r="Z6">
        <v>0</v>
      </c>
      <c r="AA6">
        <v>0</v>
      </c>
    </row>
    <row r="7" spans="1:30" x14ac:dyDescent="0.2">
      <c r="A7" t="s">
        <v>669</v>
      </c>
      <c r="C7">
        <v>0</v>
      </c>
      <c r="D7" t="s">
        <v>17</v>
      </c>
      <c r="E7">
        <v>2500</v>
      </c>
      <c r="F7" t="s">
        <v>497</v>
      </c>
      <c r="G7" t="s">
        <v>784</v>
      </c>
      <c r="H7" s="2">
        <v>0.79166666666666663</v>
      </c>
      <c r="I7" t="s">
        <v>766</v>
      </c>
      <c r="J7" s="1">
        <v>0.55100000000000005</v>
      </c>
      <c r="K7">
        <v>81.5</v>
      </c>
      <c r="L7">
        <v>6.5</v>
      </c>
      <c r="M7">
        <v>3.17</v>
      </c>
      <c r="N7">
        <v>3.25</v>
      </c>
      <c r="Q7" s="3">
        <v>0.54097222222222219</v>
      </c>
      <c r="R7">
        <v>1.9</v>
      </c>
      <c r="S7">
        <v>1.96</v>
      </c>
      <c r="T7">
        <v>0</v>
      </c>
      <c r="U7">
        <v>0</v>
      </c>
      <c r="V7">
        <v>0</v>
      </c>
      <c r="W7">
        <v>100</v>
      </c>
      <c r="Y7">
        <v>48</v>
      </c>
      <c r="Z7">
        <v>0</v>
      </c>
      <c r="AA7">
        <v>0</v>
      </c>
    </row>
    <row r="8" spans="1:30" x14ac:dyDescent="0.2">
      <c r="A8" t="s">
        <v>660</v>
      </c>
      <c r="C8">
        <v>0</v>
      </c>
      <c r="D8" t="s">
        <v>10</v>
      </c>
      <c r="E8">
        <v>2500</v>
      </c>
      <c r="F8" t="s">
        <v>488</v>
      </c>
      <c r="G8" t="s">
        <v>781</v>
      </c>
      <c r="H8" s="2">
        <v>0.91666666666666663</v>
      </c>
      <c r="I8" t="s">
        <v>766</v>
      </c>
      <c r="J8" s="1">
        <v>0.53500000000000003</v>
      </c>
      <c r="K8">
        <v>87</v>
      </c>
      <c r="L8">
        <v>6</v>
      </c>
      <c r="M8">
        <v>3</v>
      </c>
      <c r="N8">
        <v>3.14</v>
      </c>
      <c r="O8">
        <v>4</v>
      </c>
      <c r="Q8" s="3">
        <v>0.39305555555555555</v>
      </c>
      <c r="R8">
        <v>3.8</v>
      </c>
      <c r="S8">
        <v>4.24</v>
      </c>
      <c r="T8">
        <v>12.98</v>
      </c>
      <c r="U8">
        <v>4.5</v>
      </c>
      <c r="V8">
        <v>4.5</v>
      </c>
      <c r="W8">
        <v>100</v>
      </c>
      <c r="Y8">
        <v>44</v>
      </c>
      <c r="Z8">
        <v>1.8</v>
      </c>
      <c r="AA8">
        <v>0</v>
      </c>
      <c r="AB8" s="3">
        <v>0.4465277777777778</v>
      </c>
      <c r="AC8">
        <v>0</v>
      </c>
    </row>
    <row r="9" spans="1:30" x14ac:dyDescent="0.2">
      <c r="A9" t="s">
        <v>863</v>
      </c>
      <c r="C9">
        <v>0</v>
      </c>
      <c r="D9" t="s">
        <v>17</v>
      </c>
      <c r="E9">
        <v>6400</v>
      </c>
      <c r="F9" t="s">
        <v>501</v>
      </c>
      <c r="G9" t="s">
        <v>783</v>
      </c>
      <c r="H9" s="2">
        <v>0.79166666666666663</v>
      </c>
      <c r="I9" t="s">
        <v>766</v>
      </c>
      <c r="J9" s="1">
        <v>0.52800000000000002</v>
      </c>
      <c r="K9">
        <v>89.5</v>
      </c>
      <c r="L9">
        <v>6</v>
      </c>
      <c r="M9">
        <v>2.82</v>
      </c>
      <c r="N9">
        <v>3</v>
      </c>
      <c r="Q9" s="3">
        <v>0.9770833333333333</v>
      </c>
      <c r="R9">
        <v>11</v>
      </c>
      <c r="S9">
        <v>6.33</v>
      </c>
      <c r="T9">
        <v>0</v>
      </c>
      <c r="U9">
        <v>0</v>
      </c>
      <c r="V9">
        <v>0</v>
      </c>
      <c r="W9">
        <v>100</v>
      </c>
      <c r="Y9">
        <v>71</v>
      </c>
      <c r="Z9">
        <v>0</v>
      </c>
      <c r="AA9">
        <v>0</v>
      </c>
    </row>
    <row r="10" spans="1:30" x14ac:dyDescent="0.2">
      <c r="A10" t="s">
        <v>447</v>
      </c>
      <c r="C10">
        <v>0</v>
      </c>
      <c r="D10" t="s">
        <v>10</v>
      </c>
      <c r="E10">
        <v>2900</v>
      </c>
      <c r="F10" t="s">
        <v>764</v>
      </c>
      <c r="G10" t="s">
        <v>765</v>
      </c>
      <c r="H10" s="2">
        <v>0.875</v>
      </c>
      <c r="I10" t="s">
        <v>766</v>
      </c>
      <c r="J10" s="1">
        <v>0.47099999999999997</v>
      </c>
      <c r="K10">
        <v>112.5</v>
      </c>
      <c r="L10">
        <v>7</v>
      </c>
      <c r="M10">
        <v>3.5</v>
      </c>
      <c r="N10">
        <v>4.05</v>
      </c>
      <c r="O10">
        <v>3</v>
      </c>
      <c r="Q10" s="3">
        <v>0.49930555555555556</v>
      </c>
      <c r="R10">
        <v>6.2</v>
      </c>
      <c r="S10">
        <v>5.9</v>
      </c>
      <c r="T10">
        <v>20.39</v>
      </c>
      <c r="U10">
        <v>8.59</v>
      </c>
      <c r="V10">
        <v>8.59</v>
      </c>
      <c r="W10">
        <v>100</v>
      </c>
      <c r="Y10">
        <v>52</v>
      </c>
      <c r="Z10">
        <v>3</v>
      </c>
      <c r="AA10">
        <v>0</v>
      </c>
      <c r="AB10" s="3">
        <v>0.51388888888888884</v>
      </c>
      <c r="AC10">
        <v>10</v>
      </c>
      <c r="AD10">
        <v>3.4</v>
      </c>
    </row>
    <row r="11" spans="1:30" x14ac:dyDescent="0.2">
      <c r="A11" t="s">
        <v>688</v>
      </c>
      <c r="C11">
        <v>0</v>
      </c>
      <c r="D11" t="s">
        <v>17</v>
      </c>
      <c r="E11">
        <v>2500</v>
      </c>
      <c r="F11" t="s">
        <v>509</v>
      </c>
      <c r="G11" t="s">
        <v>791</v>
      </c>
      <c r="H11" s="2">
        <v>0.79166666666666663</v>
      </c>
      <c r="I11" t="s">
        <v>766</v>
      </c>
      <c r="J11" s="1">
        <v>0.51900000000000002</v>
      </c>
      <c r="K11">
        <v>92.5</v>
      </c>
      <c r="L11">
        <v>6.5</v>
      </c>
      <c r="M11">
        <v>3.25</v>
      </c>
      <c r="N11">
        <v>3.62</v>
      </c>
      <c r="Q11" s="3">
        <v>0.64097222222222228</v>
      </c>
      <c r="R11">
        <v>2.6</v>
      </c>
      <c r="S11">
        <v>1.67</v>
      </c>
      <c r="T11">
        <v>0</v>
      </c>
      <c r="U11">
        <v>0</v>
      </c>
      <c r="V11">
        <v>0</v>
      </c>
      <c r="W11">
        <v>100</v>
      </c>
      <c r="Y11">
        <v>68</v>
      </c>
      <c r="Z11">
        <v>0</v>
      </c>
      <c r="AA11">
        <v>0</v>
      </c>
    </row>
    <row r="12" spans="1:30" x14ac:dyDescent="0.2">
      <c r="A12" t="s">
        <v>902</v>
      </c>
      <c r="C12">
        <v>0</v>
      </c>
      <c r="D12" t="s">
        <v>5</v>
      </c>
      <c r="E12">
        <v>2800</v>
      </c>
      <c r="F12" t="s">
        <v>480</v>
      </c>
      <c r="G12" t="s">
        <v>761</v>
      </c>
      <c r="H12" s="2">
        <v>0.875</v>
      </c>
      <c r="I12" t="s">
        <v>762</v>
      </c>
      <c r="J12" s="1">
        <v>0.52900000000000003</v>
      </c>
      <c r="K12">
        <v>-112.5</v>
      </c>
      <c r="L12">
        <v>7</v>
      </c>
      <c r="M12">
        <v>4.05</v>
      </c>
      <c r="N12">
        <v>3.5</v>
      </c>
      <c r="Q12" s="3">
        <v>0.57708333333333328</v>
      </c>
      <c r="R12">
        <v>5.8</v>
      </c>
      <c r="S12">
        <v>5.33</v>
      </c>
      <c r="T12">
        <v>0</v>
      </c>
      <c r="U12">
        <v>0</v>
      </c>
      <c r="V12">
        <v>0</v>
      </c>
      <c r="W12">
        <v>100</v>
      </c>
      <c r="Y12">
        <v>54</v>
      </c>
      <c r="Z12">
        <v>0</v>
      </c>
      <c r="AA12">
        <v>0</v>
      </c>
    </row>
    <row r="13" spans="1:30" x14ac:dyDescent="0.2">
      <c r="A13" t="s">
        <v>601</v>
      </c>
      <c r="C13">
        <v>0</v>
      </c>
      <c r="D13" t="s">
        <v>10</v>
      </c>
      <c r="E13">
        <v>2700</v>
      </c>
      <c r="F13" t="s">
        <v>502</v>
      </c>
      <c r="G13" t="s">
        <v>798</v>
      </c>
      <c r="H13" s="2">
        <v>0.83333333333333337</v>
      </c>
      <c r="I13" t="s">
        <v>766</v>
      </c>
      <c r="J13" s="1">
        <v>0.48699999999999999</v>
      </c>
      <c r="K13">
        <v>105.5</v>
      </c>
      <c r="L13">
        <v>6</v>
      </c>
      <c r="M13">
        <v>3</v>
      </c>
      <c r="N13">
        <v>3.46</v>
      </c>
      <c r="O13">
        <v>4</v>
      </c>
      <c r="Q13" s="3">
        <v>0.44166666666666665</v>
      </c>
      <c r="R13">
        <v>4</v>
      </c>
      <c r="S13">
        <v>4.1500000000000004</v>
      </c>
      <c r="T13">
        <v>12.45</v>
      </c>
      <c r="U13">
        <v>4.1500000000000004</v>
      </c>
      <c r="V13">
        <v>4.1500000000000004</v>
      </c>
      <c r="W13">
        <v>100</v>
      </c>
      <c r="Y13">
        <v>48</v>
      </c>
      <c r="Z13">
        <v>1.5</v>
      </c>
      <c r="AA13">
        <v>0</v>
      </c>
      <c r="AB13" s="3">
        <v>0.38680555555555557</v>
      </c>
      <c r="AC13">
        <v>1.5</v>
      </c>
      <c r="AD13">
        <v>0.6</v>
      </c>
    </row>
    <row r="14" spans="1:30" x14ac:dyDescent="0.2">
      <c r="A14" t="s">
        <v>159</v>
      </c>
      <c r="C14">
        <v>0</v>
      </c>
      <c r="D14" t="s">
        <v>17</v>
      </c>
      <c r="E14">
        <v>3200</v>
      </c>
      <c r="F14" t="s">
        <v>505</v>
      </c>
      <c r="G14" t="s">
        <v>793</v>
      </c>
      <c r="H14" s="2">
        <v>0.91666666666666663</v>
      </c>
      <c r="I14" t="s">
        <v>762</v>
      </c>
      <c r="J14" s="1">
        <v>0.41499999999999998</v>
      </c>
      <c r="K14">
        <v>-71</v>
      </c>
      <c r="L14">
        <v>6</v>
      </c>
      <c r="M14">
        <v>3.02</v>
      </c>
      <c r="N14">
        <v>3</v>
      </c>
      <c r="O14">
        <v>1</v>
      </c>
      <c r="Q14" s="3">
        <v>0.90486111111111112</v>
      </c>
      <c r="R14">
        <v>7</v>
      </c>
      <c r="S14">
        <v>4.9000000000000004</v>
      </c>
      <c r="T14">
        <v>18.12</v>
      </c>
      <c r="U14">
        <v>8.32</v>
      </c>
      <c r="V14">
        <v>8.32</v>
      </c>
      <c r="W14">
        <v>100</v>
      </c>
      <c r="Y14">
        <v>65</v>
      </c>
      <c r="Z14">
        <v>2.6</v>
      </c>
      <c r="AA14">
        <v>0</v>
      </c>
      <c r="AB14" s="3">
        <v>0.7729166666666667</v>
      </c>
      <c r="AC14">
        <v>6.5</v>
      </c>
      <c r="AD14">
        <v>2</v>
      </c>
    </row>
    <row r="15" spans="1:30" x14ac:dyDescent="0.2">
      <c r="A15" t="s">
        <v>462</v>
      </c>
      <c r="C15">
        <v>0</v>
      </c>
      <c r="D15" t="s">
        <v>5</v>
      </c>
      <c r="E15">
        <v>2500</v>
      </c>
      <c r="F15" t="s">
        <v>496</v>
      </c>
      <c r="G15" t="s">
        <v>787</v>
      </c>
      <c r="H15" s="2">
        <v>0.79166666666666663</v>
      </c>
      <c r="I15" t="s">
        <v>766</v>
      </c>
      <c r="J15" s="1">
        <v>0.48199999999999998</v>
      </c>
      <c r="K15">
        <v>107.5</v>
      </c>
      <c r="L15">
        <v>5.5</v>
      </c>
      <c r="M15">
        <v>2.75</v>
      </c>
      <c r="N15">
        <v>3.2</v>
      </c>
      <c r="O15">
        <v>3</v>
      </c>
      <c r="Q15" s="3">
        <v>0.60069444444444442</v>
      </c>
      <c r="R15">
        <v>4.4000000000000004</v>
      </c>
      <c r="S15">
        <v>4.43</v>
      </c>
      <c r="T15">
        <v>12.86</v>
      </c>
      <c r="U15">
        <v>4</v>
      </c>
      <c r="V15">
        <v>4</v>
      </c>
      <c r="W15">
        <v>100</v>
      </c>
      <c r="Y15">
        <v>50</v>
      </c>
      <c r="Z15">
        <v>1.6</v>
      </c>
      <c r="AA15">
        <v>0</v>
      </c>
      <c r="AB15" s="3">
        <v>0.60069444444444442</v>
      </c>
      <c r="AC15">
        <v>5.8</v>
      </c>
      <c r="AD15">
        <v>2.2999999999999998</v>
      </c>
    </row>
    <row r="16" spans="1:30" x14ac:dyDescent="0.2">
      <c r="A16" t="s">
        <v>357</v>
      </c>
      <c r="C16">
        <v>0</v>
      </c>
      <c r="D16" t="s">
        <v>17</v>
      </c>
      <c r="E16">
        <v>3300</v>
      </c>
      <c r="F16" t="s">
        <v>494</v>
      </c>
      <c r="G16" t="s">
        <v>782</v>
      </c>
      <c r="H16" s="2">
        <v>0.79166666666666663</v>
      </c>
      <c r="I16" t="s">
        <v>762</v>
      </c>
      <c r="J16" s="1">
        <v>0.47199999999999998</v>
      </c>
      <c r="K16">
        <v>-89.5</v>
      </c>
      <c r="L16">
        <v>6</v>
      </c>
      <c r="M16">
        <v>3</v>
      </c>
      <c r="N16">
        <v>2.82</v>
      </c>
      <c r="O16">
        <v>2</v>
      </c>
      <c r="Q16" s="3">
        <v>0.86319444444444449</v>
      </c>
      <c r="R16">
        <v>6.5</v>
      </c>
      <c r="S16">
        <v>3.92</v>
      </c>
      <c r="T16">
        <v>15.99</v>
      </c>
      <c r="U16">
        <v>8.15</v>
      </c>
      <c r="V16">
        <v>8.15</v>
      </c>
      <c r="W16">
        <v>100</v>
      </c>
      <c r="Y16">
        <v>70</v>
      </c>
      <c r="Z16">
        <v>2.5</v>
      </c>
      <c r="AA16">
        <v>0</v>
      </c>
      <c r="AB16" s="3">
        <v>0.8881944444444444</v>
      </c>
      <c r="AC16">
        <v>9.5</v>
      </c>
      <c r="AD16">
        <v>2.9</v>
      </c>
    </row>
    <row r="17" spans="1:30" x14ac:dyDescent="0.2">
      <c r="A17" t="s">
        <v>558</v>
      </c>
      <c r="C17">
        <v>0</v>
      </c>
      <c r="D17" t="s">
        <v>17</v>
      </c>
      <c r="E17">
        <v>2500</v>
      </c>
      <c r="F17" t="s">
        <v>506</v>
      </c>
      <c r="G17" t="s">
        <v>786</v>
      </c>
      <c r="H17" s="2">
        <v>0.79166666666666663</v>
      </c>
      <c r="I17" t="s">
        <v>766</v>
      </c>
      <c r="J17" s="1">
        <v>0.53600000000000003</v>
      </c>
      <c r="K17">
        <v>86.5</v>
      </c>
      <c r="L17">
        <v>6</v>
      </c>
      <c r="M17">
        <v>3</v>
      </c>
      <c r="N17">
        <v>3.19</v>
      </c>
      <c r="O17">
        <v>2</v>
      </c>
      <c r="Q17" s="3">
        <v>0.7104166666666667</v>
      </c>
      <c r="R17">
        <v>3.8</v>
      </c>
      <c r="S17">
        <v>3.66</v>
      </c>
      <c r="T17">
        <v>11.9</v>
      </c>
      <c r="U17">
        <v>4.58</v>
      </c>
      <c r="V17">
        <v>4.58</v>
      </c>
      <c r="W17">
        <v>100</v>
      </c>
      <c r="Y17">
        <v>52</v>
      </c>
      <c r="Z17">
        <v>1.8</v>
      </c>
      <c r="AA17">
        <v>0</v>
      </c>
      <c r="AB17" s="3">
        <v>0.66874999999999996</v>
      </c>
      <c r="AC17">
        <v>9.3000000000000007</v>
      </c>
      <c r="AD17">
        <v>3.7</v>
      </c>
    </row>
    <row r="18" spans="1:30" x14ac:dyDescent="0.2">
      <c r="A18" t="s">
        <v>389</v>
      </c>
      <c r="C18">
        <v>0</v>
      </c>
      <c r="D18" t="s">
        <v>7</v>
      </c>
      <c r="E18">
        <v>8000</v>
      </c>
      <c r="F18" t="s">
        <v>483</v>
      </c>
      <c r="G18" t="s">
        <v>772</v>
      </c>
      <c r="H18" s="2">
        <v>0.91666666666666663</v>
      </c>
      <c r="I18" t="s">
        <v>762</v>
      </c>
      <c r="J18" s="1">
        <v>0.46500000000000002</v>
      </c>
      <c r="K18">
        <v>-87</v>
      </c>
      <c r="L18">
        <v>6</v>
      </c>
      <c r="M18">
        <v>3.14</v>
      </c>
      <c r="N18">
        <v>3</v>
      </c>
      <c r="O18" t="s">
        <v>780</v>
      </c>
      <c r="Q18" s="4">
        <v>2.1590277777777778</v>
      </c>
      <c r="R18">
        <v>4.4000000000000004</v>
      </c>
      <c r="S18">
        <v>7.27</v>
      </c>
      <c r="T18">
        <v>22.05</v>
      </c>
      <c r="U18">
        <v>7.51</v>
      </c>
      <c r="V18">
        <v>7.51</v>
      </c>
      <c r="W18">
        <v>100</v>
      </c>
      <c r="Y18">
        <v>17</v>
      </c>
      <c r="Z18">
        <v>0.9</v>
      </c>
      <c r="AA18">
        <v>0</v>
      </c>
      <c r="AB18" s="4">
        <v>2.6701388888888888</v>
      </c>
      <c r="AC18">
        <v>4.0999999999999996</v>
      </c>
      <c r="AD18">
        <v>0.5</v>
      </c>
    </row>
    <row r="19" spans="1:30" x14ac:dyDescent="0.2">
      <c r="A19" t="s">
        <v>295</v>
      </c>
      <c r="C19">
        <v>0</v>
      </c>
      <c r="D19" t="s">
        <v>10</v>
      </c>
      <c r="E19">
        <v>6000</v>
      </c>
      <c r="F19" t="s">
        <v>794</v>
      </c>
      <c r="G19" t="s">
        <v>795</v>
      </c>
      <c r="H19" s="2">
        <v>0.79166666666666663</v>
      </c>
      <c r="I19" t="s">
        <v>766</v>
      </c>
      <c r="J19" s="1">
        <v>0.56499999999999995</v>
      </c>
      <c r="K19">
        <v>77</v>
      </c>
      <c r="L19">
        <v>5.5</v>
      </c>
      <c r="M19">
        <v>2.75</v>
      </c>
      <c r="N19">
        <v>2.87</v>
      </c>
      <c r="O19">
        <v>1</v>
      </c>
      <c r="P19">
        <v>1</v>
      </c>
      <c r="Q19" s="3">
        <v>0.8</v>
      </c>
      <c r="R19">
        <v>10.3</v>
      </c>
      <c r="S19">
        <v>6.35</v>
      </c>
      <c r="T19">
        <v>22.18</v>
      </c>
      <c r="U19">
        <v>9.48</v>
      </c>
      <c r="V19">
        <v>9.48</v>
      </c>
      <c r="W19">
        <v>100</v>
      </c>
      <c r="Y19">
        <v>69</v>
      </c>
      <c r="Z19">
        <v>1.6</v>
      </c>
      <c r="AA19">
        <v>0</v>
      </c>
      <c r="AB19" s="3">
        <v>0.7006944444444444</v>
      </c>
      <c r="AC19">
        <v>14.5</v>
      </c>
      <c r="AD19">
        <v>2.4</v>
      </c>
    </row>
    <row r="20" spans="1:30" x14ac:dyDescent="0.2">
      <c r="A20" t="s">
        <v>829</v>
      </c>
      <c r="C20">
        <v>0</v>
      </c>
      <c r="D20" t="s">
        <v>7</v>
      </c>
      <c r="E20">
        <v>8000</v>
      </c>
      <c r="F20" t="s">
        <v>483</v>
      </c>
      <c r="G20" t="s">
        <v>772</v>
      </c>
      <c r="H20" s="2">
        <v>0.91666666666666663</v>
      </c>
      <c r="I20" t="s">
        <v>762</v>
      </c>
      <c r="J20" s="1">
        <v>0.46500000000000002</v>
      </c>
      <c r="K20">
        <v>-87</v>
      </c>
      <c r="L20">
        <v>6</v>
      </c>
      <c r="M20">
        <v>3.14</v>
      </c>
      <c r="N20">
        <v>3</v>
      </c>
      <c r="O20" t="s">
        <v>818</v>
      </c>
      <c r="Q20" s="4">
        <v>2.4208333333333334</v>
      </c>
      <c r="R20">
        <v>10.7</v>
      </c>
      <c r="S20">
        <v>8.2100000000000009</v>
      </c>
      <c r="T20">
        <v>0</v>
      </c>
      <c r="U20">
        <v>0</v>
      </c>
      <c r="V20">
        <v>0</v>
      </c>
      <c r="W20">
        <v>100</v>
      </c>
      <c r="Y20">
        <v>62</v>
      </c>
      <c r="Z20">
        <v>0</v>
      </c>
      <c r="AA20">
        <v>0</v>
      </c>
      <c r="AB20" s="3">
        <v>0</v>
      </c>
      <c r="AC20">
        <v>2</v>
      </c>
      <c r="AD20">
        <v>0.3</v>
      </c>
    </row>
    <row r="21" spans="1:30" x14ac:dyDescent="0.2">
      <c r="A21" t="s">
        <v>611</v>
      </c>
      <c r="C21">
        <v>0</v>
      </c>
      <c r="D21" t="s">
        <v>17</v>
      </c>
      <c r="E21">
        <v>2500</v>
      </c>
      <c r="F21" t="s">
        <v>492</v>
      </c>
      <c r="G21" t="s">
        <v>774</v>
      </c>
      <c r="H21" s="2">
        <v>0.8125</v>
      </c>
      <c r="I21" t="s">
        <v>762</v>
      </c>
      <c r="J21" s="1">
        <v>0.44</v>
      </c>
      <c r="K21">
        <v>-78.5</v>
      </c>
      <c r="L21">
        <v>6.5</v>
      </c>
      <c r="M21">
        <v>3.43</v>
      </c>
      <c r="N21">
        <v>3.25</v>
      </c>
      <c r="O21">
        <v>3</v>
      </c>
      <c r="Q21" s="3">
        <v>0.66180555555555554</v>
      </c>
      <c r="R21">
        <v>4.3</v>
      </c>
      <c r="S21">
        <v>4.0199999999999996</v>
      </c>
      <c r="T21">
        <v>13.56</v>
      </c>
      <c r="U21">
        <v>5.52</v>
      </c>
      <c r="V21">
        <v>5.52</v>
      </c>
      <c r="W21">
        <v>100</v>
      </c>
      <c r="Y21">
        <v>53</v>
      </c>
      <c r="Z21">
        <v>2.2000000000000002</v>
      </c>
      <c r="AA21">
        <v>0</v>
      </c>
      <c r="AB21" s="3">
        <v>0.80277777777777781</v>
      </c>
      <c r="AC21">
        <v>2.6</v>
      </c>
      <c r="AD21">
        <v>1</v>
      </c>
    </row>
    <row r="22" spans="1:30" x14ac:dyDescent="0.2">
      <c r="A22" t="s">
        <v>636</v>
      </c>
      <c r="C22">
        <v>0</v>
      </c>
      <c r="D22" t="s">
        <v>17</v>
      </c>
      <c r="E22">
        <v>2500</v>
      </c>
      <c r="F22" t="s">
        <v>480</v>
      </c>
      <c r="G22" t="s">
        <v>761</v>
      </c>
      <c r="H22" s="2">
        <v>0.875</v>
      </c>
      <c r="I22" t="s">
        <v>762</v>
      </c>
      <c r="J22" s="1">
        <v>0.52900000000000003</v>
      </c>
      <c r="K22">
        <v>-112.5</v>
      </c>
      <c r="L22">
        <v>7</v>
      </c>
      <c r="M22">
        <v>4.05</v>
      </c>
      <c r="N22">
        <v>3.5</v>
      </c>
      <c r="Q22" s="3">
        <v>0.60902777777777772</v>
      </c>
      <c r="R22">
        <v>4.2</v>
      </c>
      <c r="S22">
        <v>3.52</v>
      </c>
      <c r="T22">
        <v>0</v>
      </c>
      <c r="U22">
        <v>0</v>
      </c>
      <c r="V22">
        <v>0</v>
      </c>
      <c r="W22">
        <v>100</v>
      </c>
      <c r="Y22">
        <v>58</v>
      </c>
      <c r="Z22">
        <v>0</v>
      </c>
      <c r="AA22">
        <v>0</v>
      </c>
    </row>
    <row r="23" spans="1:30" x14ac:dyDescent="0.2">
      <c r="A23" t="s">
        <v>989</v>
      </c>
      <c r="B23" t="s">
        <v>865</v>
      </c>
      <c r="C23">
        <v>0</v>
      </c>
      <c r="D23" t="s">
        <v>5</v>
      </c>
      <c r="E23">
        <v>2500</v>
      </c>
      <c r="F23" t="s">
        <v>493</v>
      </c>
      <c r="G23" t="s">
        <v>789</v>
      </c>
      <c r="H23" s="2">
        <v>0.83333333333333337</v>
      </c>
      <c r="I23" t="s">
        <v>762</v>
      </c>
      <c r="J23" s="1">
        <v>0.48699999999999999</v>
      </c>
      <c r="K23">
        <v>-95</v>
      </c>
      <c r="L23">
        <v>5.5</v>
      </c>
      <c r="M23">
        <v>2.75</v>
      </c>
      <c r="N23">
        <v>2.54</v>
      </c>
      <c r="T23">
        <v>0</v>
      </c>
      <c r="U23">
        <v>0</v>
      </c>
      <c r="V23">
        <v>0</v>
      </c>
      <c r="W23">
        <v>100</v>
      </c>
      <c r="Y23">
        <v>0</v>
      </c>
      <c r="Z23">
        <v>0</v>
      </c>
      <c r="AA23">
        <v>0</v>
      </c>
    </row>
    <row r="24" spans="1:30" x14ac:dyDescent="0.2">
      <c r="A24" t="s">
        <v>698</v>
      </c>
      <c r="C24">
        <v>0</v>
      </c>
      <c r="D24" t="s">
        <v>5</v>
      </c>
      <c r="E24">
        <v>2500</v>
      </c>
      <c r="F24" t="s">
        <v>504</v>
      </c>
      <c r="G24" t="s">
        <v>799</v>
      </c>
      <c r="H24" s="2">
        <v>0.83333333333333337</v>
      </c>
      <c r="I24" t="s">
        <v>766</v>
      </c>
      <c r="J24" s="1">
        <v>0.51300000000000001</v>
      </c>
      <c r="K24">
        <v>95</v>
      </c>
      <c r="L24">
        <v>5.5</v>
      </c>
      <c r="M24">
        <v>2.54</v>
      </c>
      <c r="N24">
        <v>2.75</v>
      </c>
      <c r="Q24" s="3">
        <v>0.47083333333333333</v>
      </c>
      <c r="R24">
        <v>3.8</v>
      </c>
      <c r="S24">
        <v>3.48</v>
      </c>
      <c r="T24">
        <v>0</v>
      </c>
      <c r="U24">
        <v>0</v>
      </c>
      <c r="V24">
        <v>0</v>
      </c>
      <c r="W24">
        <v>100</v>
      </c>
      <c r="Y24">
        <v>54</v>
      </c>
      <c r="Z24">
        <v>0</v>
      </c>
      <c r="AA24">
        <v>0</v>
      </c>
    </row>
    <row r="25" spans="1:30" x14ac:dyDescent="0.2">
      <c r="A25" t="s">
        <v>21</v>
      </c>
      <c r="C25">
        <v>0</v>
      </c>
      <c r="D25" t="s">
        <v>10</v>
      </c>
      <c r="E25">
        <v>6600</v>
      </c>
      <c r="F25" t="s">
        <v>492</v>
      </c>
      <c r="G25" t="s">
        <v>774</v>
      </c>
      <c r="H25" s="2">
        <v>0.8125</v>
      </c>
      <c r="I25" t="s">
        <v>762</v>
      </c>
      <c r="J25" s="1">
        <v>0.44</v>
      </c>
      <c r="K25">
        <v>-78.5</v>
      </c>
      <c r="L25">
        <v>6.5</v>
      </c>
      <c r="M25">
        <v>3.43</v>
      </c>
      <c r="N25">
        <v>3.25</v>
      </c>
      <c r="O25">
        <v>2</v>
      </c>
      <c r="P25">
        <v>1</v>
      </c>
      <c r="Q25" s="3">
        <v>0.75555555555555554</v>
      </c>
      <c r="R25">
        <v>14.2</v>
      </c>
      <c r="S25">
        <v>9.17</v>
      </c>
      <c r="T25">
        <v>35.82</v>
      </c>
      <c r="U25">
        <v>17.48</v>
      </c>
      <c r="V25">
        <v>17.48</v>
      </c>
      <c r="W25">
        <v>100</v>
      </c>
      <c r="Y25">
        <v>68</v>
      </c>
      <c r="Z25">
        <v>2.6</v>
      </c>
      <c r="AA25">
        <v>0</v>
      </c>
      <c r="AB25" s="3">
        <v>0.89444444444444449</v>
      </c>
      <c r="AC25">
        <v>36.799999999999997</v>
      </c>
      <c r="AD25">
        <v>5.6</v>
      </c>
    </row>
    <row r="26" spans="1:30" x14ac:dyDescent="0.2">
      <c r="A26" t="s">
        <v>392</v>
      </c>
      <c r="C26">
        <v>0</v>
      </c>
      <c r="D26" t="s">
        <v>10</v>
      </c>
      <c r="E26">
        <v>3000</v>
      </c>
      <c r="F26" t="s">
        <v>496</v>
      </c>
      <c r="G26" t="s">
        <v>787</v>
      </c>
      <c r="H26" s="2">
        <v>0.79166666666666663</v>
      </c>
      <c r="I26" t="s">
        <v>766</v>
      </c>
      <c r="J26" s="1">
        <v>0.48199999999999998</v>
      </c>
      <c r="K26">
        <v>107.5</v>
      </c>
      <c r="L26">
        <v>5.5</v>
      </c>
      <c r="M26">
        <v>2.75</v>
      </c>
      <c r="N26">
        <v>3.2</v>
      </c>
      <c r="O26">
        <v>2</v>
      </c>
      <c r="P26">
        <v>2</v>
      </c>
      <c r="Q26" s="3">
        <v>0.63749999999999996</v>
      </c>
      <c r="R26">
        <v>5.7</v>
      </c>
      <c r="S26">
        <v>5.27</v>
      </c>
      <c r="T26">
        <v>15.93</v>
      </c>
      <c r="U26">
        <v>5.39</v>
      </c>
      <c r="V26">
        <v>5.39</v>
      </c>
      <c r="W26">
        <v>100</v>
      </c>
      <c r="Y26">
        <v>54</v>
      </c>
      <c r="Z26">
        <v>1.8</v>
      </c>
      <c r="AA26">
        <v>0</v>
      </c>
      <c r="AB26" s="3">
        <v>0.66319444444444442</v>
      </c>
      <c r="AC26">
        <v>0</v>
      </c>
    </row>
    <row r="27" spans="1:30" x14ac:dyDescent="0.2">
      <c r="A27" t="s">
        <v>36</v>
      </c>
      <c r="C27">
        <v>0</v>
      </c>
      <c r="D27" t="s">
        <v>10</v>
      </c>
      <c r="E27">
        <v>3700</v>
      </c>
      <c r="F27" t="s">
        <v>489</v>
      </c>
      <c r="G27" t="s">
        <v>788</v>
      </c>
      <c r="H27" s="2">
        <v>0.91666666666666663</v>
      </c>
      <c r="I27" t="s">
        <v>762</v>
      </c>
      <c r="J27" s="1">
        <v>0.48799999999999999</v>
      </c>
      <c r="K27">
        <v>-95.5</v>
      </c>
      <c r="L27">
        <v>6.5</v>
      </c>
      <c r="M27">
        <v>3.25</v>
      </c>
      <c r="N27">
        <v>3.01</v>
      </c>
      <c r="O27">
        <v>1</v>
      </c>
      <c r="P27">
        <v>2</v>
      </c>
      <c r="Q27" s="3">
        <v>0.66527777777777775</v>
      </c>
      <c r="R27">
        <v>5.5</v>
      </c>
      <c r="S27">
        <v>4.79</v>
      </c>
      <c r="T27">
        <v>16.73</v>
      </c>
      <c r="U27">
        <v>7.15</v>
      </c>
      <c r="V27">
        <v>7.15</v>
      </c>
      <c r="W27">
        <v>100</v>
      </c>
      <c r="Y27">
        <v>56</v>
      </c>
      <c r="Z27">
        <v>1.9</v>
      </c>
      <c r="AA27">
        <v>0</v>
      </c>
      <c r="AB27" s="3">
        <v>0.81736111111111109</v>
      </c>
      <c r="AC27">
        <v>3</v>
      </c>
      <c r="AD27">
        <v>0.8</v>
      </c>
    </row>
    <row r="28" spans="1:30" x14ac:dyDescent="0.2">
      <c r="A28" t="s">
        <v>123</v>
      </c>
      <c r="C28">
        <v>0</v>
      </c>
      <c r="D28" t="s">
        <v>5</v>
      </c>
      <c r="E28">
        <v>4700</v>
      </c>
      <c r="F28" t="s">
        <v>794</v>
      </c>
      <c r="G28" t="s">
        <v>795</v>
      </c>
      <c r="H28" s="2">
        <v>0.79166666666666663</v>
      </c>
      <c r="I28" t="s">
        <v>766</v>
      </c>
      <c r="J28" s="1">
        <v>0.56499999999999995</v>
      </c>
      <c r="K28">
        <v>77</v>
      </c>
      <c r="L28">
        <v>5.5</v>
      </c>
      <c r="M28">
        <v>2.75</v>
      </c>
      <c r="N28">
        <v>2.87</v>
      </c>
      <c r="O28">
        <v>1</v>
      </c>
      <c r="P28">
        <v>2</v>
      </c>
      <c r="Q28" s="3">
        <v>0.72083333333333333</v>
      </c>
      <c r="R28">
        <v>8.1999999999999993</v>
      </c>
      <c r="S28">
        <v>7.31</v>
      </c>
      <c r="T28">
        <v>23.4</v>
      </c>
      <c r="U28">
        <v>8.7799999999999994</v>
      </c>
      <c r="V28">
        <v>8.7799999999999994</v>
      </c>
      <c r="W28">
        <v>100</v>
      </c>
      <c r="Y28">
        <v>55</v>
      </c>
      <c r="Z28">
        <v>1.9</v>
      </c>
      <c r="AA28">
        <v>0</v>
      </c>
      <c r="AB28" s="3">
        <v>0.73611111111111116</v>
      </c>
      <c r="AC28">
        <v>7.3</v>
      </c>
      <c r="AD28">
        <v>1.6</v>
      </c>
    </row>
    <row r="29" spans="1:30" x14ac:dyDescent="0.2">
      <c r="A29" t="s">
        <v>76</v>
      </c>
      <c r="C29">
        <v>0</v>
      </c>
      <c r="D29" t="s">
        <v>7</v>
      </c>
      <c r="E29">
        <v>8000</v>
      </c>
      <c r="F29" t="s">
        <v>486</v>
      </c>
      <c r="G29" t="s">
        <v>776</v>
      </c>
      <c r="H29" s="2">
        <v>0.79166666666666663</v>
      </c>
      <c r="I29" t="s">
        <v>762</v>
      </c>
      <c r="J29" s="1">
        <v>0.435</v>
      </c>
      <c r="K29">
        <v>-77</v>
      </c>
      <c r="L29">
        <v>5.5</v>
      </c>
      <c r="M29">
        <v>2.87</v>
      </c>
      <c r="N29">
        <v>2.75</v>
      </c>
      <c r="O29" t="s">
        <v>780</v>
      </c>
      <c r="Q29" s="4">
        <v>2.2687499999999998</v>
      </c>
      <c r="R29">
        <v>12.5</v>
      </c>
      <c r="S29">
        <v>8.91</v>
      </c>
      <c r="T29">
        <v>29.32</v>
      </c>
      <c r="U29">
        <v>11.5</v>
      </c>
      <c r="V29">
        <v>11.5</v>
      </c>
      <c r="W29">
        <v>100</v>
      </c>
      <c r="Y29">
        <v>64</v>
      </c>
      <c r="Z29">
        <v>1.4</v>
      </c>
      <c r="AA29">
        <v>0</v>
      </c>
      <c r="AB29" s="4">
        <v>2.5</v>
      </c>
      <c r="AC29">
        <v>31.4</v>
      </c>
      <c r="AD29">
        <v>3.9</v>
      </c>
    </row>
    <row r="30" spans="1:30" x14ac:dyDescent="0.2">
      <c r="A30" t="s">
        <v>849</v>
      </c>
      <c r="C30">
        <v>0</v>
      </c>
      <c r="D30" t="s">
        <v>7</v>
      </c>
      <c r="E30">
        <v>7000</v>
      </c>
      <c r="F30" t="s">
        <v>764</v>
      </c>
      <c r="G30" t="s">
        <v>765</v>
      </c>
      <c r="H30" s="2">
        <v>0.875</v>
      </c>
      <c r="I30" t="s">
        <v>766</v>
      </c>
      <c r="J30" s="1">
        <v>0.47099999999999997</v>
      </c>
      <c r="K30">
        <v>112.5</v>
      </c>
      <c r="L30">
        <v>7</v>
      </c>
      <c r="M30">
        <v>3.5</v>
      </c>
      <c r="N30">
        <v>4.05</v>
      </c>
      <c r="O30" t="s">
        <v>818</v>
      </c>
      <c r="Q30" s="4">
        <v>2.3888888888888888</v>
      </c>
      <c r="R30">
        <v>11</v>
      </c>
      <c r="S30">
        <v>9.84</v>
      </c>
      <c r="T30">
        <v>0</v>
      </c>
      <c r="U30">
        <v>0</v>
      </c>
      <c r="V30">
        <v>0</v>
      </c>
      <c r="W30">
        <v>100</v>
      </c>
      <c r="Y30">
        <v>55</v>
      </c>
      <c r="Z30">
        <v>0</v>
      </c>
      <c r="AA30">
        <v>0</v>
      </c>
      <c r="AB30" s="3">
        <v>0</v>
      </c>
      <c r="AC30">
        <v>2</v>
      </c>
      <c r="AD30">
        <v>0.3</v>
      </c>
    </row>
    <row r="31" spans="1:30" x14ac:dyDescent="0.2">
      <c r="A31" t="s">
        <v>925</v>
      </c>
      <c r="C31">
        <v>0</v>
      </c>
      <c r="D31" t="s">
        <v>10</v>
      </c>
      <c r="E31">
        <v>2500</v>
      </c>
      <c r="F31" t="s">
        <v>497</v>
      </c>
      <c r="G31" t="s">
        <v>784</v>
      </c>
      <c r="H31" s="2">
        <v>0.79166666666666663</v>
      </c>
      <c r="I31" t="s">
        <v>766</v>
      </c>
      <c r="J31" s="1">
        <v>0.55100000000000005</v>
      </c>
      <c r="K31">
        <v>81.5</v>
      </c>
      <c r="L31">
        <v>6.5</v>
      </c>
      <c r="M31">
        <v>3.17</v>
      </c>
      <c r="N31">
        <v>3.25</v>
      </c>
      <c r="Q31" s="3">
        <v>0.60624999999999996</v>
      </c>
      <c r="R31">
        <v>7.4</v>
      </c>
      <c r="S31">
        <v>7.17</v>
      </c>
      <c r="T31">
        <v>0</v>
      </c>
      <c r="U31">
        <v>0</v>
      </c>
      <c r="V31">
        <v>0</v>
      </c>
      <c r="W31">
        <v>100</v>
      </c>
      <c r="Y31">
        <v>52</v>
      </c>
      <c r="Z31">
        <v>0</v>
      </c>
      <c r="AA31">
        <v>0</v>
      </c>
    </row>
    <row r="32" spans="1:30" x14ac:dyDescent="0.2">
      <c r="A32" t="s">
        <v>241</v>
      </c>
      <c r="C32">
        <v>0</v>
      </c>
      <c r="D32" t="s">
        <v>10</v>
      </c>
      <c r="E32">
        <v>6800</v>
      </c>
      <c r="F32" t="s">
        <v>500</v>
      </c>
      <c r="G32" t="s">
        <v>785</v>
      </c>
      <c r="H32" s="2">
        <v>0.8125</v>
      </c>
      <c r="I32" t="s">
        <v>766</v>
      </c>
      <c r="J32" s="1">
        <v>0.56000000000000005</v>
      </c>
      <c r="K32">
        <v>78.5</v>
      </c>
      <c r="L32">
        <v>6.5</v>
      </c>
      <c r="M32">
        <v>3.25</v>
      </c>
      <c r="N32">
        <v>3.43</v>
      </c>
      <c r="O32">
        <v>3</v>
      </c>
      <c r="P32">
        <v>2</v>
      </c>
      <c r="Q32" s="3">
        <v>0.74861111111111112</v>
      </c>
      <c r="R32">
        <v>10.199999999999999</v>
      </c>
      <c r="S32">
        <v>7.44</v>
      </c>
      <c r="T32">
        <v>27.63</v>
      </c>
      <c r="U32">
        <v>12.75</v>
      </c>
      <c r="V32">
        <v>12.75</v>
      </c>
      <c r="W32">
        <v>100</v>
      </c>
      <c r="Y32">
        <v>64</v>
      </c>
      <c r="Z32">
        <v>1.9</v>
      </c>
      <c r="AA32">
        <v>0</v>
      </c>
      <c r="AB32" s="3">
        <v>0.66666666666666663</v>
      </c>
      <c r="AC32">
        <v>11</v>
      </c>
      <c r="AD32">
        <v>1.6</v>
      </c>
    </row>
    <row r="33" spans="1:30" x14ac:dyDescent="0.2">
      <c r="A33" t="s">
        <v>550</v>
      </c>
      <c r="C33">
        <v>0</v>
      </c>
      <c r="D33" t="s">
        <v>17</v>
      </c>
      <c r="E33">
        <v>2500</v>
      </c>
      <c r="F33" t="s">
        <v>488</v>
      </c>
      <c r="G33" t="s">
        <v>781</v>
      </c>
      <c r="H33" s="2">
        <v>0.91666666666666663</v>
      </c>
      <c r="I33" t="s">
        <v>766</v>
      </c>
      <c r="J33" s="1">
        <v>0.53500000000000003</v>
      </c>
      <c r="K33">
        <v>87</v>
      </c>
      <c r="L33">
        <v>6</v>
      </c>
      <c r="M33">
        <v>3</v>
      </c>
      <c r="N33">
        <v>3.14</v>
      </c>
      <c r="O33">
        <v>3</v>
      </c>
      <c r="Q33" s="3">
        <v>0.65625</v>
      </c>
      <c r="R33">
        <v>5.2</v>
      </c>
      <c r="S33">
        <v>4.57</v>
      </c>
      <c r="T33">
        <v>14.72</v>
      </c>
      <c r="U33">
        <v>5.58</v>
      </c>
      <c r="V33">
        <v>5.58</v>
      </c>
      <c r="W33">
        <v>100</v>
      </c>
      <c r="Y33">
        <v>56</v>
      </c>
      <c r="Z33">
        <v>2.2000000000000002</v>
      </c>
      <c r="AA33">
        <v>0</v>
      </c>
      <c r="AB33" s="3">
        <v>0.55902777777777779</v>
      </c>
      <c r="AC33">
        <v>6.9</v>
      </c>
      <c r="AD33">
        <v>2.8</v>
      </c>
    </row>
    <row r="34" spans="1:30" x14ac:dyDescent="0.2">
      <c r="A34" t="s">
        <v>903</v>
      </c>
      <c r="B34" t="s">
        <v>865</v>
      </c>
      <c r="C34">
        <v>0</v>
      </c>
      <c r="D34" t="s">
        <v>17</v>
      </c>
      <c r="E34">
        <v>2700</v>
      </c>
      <c r="F34" t="s">
        <v>483</v>
      </c>
      <c r="G34" t="s">
        <v>772</v>
      </c>
      <c r="H34" s="2">
        <v>0.91666666666666663</v>
      </c>
      <c r="I34" t="s">
        <v>762</v>
      </c>
      <c r="J34" s="1">
        <v>0.46500000000000002</v>
      </c>
      <c r="K34">
        <v>-87</v>
      </c>
      <c r="L34">
        <v>6</v>
      </c>
      <c r="M34">
        <v>3.14</v>
      </c>
      <c r="N34">
        <v>3</v>
      </c>
      <c r="T34">
        <v>0</v>
      </c>
      <c r="U34">
        <v>0</v>
      </c>
      <c r="V34">
        <v>0</v>
      </c>
      <c r="W34">
        <v>100</v>
      </c>
      <c r="Y34">
        <v>0</v>
      </c>
      <c r="Z34">
        <v>0</v>
      </c>
      <c r="AA34">
        <v>0</v>
      </c>
    </row>
    <row r="35" spans="1:30" x14ac:dyDescent="0.2">
      <c r="A35" t="s">
        <v>537</v>
      </c>
      <c r="C35">
        <v>0</v>
      </c>
      <c r="D35" t="s">
        <v>10</v>
      </c>
      <c r="E35">
        <v>2700</v>
      </c>
      <c r="F35" t="s">
        <v>485</v>
      </c>
      <c r="G35" t="s">
        <v>767</v>
      </c>
      <c r="H35" s="2">
        <v>0.79166666666666663</v>
      </c>
      <c r="I35" t="s">
        <v>762</v>
      </c>
      <c r="J35" s="1">
        <v>0.48099999999999998</v>
      </c>
      <c r="K35">
        <v>-92.5</v>
      </c>
      <c r="L35">
        <v>6.5</v>
      </c>
      <c r="M35">
        <v>3.62</v>
      </c>
      <c r="N35">
        <v>3.25</v>
      </c>
      <c r="Q35" s="3">
        <v>0.51111111111111107</v>
      </c>
      <c r="R35">
        <v>5.5</v>
      </c>
      <c r="S35">
        <v>5.87</v>
      </c>
      <c r="T35">
        <v>0</v>
      </c>
      <c r="U35">
        <v>0</v>
      </c>
      <c r="V35">
        <v>0</v>
      </c>
      <c r="W35">
        <v>100</v>
      </c>
      <c r="Y35">
        <v>47</v>
      </c>
      <c r="Z35">
        <v>0</v>
      </c>
      <c r="AA35">
        <v>0</v>
      </c>
    </row>
    <row r="36" spans="1:30" x14ac:dyDescent="0.2">
      <c r="A36" t="s">
        <v>143</v>
      </c>
      <c r="C36">
        <v>0</v>
      </c>
      <c r="D36" t="s">
        <v>10</v>
      </c>
      <c r="E36">
        <v>6100</v>
      </c>
      <c r="F36" t="s">
        <v>486</v>
      </c>
      <c r="G36" t="s">
        <v>776</v>
      </c>
      <c r="H36" s="2">
        <v>0.79166666666666663</v>
      </c>
      <c r="I36" t="s">
        <v>762</v>
      </c>
      <c r="J36" s="1">
        <v>0.435</v>
      </c>
      <c r="K36">
        <v>-77</v>
      </c>
      <c r="L36">
        <v>5.5</v>
      </c>
      <c r="M36">
        <v>2.87</v>
      </c>
      <c r="N36">
        <v>2.75</v>
      </c>
      <c r="O36">
        <v>1</v>
      </c>
      <c r="P36">
        <v>2</v>
      </c>
      <c r="Q36" s="3">
        <v>0.77638888888888891</v>
      </c>
      <c r="R36">
        <v>11.1</v>
      </c>
      <c r="S36">
        <v>6.19</v>
      </c>
      <c r="T36">
        <v>24.34</v>
      </c>
      <c r="U36">
        <v>11.96</v>
      </c>
      <c r="V36">
        <v>11.96</v>
      </c>
      <c r="W36">
        <v>100</v>
      </c>
      <c r="Y36">
        <v>72</v>
      </c>
      <c r="Z36">
        <v>2</v>
      </c>
      <c r="AA36">
        <v>0</v>
      </c>
      <c r="AB36" s="3">
        <v>0.74791666666666667</v>
      </c>
      <c r="AC36">
        <v>45</v>
      </c>
      <c r="AD36">
        <v>7.4</v>
      </c>
    </row>
    <row r="37" spans="1:30" x14ac:dyDescent="0.2">
      <c r="A37" t="s">
        <v>894</v>
      </c>
      <c r="C37">
        <v>0</v>
      </c>
      <c r="D37" t="s">
        <v>5</v>
      </c>
      <c r="E37">
        <v>3100</v>
      </c>
      <c r="F37" t="s">
        <v>794</v>
      </c>
      <c r="G37" t="s">
        <v>795</v>
      </c>
      <c r="H37" s="2">
        <v>0.79166666666666663</v>
      </c>
      <c r="I37" t="s">
        <v>766</v>
      </c>
      <c r="J37" s="1">
        <v>0.56499999999999995</v>
      </c>
      <c r="K37">
        <v>77</v>
      </c>
      <c r="L37">
        <v>5.5</v>
      </c>
      <c r="M37">
        <v>2.75</v>
      </c>
      <c r="N37">
        <v>2.87</v>
      </c>
      <c r="Q37" s="3">
        <v>0.4548611111111111</v>
      </c>
      <c r="R37">
        <v>4</v>
      </c>
      <c r="S37">
        <v>4.6500000000000004</v>
      </c>
      <c r="T37">
        <v>0</v>
      </c>
      <c r="U37">
        <v>0</v>
      </c>
      <c r="V37">
        <v>0</v>
      </c>
      <c r="W37">
        <v>100</v>
      </c>
      <c r="Y37">
        <v>42</v>
      </c>
      <c r="Z37">
        <v>0</v>
      </c>
      <c r="AA37">
        <v>0</v>
      </c>
    </row>
    <row r="38" spans="1:30" x14ac:dyDescent="0.2">
      <c r="A38" t="s">
        <v>227</v>
      </c>
      <c r="C38">
        <v>0</v>
      </c>
      <c r="D38" t="s">
        <v>17</v>
      </c>
      <c r="E38">
        <v>2600</v>
      </c>
      <c r="F38" t="s">
        <v>491</v>
      </c>
      <c r="G38" t="s">
        <v>773</v>
      </c>
      <c r="H38" s="2">
        <v>0.79166666666666663</v>
      </c>
      <c r="I38" t="s">
        <v>766</v>
      </c>
      <c r="J38" s="1">
        <v>0.49299999999999999</v>
      </c>
      <c r="K38">
        <v>103</v>
      </c>
      <c r="L38">
        <v>6.5</v>
      </c>
      <c r="M38">
        <v>3.25</v>
      </c>
      <c r="N38">
        <v>3.71</v>
      </c>
      <c r="O38">
        <v>1</v>
      </c>
      <c r="Q38" s="3">
        <v>0.87291666666666667</v>
      </c>
      <c r="R38">
        <v>5.4</v>
      </c>
      <c r="S38">
        <v>4.1900000000000004</v>
      </c>
      <c r="T38">
        <v>14.56</v>
      </c>
      <c r="U38">
        <v>6.18</v>
      </c>
      <c r="V38">
        <v>6.18</v>
      </c>
      <c r="W38">
        <v>100</v>
      </c>
      <c r="Y38">
        <v>61</v>
      </c>
      <c r="Z38">
        <v>2.4</v>
      </c>
      <c r="AA38">
        <v>0</v>
      </c>
      <c r="AB38" s="3">
        <v>0.82777777777777772</v>
      </c>
      <c r="AC38">
        <v>2.6</v>
      </c>
      <c r="AD38">
        <v>1</v>
      </c>
    </row>
    <row r="39" spans="1:30" x14ac:dyDescent="0.2">
      <c r="A39" t="s">
        <v>801</v>
      </c>
      <c r="C39">
        <v>0</v>
      </c>
      <c r="D39" t="s">
        <v>5</v>
      </c>
      <c r="E39">
        <v>4300</v>
      </c>
      <c r="F39" t="s">
        <v>764</v>
      </c>
      <c r="G39" t="s">
        <v>765</v>
      </c>
      <c r="H39" s="2">
        <v>0.875</v>
      </c>
      <c r="I39" t="s">
        <v>766</v>
      </c>
      <c r="J39" s="1">
        <v>0.47099999999999997</v>
      </c>
      <c r="K39">
        <v>112.5</v>
      </c>
      <c r="L39">
        <v>7</v>
      </c>
      <c r="M39">
        <v>3.5</v>
      </c>
      <c r="N39">
        <v>4.05</v>
      </c>
      <c r="O39">
        <v>2</v>
      </c>
      <c r="P39">
        <v>1</v>
      </c>
      <c r="Q39" s="3">
        <v>0.8618055555555556</v>
      </c>
      <c r="R39">
        <v>8.1</v>
      </c>
      <c r="S39">
        <v>6.97</v>
      </c>
      <c r="T39">
        <v>25.65</v>
      </c>
      <c r="U39">
        <v>11.71</v>
      </c>
      <c r="V39">
        <v>11.71</v>
      </c>
      <c r="W39">
        <v>100</v>
      </c>
      <c r="Y39">
        <v>57</v>
      </c>
      <c r="Z39">
        <v>2.7</v>
      </c>
      <c r="AA39">
        <v>0</v>
      </c>
      <c r="AB39" s="3">
        <v>0.88194444444444442</v>
      </c>
      <c r="AC39">
        <v>9.5</v>
      </c>
      <c r="AD39">
        <v>2.2000000000000002</v>
      </c>
    </row>
    <row r="40" spans="1:30" x14ac:dyDescent="0.2">
      <c r="A40" t="s">
        <v>565</v>
      </c>
      <c r="C40">
        <v>0</v>
      </c>
      <c r="D40" t="s">
        <v>10</v>
      </c>
      <c r="E40">
        <v>2500</v>
      </c>
      <c r="F40" t="s">
        <v>483</v>
      </c>
      <c r="G40" t="s">
        <v>772</v>
      </c>
      <c r="H40" s="2">
        <v>0.91666666666666663</v>
      </c>
      <c r="I40" t="s">
        <v>762</v>
      </c>
      <c r="J40" s="1">
        <v>0.46500000000000002</v>
      </c>
      <c r="K40">
        <v>-87</v>
      </c>
      <c r="L40">
        <v>6</v>
      </c>
      <c r="M40">
        <v>3.14</v>
      </c>
      <c r="N40">
        <v>3</v>
      </c>
      <c r="O40">
        <v>4</v>
      </c>
      <c r="Q40" s="3">
        <v>0.48055555555555557</v>
      </c>
      <c r="R40">
        <v>4.3</v>
      </c>
      <c r="S40">
        <v>5.13</v>
      </c>
      <c r="T40">
        <v>15.29</v>
      </c>
      <c r="U40">
        <v>5.03</v>
      </c>
      <c r="V40">
        <v>5.03</v>
      </c>
      <c r="W40">
        <v>100</v>
      </c>
      <c r="Y40">
        <v>40</v>
      </c>
      <c r="Z40">
        <v>2</v>
      </c>
      <c r="AA40">
        <v>0</v>
      </c>
      <c r="AB40" s="3">
        <v>0.5493055555555556</v>
      </c>
      <c r="AC40">
        <v>0</v>
      </c>
    </row>
    <row r="41" spans="1:30" x14ac:dyDescent="0.2">
      <c r="A41" t="s">
        <v>976</v>
      </c>
      <c r="C41">
        <v>0</v>
      </c>
      <c r="D41" t="s">
        <v>10</v>
      </c>
      <c r="E41">
        <v>2500</v>
      </c>
      <c r="F41" t="s">
        <v>507</v>
      </c>
      <c r="G41" t="s">
        <v>796</v>
      </c>
      <c r="H41" s="2">
        <v>0.79166666666666663</v>
      </c>
      <c r="I41" t="s">
        <v>766</v>
      </c>
      <c r="J41" s="1">
        <v>0.49399999999999999</v>
      </c>
      <c r="K41">
        <v>102.5</v>
      </c>
      <c r="L41">
        <v>6</v>
      </c>
      <c r="M41">
        <v>3</v>
      </c>
      <c r="N41">
        <v>3.44</v>
      </c>
      <c r="Q41" s="3">
        <v>0.43055555555555558</v>
      </c>
      <c r="R41">
        <v>4.5999999999999996</v>
      </c>
      <c r="S41">
        <v>4.9800000000000004</v>
      </c>
      <c r="T41">
        <v>0</v>
      </c>
      <c r="U41">
        <v>0</v>
      </c>
      <c r="V41">
        <v>0</v>
      </c>
      <c r="W41">
        <v>100</v>
      </c>
      <c r="Y41">
        <v>46</v>
      </c>
      <c r="Z41">
        <v>0</v>
      </c>
      <c r="AA41">
        <v>0</v>
      </c>
    </row>
    <row r="42" spans="1:30" x14ac:dyDescent="0.2">
      <c r="A42" t="s">
        <v>198</v>
      </c>
      <c r="C42">
        <v>0</v>
      </c>
      <c r="D42" t="s">
        <v>17</v>
      </c>
      <c r="E42">
        <v>3500</v>
      </c>
      <c r="F42" t="s">
        <v>498</v>
      </c>
      <c r="G42" t="s">
        <v>779</v>
      </c>
      <c r="H42" s="2">
        <v>0.79166666666666663</v>
      </c>
      <c r="I42" t="s">
        <v>762</v>
      </c>
      <c r="J42" s="1">
        <v>0.50600000000000001</v>
      </c>
      <c r="K42">
        <v>-102.5</v>
      </c>
      <c r="L42">
        <v>6</v>
      </c>
      <c r="M42">
        <v>3.44</v>
      </c>
      <c r="N42">
        <v>3</v>
      </c>
      <c r="O42">
        <v>3</v>
      </c>
      <c r="P42">
        <v>2</v>
      </c>
      <c r="Q42" s="3">
        <v>0.78194444444444444</v>
      </c>
      <c r="R42">
        <v>6.7</v>
      </c>
      <c r="S42">
        <v>4.88</v>
      </c>
      <c r="T42">
        <v>18.07</v>
      </c>
      <c r="U42">
        <v>8.31</v>
      </c>
      <c r="V42">
        <v>8.31</v>
      </c>
      <c r="W42">
        <v>100</v>
      </c>
      <c r="Y42">
        <v>64</v>
      </c>
      <c r="Z42">
        <v>2.4</v>
      </c>
      <c r="AA42">
        <v>0</v>
      </c>
      <c r="AB42" s="3">
        <v>0.68541666666666667</v>
      </c>
      <c r="AC42">
        <v>3</v>
      </c>
      <c r="AD42">
        <v>0.9</v>
      </c>
    </row>
    <row r="43" spans="1:30" x14ac:dyDescent="0.2">
      <c r="A43" t="s">
        <v>952</v>
      </c>
      <c r="C43">
        <v>0</v>
      </c>
      <c r="D43" t="s">
        <v>17</v>
      </c>
      <c r="E43">
        <v>2500</v>
      </c>
      <c r="F43" t="s">
        <v>494</v>
      </c>
      <c r="G43" t="s">
        <v>782</v>
      </c>
      <c r="H43" s="2">
        <v>0.79166666666666663</v>
      </c>
      <c r="I43" t="s">
        <v>762</v>
      </c>
      <c r="J43" s="1">
        <v>0.47199999999999998</v>
      </c>
      <c r="K43">
        <v>-89.5</v>
      </c>
      <c r="L43">
        <v>6</v>
      </c>
      <c r="M43">
        <v>3</v>
      </c>
      <c r="N43">
        <v>2.82</v>
      </c>
      <c r="Q43" s="3">
        <v>0.80694444444444446</v>
      </c>
      <c r="R43">
        <v>5.7</v>
      </c>
      <c r="S43">
        <v>3.68</v>
      </c>
      <c r="T43">
        <v>0</v>
      </c>
      <c r="U43">
        <v>0</v>
      </c>
      <c r="V43">
        <v>0</v>
      </c>
      <c r="W43">
        <v>100</v>
      </c>
      <c r="Y43">
        <v>68</v>
      </c>
      <c r="Z43">
        <v>0</v>
      </c>
      <c r="AA43">
        <v>0</v>
      </c>
    </row>
    <row r="44" spans="1:30" x14ac:dyDescent="0.2">
      <c r="A44" t="s">
        <v>162</v>
      </c>
      <c r="C44">
        <v>0</v>
      </c>
      <c r="D44" t="s">
        <v>17</v>
      </c>
      <c r="E44">
        <v>3000</v>
      </c>
      <c r="F44" t="s">
        <v>497</v>
      </c>
      <c r="G44" t="s">
        <v>784</v>
      </c>
      <c r="H44" s="2">
        <v>0.79166666666666663</v>
      </c>
      <c r="I44" t="s">
        <v>766</v>
      </c>
      <c r="J44" s="1">
        <v>0.55100000000000005</v>
      </c>
      <c r="K44">
        <v>81.5</v>
      </c>
      <c r="L44">
        <v>6.5</v>
      </c>
      <c r="M44">
        <v>3.17</v>
      </c>
      <c r="N44">
        <v>3.25</v>
      </c>
      <c r="O44">
        <v>2</v>
      </c>
      <c r="Q44" s="3">
        <v>0.81527777777777777</v>
      </c>
      <c r="R44">
        <v>7.3</v>
      </c>
      <c r="S44">
        <v>5.61</v>
      </c>
      <c r="T44">
        <v>19.57</v>
      </c>
      <c r="U44">
        <v>8.35</v>
      </c>
      <c r="V44">
        <v>8.35</v>
      </c>
      <c r="W44">
        <v>100</v>
      </c>
      <c r="Y44">
        <v>62</v>
      </c>
      <c r="Z44">
        <v>2.8</v>
      </c>
      <c r="AA44">
        <v>0</v>
      </c>
      <c r="AB44" s="3">
        <v>0.80972222222222223</v>
      </c>
      <c r="AC44">
        <v>14.1</v>
      </c>
      <c r="AD44">
        <v>4.7</v>
      </c>
    </row>
    <row r="45" spans="1:30" x14ac:dyDescent="0.2">
      <c r="A45" t="s">
        <v>224</v>
      </c>
      <c r="C45">
        <v>0</v>
      </c>
      <c r="D45" t="s">
        <v>10</v>
      </c>
      <c r="E45">
        <v>4000</v>
      </c>
      <c r="F45" t="s">
        <v>497</v>
      </c>
      <c r="G45" t="s">
        <v>784</v>
      </c>
      <c r="H45" s="2">
        <v>0.79166666666666663</v>
      </c>
      <c r="I45" t="s">
        <v>766</v>
      </c>
      <c r="J45" s="1">
        <v>0.55100000000000005</v>
      </c>
      <c r="K45">
        <v>81.5</v>
      </c>
      <c r="L45">
        <v>6.5</v>
      </c>
      <c r="M45">
        <v>3.17</v>
      </c>
      <c r="N45">
        <v>3.25</v>
      </c>
      <c r="O45">
        <v>1</v>
      </c>
      <c r="P45">
        <v>2</v>
      </c>
      <c r="Q45" s="3">
        <v>0.5756944444444444</v>
      </c>
      <c r="R45">
        <v>6.1</v>
      </c>
      <c r="S45">
        <v>8.43</v>
      </c>
      <c r="T45">
        <v>25.32</v>
      </c>
      <c r="U45">
        <v>8.4600000000000009</v>
      </c>
      <c r="V45">
        <v>8.4600000000000009</v>
      </c>
      <c r="W45">
        <v>100</v>
      </c>
      <c r="Y45">
        <v>31</v>
      </c>
      <c r="Z45">
        <v>2.1</v>
      </c>
      <c r="AA45">
        <v>0</v>
      </c>
      <c r="AB45" s="3">
        <v>0.60624999999999996</v>
      </c>
      <c r="AC45">
        <v>2.8</v>
      </c>
      <c r="AD45">
        <v>0.7</v>
      </c>
    </row>
    <row r="46" spans="1:30" x14ac:dyDescent="0.2">
      <c r="A46" t="s">
        <v>847</v>
      </c>
      <c r="C46">
        <v>0</v>
      </c>
      <c r="D46" t="s">
        <v>7</v>
      </c>
      <c r="E46">
        <v>7100</v>
      </c>
      <c r="F46" t="s">
        <v>509</v>
      </c>
      <c r="G46" t="s">
        <v>791</v>
      </c>
      <c r="H46" s="2">
        <v>0.79166666666666663</v>
      </c>
      <c r="I46" t="s">
        <v>766</v>
      </c>
      <c r="J46" s="1">
        <v>0.51900000000000002</v>
      </c>
      <c r="K46">
        <v>92.5</v>
      </c>
      <c r="L46">
        <v>6.5</v>
      </c>
      <c r="M46">
        <v>3.25</v>
      </c>
      <c r="N46">
        <v>3.62</v>
      </c>
      <c r="O46" t="s">
        <v>818</v>
      </c>
      <c r="Q46" s="4">
        <v>1.25</v>
      </c>
      <c r="R46">
        <v>0.8</v>
      </c>
      <c r="S46">
        <v>7.56</v>
      </c>
      <c r="T46">
        <v>0</v>
      </c>
      <c r="U46">
        <v>0</v>
      </c>
      <c r="V46">
        <v>0</v>
      </c>
      <c r="W46">
        <v>100</v>
      </c>
      <c r="Y46">
        <v>0</v>
      </c>
      <c r="Z46">
        <v>0</v>
      </c>
      <c r="AA46">
        <v>0</v>
      </c>
    </row>
    <row r="47" spans="1:30" x14ac:dyDescent="0.2">
      <c r="A47" t="s">
        <v>659</v>
      </c>
      <c r="C47">
        <v>0</v>
      </c>
      <c r="D47" t="s">
        <v>10</v>
      </c>
      <c r="E47">
        <v>2500</v>
      </c>
      <c r="F47" t="s">
        <v>504</v>
      </c>
      <c r="G47" t="s">
        <v>799</v>
      </c>
      <c r="H47" s="2">
        <v>0.83333333333333337</v>
      </c>
      <c r="I47" t="s">
        <v>766</v>
      </c>
      <c r="J47" s="1">
        <v>0.51300000000000001</v>
      </c>
      <c r="K47">
        <v>95</v>
      </c>
      <c r="L47">
        <v>5.5</v>
      </c>
      <c r="M47">
        <v>2.54</v>
      </c>
      <c r="N47">
        <v>2.75</v>
      </c>
      <c r="O47">
        <v>4</v>
      </c>
      <c r="Q47" s="3">
        <v>0.5083333333333333</v>
      </c>
      <c r="R47">
        <v>4.2</v>
      </c>
      <c r="S47">
        <v>3.96</v>
      </c>
      <c r="T47">
        <v>11.91</v>
      </c>
      <c r="U47">
        <v>3.99</v>
      </c>
      <c r="V47">
        <v>3.99</v>
      </c>
      <c r="W47">
        <v>100</v>
      </c>
      <c r="Y47">
        <v>53</v>
      </c>
      <c r="Z47">
        <v>1.6</v>
      </c>
      <c r="AA47">
        <v>0</v>
      </c>
      <c r="AB47" s="3">
        <v>0.49444444444444446</v>
      </c>
      <c r="AC47">
        <v>2.8</v>
      </c>
      <c r="AD47">
        <v>1.1000000000000001</v>
      </c>
    </row>
    <row r="48" spans="1:30" x14ac:dyDescent="0.2">
      <c r="A48" t="s">
        <v>237</v>
      </c>
      <c r="C48">
        <v>0</v>
      </c>
      <c r="D48" t="s">
        <v>10</v>
      </c>
      <c r="E48">
        <v>4000</v>
      </c>
      <c r="F48" t="s">
        <v>501</v>
      </c>
      <c r="G48" t="s">
        <v>783</v>
      </c>
      <c r="H48" s="2">
        <v>0.79166666666666663</v>
      </c>
      <c r="I48" t="s">
        <v>766</v>
      </c>
      <c r="J48" s="1">
        <v>0.52800000000000002</v>
      </c>
      <c r="K48">
        <v>89.5</v>
      </c>
      <c r="L48">
        <v>6</v>
      </c>
      <c r="M48">
        <v>2.82</v>
      </c>
      <c r="N48">
        <v>3</v>
      </c>
      <c r="O48">
        <v>2</v>
      </c>
      <c r="P48">
        <v>1</v>
      </c>
      <c r="Q48" s="3">
        <v>0.71250000000000002</v>
      </c>
      <c r="R48">
        <v>7.1</v>
      </c>
      <c r="S48">
        <v>6.35</v>
      </c>
      <c r="T48">
        <v>19.96</v>
      </c>
      <c r="U48">
        <v>7.26</v>
      </c>
      <c r="V48">
        <v>7.26</v>
      </c>
      <c r="W48">
        <v>100</v>
      </c>
      <c r="Y48">
        <v>55</v>
      </c>
      <c r="Z48">
        <v>1.8</v>
      </c>
      <c r="AA48">
        <v>0</v>
      </c>
      <c r="AB48" s="3">
        <v>0.74583333333333335</v>
      </c>
      <c r="AC48">
        <v>2.8</v>
      </c>
      <c r="AD48">
        <v>0.7</v>
      </c>
    </row>
    <row r="49" spans="1:30" x14ac:dyDescent="0.2">
      <c r="A49" t="s">
        <v>137</v>
      </c>
      <c r="C49">
        <v>0</v>
      </c>
      <c r="D49" t="s">
        <v>10</v>
      </c>
      <c r="E49">
        <v>5100</v>
      </c>
      <c r="F49" t="s">
        <v>500</v>
      </c>
      <c r="G49" t="s">
        <v>785</v>
      </c>
      <c r="H49" s="2">
        <v>0.8125</v>
      </c>
      <c r="I49" t="s">
        <v>766</v>
      </c>
      <c r="J49" s="1">
        <v>0.56000000000000005</v>
      </c>
      <c r="K49">
        <v>78.5</v>
      </c>
      <c r="L49">
        <v>6.5</v>
      </c>
      <c r="M49">
        <v>3.25</v>
      </c>
      <c r="N49">
        <v>3.43</v>
      </c>
      <c r="O49">
        <v>2</v>
      </c>
      <c r="Q49" s="3">
        <v>0.76249999999999996</v>
      </c>
      <c r="R49">
        <v>9</v>
      </c>
      <c r="S49">
        <v>7.24</v>
      </c>
      <c r="T49">
        <v>25.69</v>
      </c>
      <c r="U49">
        <v>11.21</v>
      </c>
      <c r="V49">
        <v>11.21</v>
      </c>
      <c r="W49">
        <v>100</v>
      </c>
      <c r="Y49">
        <v>60</v>
      </c>
      <c r="Z49">
        <v>2.2000000000000002</v>
      </c>
      <c r="AA49">
        <v>0</v>
      </c>
      <c r="AB49" s="3">
        <v>0.88124999999999998</v>
      </c>
      <c r="AC49">
        <v>4.3</v>
      </c>
      <c r="AD49">
        <v>0.8</v>
      </c>
    </row>
    <row r="50" spans="1:30" x14ac:dyDescent="0.2">
      <c r="A50" t="s">
        <v>179</v>
      </c>
      <c r="C50">
        <v>0</v>
      </c>
      <c r="D50" t="s">
        <v>10</v>
      </c>
      <c r="E50">
        <v>5000</v>
      </c>
      <c r="F50" t="s">
        <v>494</v>
      </c>
      <c r="G50" t="s">
        <v>782</v>
      </c>
      <c r="H50" s="2">
        <v>0.79166666666666663</v>
      </c>
      <c r="I50" t="s">
        <v>762</v>
      </c>
      <c r="J50" s="1">
        <v>0.47199999999999998</v>
      </c>
      <c r="K50">
        <v>-89.5</v>
      </c>
      <c r="L50">
        <v>6</v>
      </c>
      <c r="M50">
        <v>3</v>
      </c>
      <c r="N50">
        <v>2.82</v>
      </c>
      <c r="O50">
        <v>3</v>
      </c>
      <c r="P50">
        <v>2</v>
      </c>
      <c r="Q50" s="3">
        <v>0.64861111111111114</v>
      </c>
      <c r="R50">
        <v>8.6999999999999993</v>
      </c>
      <c r="S50">
        <v>7.63</v>
      </c>
      <c r="T50">
        <v>25.14</v>
      </c>
      <c r="U50">
        <v>9.8800000000000008</v>
      </c>
      <c r="V50">
        <v>9.8800000000000008</v>
      </c>
      <c r="W50">
        <v>100</v>
      </c>
      <c r="Y50">
        <v>56</v>
      </c>
      <c r="Z50">
        <v>2</v>
      </c>
      <c r="AA50">
        <v>0</v>
      </c>
      <c r="AB50" s="3">
        <v>0.63055555555555554</v>
      </c>
      <c r="AC50">
        <v>0</v>
      </c>
    </row>
    <row r="51" spans="1:30" x14ac:dyDescent="0.2">
      <c r="A51" t="s">
        <v>250</v>
      </c>
      <c r="C51">
        <v>0</v>
      </c>
      <c r="D51" t="s">
        <v>10</v>
      </c>
      <c r="E51">
        <v>3300</v>
      </c>
      <c r="F51" t="s">
        <v>491</v>
      </c>
      <c r="G51" t="s">
        <v>773</v>
      </c>
      <c r="H51" s="2">
        <v>0.79166666666666663</v>
      </c>
      <c r="I51" t="s">
        <v>766</v>
      </c>
      <c r="J51" s="1">
        <v>0.49299999999999999</v>
      </c>
      <c r="K51">
        <v>103</v>
      </c>
      <c r="L51">
        <v>6.5</v>
      </c>
      <c r="M51">
        <v>3.25</v>
      </c>
      <c r="N51">
        <v>3.71</v>
      </c>
      <c r="O51">
        <v>3</v>
      </c>
      <c r="P51">
        <v>2</v>
      </c>
      <c r="Q51" s="3">
        <v>0.7270833333333333</v>
      </c>
      <c r="R51">
        <v>6.8</v>
      </c>
      <c r="S51">
        <v>6.31</v>
      </c>
      <c r="T51">
        <v>19.489999999999998</v>
      </c>
      <c r="U51">
        <v>6.87</v>
      </c>
      <c r="V51">
        <v>6.87</v>
      </c>
      <c r="W51">
        <v>100</v>
      </c>
      <c r="Y51">
        <v>54</v>
      </c>
      <c r="Z51">
        <v>2.1</v>
      </c>
      <c r="AA51">
        <v>0</v>
      </c>
      <c r="AB51" s="3">
        <v>0.46944444444444444</v>
      </c>
      <c r="AC51">
        <v>0</v>
      </c>
    </row>
    <row r="52" spans="1:30" x14ac:dyDescent="0.2">
      <c r="A52" t="s">
        <v>640</v>
      </c>
      <c r="C52">
        <v>0</v>
      </c>
      <c r="D52" t="s">
        <v>10</v>
      </c>
      <c r="E52">
        <v>2500</v>
      </c>
      <c r="F52" t="s">
        <v>794</v>
      </c>
      <c r="G52" t="s">
        <v>795</v>
      </c>
      <c r="H52" s="2">
        <v>0.79166666666666663</v>
      </c>
      <c r="I52" t="s">
        <v>766</v>
      </c>
      <c r="J52" s="1">
        <v>0.56499999999999995</v>
      </c>
      <c r="K52">
        <v>77</v>
      </c>
      <c r="L52">
        <v>5.5</v>
      </c>
      <c r="M52">
        <v>2.75</v>
      </c>
      <c r="N52">
        <v>2.87</v>
      </c>
      <c r="Q52" s="3">
        <v>0.42777777777777776</v>
      </c>
      <c r="R52">
        <v>3.6</v>
      </c>
      <c r="S52">
        <v>3.24</v>
      </c>
      <c r="T52">
        <v>0</v>
      </c>
      <c r="U52">
        <v>0</v>
      </c>
      <c r="V52">
        <v>0</v>
      </c>
      <c r="W52">
        <v>100</v>
      </c>
      <c r="Y52">
        <v>55</v>
      </c>
      <c r="Z52">
        <v>0</v>
      </c>
      <c r="AA52">
        <v>0</v>
      </c>
    </row>
    <row r="53" spans="1:30" x14ac:dyDescent="0.2">
      <c r="A53" t="s">
        <v>940</v>
      </c>
      <c r="C53">
        <v>0</v>
      </c>
      <c r="D53" t="s">
        <v>17</v>
      </c>
      <c r="E53">
        <v>2500</v>
      </c>
      <c r="F53" t="s">
        <v>506</v>
      </c>
      <c r="G53" t="s">
        <v>786</v>
      </c>
      <c r="H53" s="2">
        <v>0.79166666666666663</v>
      </c>
      <c r="I53" t="s">
        <v>766</v>
      </c>
      <c r="J53" s="1">
        <v>0.53600000000000003</v>
      </c>
      <c r="K53">
        <v>86.5</v>
      </c>
      <c r="L53">
        <v>6</v>
      </c>
      <c r="M53">
        <v>3</v>
      </c>
      <c r="N53">
        <v>3.19</v>
      </c>
      <c r="Q53" s="3">
        <v>0.3215277777777778</v>
      </c>
      <c r="R53">
        <v>0</v>
      </c>
      <c r="S53">
        <v>0</v>
      </c>
      <c r="T53">
        <v>0</v>
      </c>
      <c r="U53">
        <v>0</v>
      </c>
      <c r="V53">
        <v>0</v>
      </c>
      <c r="W53">
        <v>100</v>
      </c>
      <c r="Y53">
        <v>0</v>
      </c>
      <c r="Z53">
        <v>0</v>
      </c>
      <c r="AA53">
        <v>0</v>
      </c>
    </row>
    <row r="54" spans="1:30" x14ac:dyDescent="0.2">
      <c r="A54" t="s">
        <v>455</v>
      </c>
      <c r="C54">
        <v>0</v>
      </c>
      <c r="D54" t="s">
        <v>10</v>
      </c>
      <c r="E54">
        <v>3400</v>
      </c>
      <c r="F54" t="s">
        <v>794</v>
      </c>
      <c r="G54" t="s">
        <v>795</v>
      </c>
      <c r="H54" s="2">
        <v>0.79166666666666663</v>
      </c>
      <c r="I54" t="s">
        <v>766</v>
      </c>
      <c r="J54" s="1">
        <v>0.56499999999999995</v>
      </c>
      <c r="K54">
        <v>77</v>
      </c>
      <c r="L54">
        <v>5.5</v>
      </c>
      <c r="M54">
        <v>2.75</v>
      </c>
      <c r="N54">
        <v>2.87</v>
      </c>
      <c r="O54">
        <v>3</v>
      </c>
      <c r="P54">
        <v>1</v>
      </c>
      <c r="Q54" s="3">
        <v>0.63263888888888886</v>
      </c>
      <c r="R54">
        <v>5.5</v>
      </c>
      <c r="S54">
        <v>4.8899999999999997</v>
      </c>
      <c r="T54">
        <v>15.41</v>
      </c>
      <c r="U54">
        <v>5.63</v>
      </c>
      <c r="V54">
        <v>5.63</v>
      </c>
      <c r="W54">
        <v>100</v>
      </c>
      <c r="Y54">
        <v>56</v>
      </c>
      <c r="Z54">
        <v>1.7</v>
      </c>
      <c r="AA54">
        <v>0</v>
      </c>
      <c r="AB54" s="3">
        <v>0.65208333333333335</v>
      </c>
      <c r="AC54">
        <v>2.8</v>
      </c>
      <c r="AD54">
        <v>0.8</v>
      </c>
    </row>
    <row r="55" spans="1:30" x14ac:dyDescent="0.2">
      <c r="A55" t="s">
        <v>115</v>
      </c>
      <c r="C55">
        <v>0</v>
      </c>
      <c r="D55" t="s">
        <v>10</v>
      </c>
      <c r="E55">
        <v>6400</v>
      </c>
      <c r="F55" t="s">
        <v>498</v>
      </c>
      <c r="G55" t="s">
        <v>779</v>
      </c>
      <c r="H55" s="2">
        <v>0.79166666666666663</v>
      </c>
      <c r="I55" t="s">
        <v>762</v>
      </c>
      <c r="J55" s="1">
        <v>0.50600000000000001</v>
      </c>
      <c r="K55">
        <v>-102.5</v>
      </c>
      <c r="L55">
        <v>6</v>
      </c>
      <c r="M55">
        <v>3.44</v>
      </c>
      <c r="N55">
        <v>3</v>
      </c>
      <c r="O55">
        <v>1</v>
      </c>
      <c r="P55">
        <v>1</v>
      </c>
      <c r="Q55" s="3">
        <v>0.70416666666666672</v>
      </c>
      <c r="R55">
        <v>10.3</v>
      </c>
      <c r="S55">
        <v>8.61</v>
      </c>
      <c r="T55">
        <v>31.86</v>
      </c>
      <c r="U55">
        <v>14.64</v>
      </c>
      <c r="V55">
        <v>14.64</v>
      </c>
      <c r="W55">
        <v>100</v>
      </c>
      <c r="Y55">
        <v>58</v>
      </c>
      <c r="Z55">
        <v>2.2999999999999998</v>
      </c>
      <c r="AA55">
        <v>0</v>
      </c>
      <c r="AB55" s="3">
        <v>0.83263888888888893</v>
      </c>
      <c r="AC55">
        <v>31</v>
      </c>
      <c r="AD55">
        <v>4.8</v>
      </c>
    </row>
    <row r="56" spans="1:30" x14ac:dyDescent="0.2">
      <c r="A56" t="s">
        <v>85</v>
      </c>
      <c r="C56">
        <v>0</v>
      </c>
      <c r="D56" t="s">
        <v>7</v>
      </c>
      <c r="E56">
        <v>8500</v>
      </c>
      <c r="F56" t="s">
        <v>768</v>
      </c>
      <c r="G56" t="s">
        <v>769</v>
      </c>
      <c r="H56" s="2">
        <v>0.79166666666666663</v>
      </c>
      <c r="I56" t="s">
        <v>762</v>
      </c>
      <c r="J56" s="1">
        <v>0.51800000000000002</v>
      </c>
      <c r="K56">
        <v>-107.5</v>
      </c>
      <c r="L56">
        <v>5.5</v>
      </c>
      <c r="M56">
        <v>3.2</v>
      </c>
      <c r="N56">
        <v>2.75</v>
      </c>
      <c r="O56" t="s">
        <v>780</v>
      </c>
      <c r="Q56" s="4">
        <v>2.463888888888889</v>
      </c>
      <c r="R56">
        <v>13.1</v>
      </c>
      <c r="S56">
        <v>8.73</v>
      </c>
      <c r="T56">
        <v>31.19</v>
      </c>
      <c r="U56">
        <v>13.73</v>
      </c>
      <c r="V56">
        <v>13.73</v>
      </c>
      <c r="W56">
        <v>100</v>
      </c>
      <c r="Y56">
        <v>67</v>
      </c>
      <c r="Z56">
        <v>1.6</v>
      </c>
      <c r="AA56">
        <v>0</v>
      </c>
      <c r="AB56" s="4">
        <v>2.4770833333333333</v>
      </c>
      <c r="AC56">
        <v>17.899999999999999</v>
      </c>
      <c r="AD56">
        <v>2.1</v>
      </c>
    </row>
    <row r="57" spans="1:30" x14ac:dyDescent="0.2">
      <c r="A57" t="s">
        <v>978</v>
      </c>
      <c r="C57">
        <v>0</v>
      </c>
      <c r="D57" t="s">
        <v>5</v>
      </c>
      <c r="E57">
        <v>2500</v>
      </c>
      <c r="F57" t="s">
        <v>507</v>
      </c>
      <c r="G57" t="s">
        <v>796</v>
      </c>
      <c r="H57" s="2">
        <v>0.79166666666666663</v>
      </c>
      <c r="I57" t="s">
        <v>766</v>
      </c>
      <c r="J57" s="1">
        <v>0.49399999999999999</v>
      </c>
      <c r="K57">
        <v>102.5</v>
      </c>
      <c r="L57">
        <v>6</v>
      </c>
      <c r="M57">
        <v>3</v>
      </c>
      <c r="N57">
        <v>3.44</v>
      </c>
      <c r="Q57" s="3">
        <v>0.43888888888888888</v>
      </c>
      <c r="R57">
        <v>3.9</v>
      </c>
      <c r="S57">
        <v>4.5</v>
      </c>
      <c r="T57">
        <v>0</v>
      </c>
      <c r="U57">
        <v>0</v>
      </c>
      <c r="V57">
        <v>0</v>
      </c>
      <c r="W57">
        <v>100</v>
      </c>
      <c r="Y57">
        <v>42</v>
      </c>
      <c r="Z57">
        <v>0</v>
      </c>
      <c r="AA57">
        <v>0</v>
      </c>
    </row>
    <row r="58" spans="1:30" x14ac:dyDescent="0.2">
      <c r="A58" t="s">
        <v>135</v>
      </c>
      <c r="C58">
        <v>0</v>
      </c>
      <c r="D58" t="s">
        <v>5</v>
      </c>
      <c r="E58">
        <v>3700</v>
      </c>
      <c r="F58" t="s">
        <v>492</v>
      </c>
      <c r="G58" t="s">
        <v>774</v>
      </c>
      <c r="H58" s="2">
        <v>0.8125</v>
      </c>
      <c r="I58" t="s">
        <v>762</v>
      </c>
      <c r="J58" s="1">
        <v>0.44</v>
      </c>
      <c r="K58">
        <v>-78.5</v>
      </c>
      <c r="L58">
        <v>6.5</v>
      </c>
      <c r="M58">
        <v>3.43</v>
      </c>
      <c r="N58">
        <v>3.25</v>
      </c>
      <c r="O58">
        <v>2</v>
      </c>
      <c r="P58">
        <v>2</v>
      </c>
      <c r="Q58" s="3">
        <v>0.66527777777777775</v>
      </c>
      <c r="R58">
        <v>6.8</v>
      </c>
      <c r="S58">
        <v>5.13</v>
      </c>
      <c r="T58">
        <v>21.34</v>
      </c>
      <c r="U58">
        <v>11.08</v>
      </c>
      <c r="V58">
        <v>11.08</v>
      </c>
      <c r="W58">
        <v>100</v>
      </c>
      <c r="Y58">
        <v>62</v>
      </c>
      <c r="Z58">
        <v>3</v>
      </c>
      <c r="AA58">
        <v>0</v>
      </c>
      <c r="AB58" s="3">
        <v>0.76180555555555551</v>
      </c>
      <c r="AC58">
        <v>5</v>
      </c>
      <c r="AD58">
        <v>1.4</v>
      </c>
    </row>
    <row r="59" spans="1:30" x14ac:dyDescent="0.2">
      <c r="A59" t="s">
        <v>626</v>
      </c>
      <c r="C59">
        <v>0</v>
      </c>
      <c r="D59" t="s">
        <v>10</v>
      </c>
      <c r="E59">
        <v>2500</v>
      </c>
      <c r="F59" t="s">
        <v>480</v>
      </c>
      <c r="G59" t="s">
        <v>761</v>
      </c>
      <c r="H59" s="2">
        <v>0.875</v>
      </c>
      <c r="I59" t="s">
        <v>762</v>
      </c>
      <c r="J59" s="1">
        <v>0.52900000000000003</v>
      </c>
      <c r="K59">
        <v>-112.5</v>
      </c>
      <c r="L59">
        <v>7</v>
      </c>
      <c r="M59">
        <v>4.05</v>
      </c>
      <c r="N59">
        <v>3.5</v>
      </c>
      <c r="Q59" s="3">
        <v>0.53888888888888886</v>
      </c>
      <c r="R59">
        <v>3.7</v>
      </c>
      <c r="S59">
        <v>3.79</v>
      </c>
      <c r="T59">
        <v>0</v>
      </c>
      <c r="U59">
        <v>0</v>
      </c>
      <c r="V59">
        <v>0</v>
      </c>
      <c r="W59">
        <v>100</v>
      </c>
      <c r="Y59">
        <v>49</v>
      </c>
      <c r="Z59">
        <v>0</v>
      </c>
      <c r="AA59">
        <v>0</v>
      </c>
    </row>
    <row r="60" spans="1:30" x14ac:dyDescent="0.2">
      <c r="A60" t="s">
        <v>344</v>
      </c>
      <c r="C60">
        <v>0</v>
      </c>
      <c r="D60" t="s">
        <v>17</v>
      </c>
      <c r="E60">
        <v>2500</v>
      </c>
      <c r="F60" t="s">
        <v>485</v>
      </c>
      <c r="G60" t="s">
        <v>767</v>
      </c>
      <c r="H60" s="2">
        <v>0.79166666666666663</v>
      </c>
      <c r="I60" t="s">
        <v>762</v>
      </c>
      <c r="J60" s="1">
        <v>0.48099999999999998</v>
      </c>
      <c r="K60">
        <v>-92.5</v>
      </c>
      <c r="L60">
        <v>6.5</v>
      </c>
      <c r="M60">
        <v>3.62</v>
      </c>
      <c r="N60">
        <v>3.25</v>
      </c>
      <c r="O60">
        <v>3</v>
      </c>
      <c r="Q60" s="3">
        <v>0.82291666666666663</v>
      </c>
      <c r="R60">
        <v>5.8</v>
      </c>
      <c r="S60">
        <v>4.63</v>
      </c>
      <c r="T60">
        <v>16.579999999999998</v>
      </c>
      <c r="U60">
        <v>7.32</v>
      </c>
      <c r="V60">
        <v>7.32</v>
      </c>
      <c r="W60">
        <v>100</v>
      </c>
      <c r="Y60">
        <v>60</v>
      </c>
      <c r="Z60">
        <v>2.9</v>
      </c>
      <c r="AA60">
        <v>0</v>
      </c>
      <c r="AB60" s="3">
        <v>0.8354166666666667</v>
      </c>
      <c r="AC60">
        <v>11.5</v>
      </c>
      <c r="AD60">
        <v>4.5999999999999996</v>
      </c>
    </row>
    <row r="61" spans="1:30" x14ac:dyDescent="0.2">
      <c r="A61" t="s">
        <v>696</v>
      </c>
      <c r="C61">
        <v>0</v>
      </c>
      <c r="D61" t="s">
        <v>10</v>
      </c>
      <c r="E61">
        <v>2500</v>
      </c>
      <c r="F61" t="s">
        <v>777</v>
      </c>
      <c r="G61" t="s">
        <v>778</v>
      </c>
      <c r="H61" s="2">
        <v>0.79166666666666663</v>
      </c>
      <c r="I61" t="s">
        <v>762</v>
      </c>
      <c r="J61" s="1">
        <v>0.46400000000000002</v>
      </c>
      <c r="K61">
        <v>-86.5</v>
      </c>
      <c r="L61">
        <v>6</v>
      </c>
      <c r="M61">
        <v>3.19</v>
      </c>
      <c r="N61">
        <v>3</v>
      </c>
      <c r="Q61" s="3">
        <v>0.3576388888888889</v>
      </c>
      <c r="R61">
        <v>3</v>
      </c>
      <c r="S61">
        <v>3.94</v>
      </c>
      <c r="T61">
        <v>0</v>
      </c>
      <c r="U61">
        <v>0</v>
      </c>
      <c r="V61">
        <v>0</v>
      </c>
      <c r="W61">
        <v>100</v>
      </c>
      <c r="Y61">
        <v>34</v>
      </c>
      <c r="Z61">
        <v>0</v>
      </c>
      <c r="AA61">
        <v>0</v>
      </c>
    </row>
    <row r="62" spans="1:30" x14ac:dyDescent="0.2">
      <c r="A62" t="s">
        <v>797</v>
      </c>
      <c r="C62">
        <v>0</v>
      </c>
      <c r="D62" t="s">
        <v>7</v>
      </c>
      <c r="E62">
        <v>7000</v>
      </c>
      <c r="F62" t="s">
        <v>507</v>
      </c>
      <c r="G62" t="s">
        <v>796</v>
      </c>
      <c r="H62" s="2">
        <v>0.79166666666666663</v>
      </c>
      <c r="I62" t="s">
        <v>766</v>
      </c>
      <c r="J62" s="1">
        <v>0.49399999999999999</v>
      </c>
      <c r="K62">
        <v>102.5</v>
      </c>
      <c r="L62">
        <v>6</v>
      </c>
      <c r="M62">
        <v>3</v>
      </c>
      <c r="N62">
        <v>3.44</v>
      </c>
      <c r="T62">
        <v>10.61</v>
      </c>
      <c r="U62">
        <v>10.61</v>
      </c>
      <c r="V62">
        <v>10.61</v>
      </c>
      <c r="W62">
        <v>100</v>
      </c>
      <c r="Y62">
        <v>0</v>
      </c>
      <c r="Z62">
        <v>1.5</v>
      </c>
      <c r="AA62">
        <v>0</v>
      </c>
    </row>
    <row r="63" spans="1:30" x14ac:dyDescent="0.2">
      <c r="A63" t="s">
        <v>412</v>
      </c>
      <c r="C63">
        <v>0</v>
      </c>
      <c r="D63" t="s">
        <v>10</v>
      </c>
      <c r="E63">
        <v>3100</v>
      </c>
      <c r="F63" t="s">
        <v>500</v>
      </c>
      <c r="G63" t="s">
        <v>785</v>
      </c>
      <c r="H63" s="2">
        <v>0.8125</v>
      </c>
      <c r="I63" t="s">
        <v>766</v>
      </c>
      <c r="J63" s="1">
        <v>0.56000000000000005</v>
      </c>
      <c r="K63">
        <v>78.5</v>
      </c>
      <c r="L63">
        <v>6.5</v>
      </c>
      <c r="M63">
        <v>3.25</v>
      </c>
      <c r="N63">
        <v>3.43</v>
      </c>
      <c r="O63">
        <v>4</v>
      </c>
      <c r="Q63" s="3">
        <v>0.65347222222222223</v>
      </c>
      <c r="R63">
        <v>6.1</v>
      </c>
      <c r="S63">
        <v>4.6500000000000004</v>
      </c>
      <c r="T63">
        <v>17.32</v>
      </c>
      <c r="U63">
        <v>8.02</v>
      </c>
      <c r="V63">
        <v>8.02</v>
      </c>
      <c r="W63">
        <v>100</v>
      </c>
      <c r="Y63">
        <v>62</v>
      </c>
      <c r="Z63">
        <v>2.6</v>
      </c>
      <c r="AA63">
        <v>0</v>
      </c>
      <c r="AB63" s="3">
        <v>0.72291666666666665</v>
      </c>
      <c r="AC63">
        <v>0</v>
      </c>
    </row>
    <row r="64" spans="1:30" x14ac:dyDescent="0.2">
      <c r="A64" t="s">
        <v>105</v>
      </c>
      <c r="C64">
        <v>0</v>
      </c>
      <c r="D64" t="s">
        <v>5</v>
      </c>
      <c r="E64">
        <v>5200</v>
      </c>
      <c r="F64" t="s">
        <v>768</v>
      </c>
      <c r="G64" t="s">
        <v>769</v>
      </c>
      <c r="H64" s="2">
        <v>0.79166666666666663</v>
      </c>
      <c r="I64" t="s">
        <v>762</v>
      </c>
      <c r="J64" s="1">
        <v>0.51800000000000002</v>
      </c>
      <c r="K64">
        <v>-107.5</v>
      </c>
      <c r="L64">
        <v>5.5</v>
      </c>
      <c r="M64">
        <v>3.2</v>
      </c>
      <c r="N64">
        <v>2.75</v>
      </c>
      <c r="O64">
        <v>1</v>
      </c>
      <c r="P64">
        <v>2</v>
      </c>
      <c r="Q64" s="3">
        <v>0.73263888888888884</v>
      </c>
      <c r="R64">
        <v>8.5</v>
      </c>
      <c r="S64">
        <v>6.6</v>
      </c>
      <c r="T64">
        <v>22.77</v>
      </c>
      <c r="U64">
        <v>9.57</v>
      </c>
      <c r="V64">
        <v>9.57</v>
      </c>
      <c r="W64">
        <v>100</v>
      </c>
      <c r="Y64">
        <v>61</v>
      </c>
      <c r="Z64">
        <v>1.8</v>
      </c>
      <c r="AA64">
        <v>0</v>
      </c>
      <c r="AB64" s="3">
        <v>0.68472222222222223</v>
      </c>
      <c r="AC64">
        <v>4.5</v>
      </c>
      <c r="AD64">
        <v>0.9</v>
      </c>
    </row>
    <row r="65" spans="1:30" x14ac:dyDescent="0.2">
      <c r="A65" t="s">
        <v>50</v>
      </c>
      <c r="C65">
        <v>0</v>
      </c>
      <c r="D65" t="s">
        <v>17</v>
      </c>
      <c r="E65">
        <v>4100</v>
      </c>
      <c r="F65" t="s">
        <v>494</v>
      </c>
      <c r="G65" t="s">
        <v>782</v>
      </c>
      <c r="H65" s="2">
        <v>0.79166666666666663</v>
      </c>
      <c r="I65" t="s">
        <v>762</v>
      </c>
      <c r="J65" s="1">
        <v>0.47199999999999998</v>
      </c>
      <c r="K65">
        <v>-89.5</v>
      </c>
      <c r="L65">
        <v>6</v>
      </c>
      <c r="M65">
        <v>3</v>
      </c>
      <c r="N65">
        <v>2.82</v>
      </c>
      <c r="O65">
        <v>2</v>
      </c>
      <c r="P65">
        <v>1</v>
      </c>
      <c r="Q65" s="3">
        <v>0.76944444444444449</v>
      </c>
      <c r="R65">
        <v>7</v>
      </c>
      <c r="S65">
        <v>5.89</v>
      </c>
      <c r="T65">
        <v>20.8</v>
      </c>
      <c r="U65">
        <v>9.02</v>
      </c>
      <c r="V65">
        <v>9.02</v>
      </c>
      <c r="W65">
        <v>100</v>
      </c>
      <c r="Y65">
        <v>58</v>
      </c>
      <c r="Z65">
        <v>2.2000000000000002</v>
      </c>
      <c r="AA65">
        <v>0</v>
      </c>
      <c r="AB65" s="3">
        <v>0.83958333333333335</v>
      </c>
      <c r="AC65">
        <v>8.6</v>
      </c>
      <c r="AD65">
        <v>2.1</v>
      </c>
    </row>
    <row r="66" spans="1:30" x14ac:dyDescent="0.2">
      <c r="A66" t="s">
        <v>95</v>
      </c>
      <c r="C66">
        <v>0</v>
      </c>
      <c r="D66" t="s">
        <v>10</v>
      </c>
      <c r="E66">
        <v>3900</v>
      </c>
      <c r="F66" t="s">
        <v>494</v>
      </c>
      <c r="G66" t="s">
        <v>782</v>
      </c>
      <c r="H66" s="2">
        <v>0.79166666666666663</v>
      </c>
      <c r="I66" t="s">
        <v>762</v>
      </c>
      <c r="J66" s="1">
        <v>0.47199999999999998</v>
      </c>
      <c r="K66">
        <v>-89.5</v>
      </c>
      <c r="L66">
        <v>6</v>
      </c>
      <c r="M66">
        <v>3</v>
      </c>
      <c r="N66">
        <v>2.82</v>
      </c>
      <c r="O66">
        <v>2</v>
      </c>
      <c r="P66">
        <v>1</v>
      </c>
      <c r="Q66" s="3">
        <v>0.56388888888888888</v>
      </c>
      <c r="R66">
        <v>6.2</v>
      </c>
      <c r="S66">
        <v>7.03</v>
      </c>
      <c r="T66">
        <v>22.09</v>
      </c>
      <c r="U66">
        <v>8.0299999999999994</v>
      </c>
      <c r="V66">
        <v>8.0299999999999994</v>
      </c>
      <c r="W66">
        <v>100</v>
      </c>
      <c r="Y66">
        <v>43</v>
      </c>
      <c r="Z66">
        <v>2.1</v>
      </c>
      <c r="AA66">
        <v>0</v>
      </c>
      <c r="AB66" s="3">
        <v>0.58194444444444449</v>
      </c>
      <c r="AC66">
        <v>0</v>
      </c>
    </row>
    <row r="67" spans="1:30" x14ac:dyDescent="0.2">
      <c r="A67" t="s">
        <v>107</v>
      </c>
      <c r="C67">
        <v>0</v>
      </c>
      <c r="D67" t="s">
        <v>10</v>
      </c>
      <c r="E67">
        <v>3200</v>
      </c>
      <c r="F67" t="s">
        <v>499</v>
      </c>
      <c r="G67" t="s">
        <v>775</v>
      </c>
      <c r="H67" s="2">
        <v>0.79166666666666663</v>
      </c>
      <c r="I67" t="s">
        <v>762</v>
      </c>
      <c r="J67" s="1">
        <v>0.50700000000000001</v>
      </c>
      <c r="K67">
        <v>-103</v>
      </c>
      <c r="L67">
        <v>6.5</v>
      </c>
      <c r="M67">
        <v>3.71</v>
      </c>
      <c r="N67">
        <v>3.25</v>
      </c>
      <c r="O67">
        <v>3</v>
      </c>
      <c r="P67">
        <v>2</v>
      </c>
      <c r="Q67" s="3">
        <v>0.6166666666666667</v>
      </c>
      <c r="R67">
        <v>7.9</v>
      </c>
      <c r="S67">
        <v>6.45</v>
      </c>
      <c r="T67">
        <v>23.82</v>
      </c>
      <c r="U67">
        <v>10.92</v>
      </c>
      <c r="V67">
        <v>10.92</v>
      </c>
      <c r="W67">
        <v>100</v>
      </c>
      <c r="Y67">
        <v>59</v>
      </c>
      <c r="Z67">
        <v>3.4</v>
      </c>
      <c r="AA67">
        <v>0</v>
      </c>
      <c r="AB67" s="3">
        <v>0.56041666666666667</v>
      </c>
      <c r="AC67">
        <v>26</v>
      </c>
      <c r="AD67">
        <v>8.1</v>
      </c>
    </row>
    <row r="68" spans="1:30" x14ac:dyDescent="0.2">
      <c r="A68" t="s">
        <v>348</v>
      </c>
      <c r="C68">
        <v>0</v>
      </c>
      <c r="D68" t="s">
        <v>7</v>
      </c>
      <c r="E68">
        <v>7800</v>
      </c>
      <c r="F68" t="s">
        <v>490</v>
      </c>
      <c r="G68" t="s">
        <v>771</v>
      </c>
      <c r="H68" s="2">
        <v>0.91666666666666663</v>
      </c>
      <c r="I68" t="s">
        <v>766</v>
      </c>
      <c r="J68" s="1">
        <v>0.58499999999999996</v>
      </c>
      <c r="K68">
        <v>71</v>
      </c>
      <c r="L68">
        <v>6</v>
      </c>
      <c r="M68">
        <v>3</v>
      </c>
      <c r="N68">
        <v>3.02</v>
      </c>
      <c r="O68" t="s">
        <v>780</v>
      </c>
      <c r="Q68" s="4">
        <v>2.2638888888888888</v>
      </c>
      <c r="R68">
        <v>8.6</v>
      </c>
      <c r="S68">
        <v>9.33</v>
      </c>
      <c r="T68">
        <v>30.25</v>
      </c>
      <c r="U68">
        <v>11.59</v>
      </c>
      <c r="V68">
        <v>11.59</v>
      </c>
      <c r="W68">
        <v>100</v>
      </c>
      <c r="Y68">
        <v>46</v>
      </c>
      <c r="Z68">
        <v>1.5</v>
      </c>
      <c r="AA68">
        <v>0</v>
      </c>
      <c r="AB68" s="4">
        <v>2.4402777777777778</v>
      </c>
      <c r="AC68">
        <v>-2.1</v>
      </c>
    </row>
    <row r="69" spans="1:30" x14ac:dyDescent="0.2">
      <c r="A69" t="s">
        <v>953</v>
      </c>
      <c r="C69">
        <v>0</v>
      </c>
      <c r="D69" t="s">
        <v>10</v>
      </c>
      <c r="E69">
        <v>2500</v>
      </c>
      <c r="F69" t="s">
        <v>501</v>
      </c>
      <c r="G69" t="s">
        <v>783</v>
      </c>
      <c r="H69" s="2">
        <v>0.79166666666666663</v>
      </c>
      <c r="I69" t="s">
        <v>766</v>
      </c>
      <c r="J69" s="1">
        <v>0.52800000000000002</v>
      </c>
      <c r="K69">
        <v>89.5</v>
      </c>
      <c r="L69">
        <v>6</v>
      </c>
      <c r="M69">
        <v>2.82</v>
      </c>
      <c r="N69">
        <v>3</v>
      </c>
      <c r="Q69" s="3">
        <v>0.30277777777777776</v>
      </c>
      <c r="R69">
        <v>3.7</v>
      </c>
      <c r="S69">
        <v>4.17</v>
      </c>
      <c r="T69">
        <v>0</v>
      </c>
      <c r="U69">
        <v>0</v>
      </c>
      <c r="V69">
        <v>0</v>
      </c>
      <c r="W69">
        <v>100</v>
      </c>
      <c r="Y69">
        <v>44</v>
      </c>
      <c r="Z69">
        <v>0</v>
      </c>
      <c r="AA69">
        <v>0</v>
      </c>
    </row>
    <row r="70" spans="1:30" x14ac:dyDescent="0.2">
      <c r="A70" t="s">
        <v>842</v>
      </c>
      <c r="C70">
        <v>0</v>
      </c>
      <c r="D70" t="s">
        <v>7</v>
      </c>
      <c r="E70">
        <v>7400</v>
      </c>
      <c r="F70" t="s">
        <v>794</v>
      </c>
      <c r="G70" t="s">
        <v>795</v>
      </c>
      <c r="H70" s="2">
        <v>0.79166666666666663</v>
      </c>
      <c r="I70" t="s">
        <v>766</v>
      </c>
      <c r="J70" s="1">
        <v>0.56499999999999995</v>
      </c>
      <c r="K70">
        <v>77</v>
      </c>
      <c r="L70">
        <v>5.5</v>
      </c>
      <c r="M70">
        <v>2.75</v>
      </c>
      <c r="N70">
        <v>2.87</v>
      </c>
      <c r="O70" t="s">
        <v>818</v>
      </c>
      <c r="Q70" s="4">
        <v>2.3743055555555554</v>
      </c>
      <c r="R70">
        <v>11.5</v>
      </c>
      <c r="S70">
        <v>7.83</v>
      </c>
      <c r="T70">
        <v>0</v>
      </c>
      <c r="U70">
        <v>0</v>
      </c>
      <c r="V70">
        <v>0</v>
      </c>
      <c r="W70">
        <v>100</v>
      </c>
      <c r="Y70">
        <v>66</v>
      </c>
      <c r="Z70">
        <v>0</v>
      </c>
      <c r="AA70">
        <v>0</v>
      </c>
      <c r="AB70" s="3">
        <v>0</v>
      </c>
      <c r="AC70">
        <v>0</v>
      </c>
    </row>
    <row r="71" spans="1:30" x14ac:dyDescent="0.2">
      <c r="A71" t="s">
        <v>877</v>
      </c>
      <c r="B71" t="s">
        <v>865</v>
      </c>
      <c r="C71">
        <v>0</v>
      </c>
      <c r="D71" t="s">
        <v>5</v>
      </c>
      <c r="E71">
        <v>4600</v>
      </c>
      <c r="F71" t="s">
        <v>493</v>
      </c>
      <c r="G71" t="s">
        <v>789</v>
      </c>
      <c r="H71" s="2">
        <v>0.83333333333333337</v>
      </c>
      <c r="I71" t="s">
        <v>762</v>
      </c>
      <c r="J71" s="1">
        <v>0.48699999999999999</v>
      </c>
      <c r="K71">
        <v>-95</v>
      </c>
      <c r="L71">
        <v>5.5</v>
      </c>
      <c r="M71">
        <v>2.75</v>
      </c>
      <c r="N71">
        <v>2.54</v>
      </c>
      <c r="Q71" s="3">
        <v>0.79027777777777775</v>
      </c>
      <c r="R71">
        <v>9.1</v>
      </c>
      <c r="S71">
        <v>6.53</v>
      </c>
      <c r="T71">
        <v>0</v>
      </c>
      <c r="U71">
        <v>0</v>
      </c>
      <c r="V71">
        <v>0</v>
      </c>
      <c r="W71">
        <v>100</v>
      </c>
      <c r="Y71">
        <v>64</v>
      </c>
      <c r="Z71">
        <v>0</v>
      </c>
      <c r="AA71">
        <v>0</v>
      </c>
    </row>
    <row r="72" spans="1:30" x14ac:dyDescent="0.2">
      <c r="A72" t="s">
        <v>885</v>
      </c>
      <c r="C72">
        <v>0</v>
      </c>
      <c r="D72" t="s">
        <v>5</v>
      </c>
      <c r="E72">
        <v>3700</v>
      </c>
      <c r="F72" t="s">
        <v>794</v>
      </c>
      <c r="G72" t="s">
        <v>795</v>
      </c>
      <c r="H72" s="2">
        <v>0.79166666666666663</v>
      </c>
      <c r="I72" t="s">
        <v>766</v>
      </c>
      <c r="J72" s="1">
        <v>0.56499999999999995</v>
      </c>
      <c r="K72">
        <v>77</v>
      </c>
      <c r="L72">
        <v>5.5</v>
      </c>
      <c r="M72">
        <v>2.75</v>
      </c>
      <c r="N72">
        <v>2.87</v>
      </c>
      <c r="Q72" s="3">
        <v>0.77083333333333337</v>
      </c>
      <c r="R72">
        <v>6.7</v>
      </c>
      <c r="S72">
        <v>5.38</v>
      </c>
      <c r="T72">
        <v>0</v>
      </c>
      <c r="U72">
        <v>0</v>
      </c>
      <c r="V72">
        <v>0</v>
      </c>
      <c r="W72">
        <v>100</v>
      </c>
      <c r="Y72">
        <v>60</v>
      </c>
      <c r="Z72">
        <v>0</v>
      </c>
      <c r="AA72">
        <v>0</v>
      </c>
    </row>
    <row r="73" spans="1:30" x14ac:dyDescent="0.2">
      <c r="A73" t="s">
        <v>650</v>
      </c>
      <c r="C73">
        <v>0</v>
      </c>
      <c r="D73" t="s">
        <v>17</v>
      </c>
      <c r="E73">
        <v>2500</v>
      </c>
      <c r="F73" t="s">
        <v>497</v>
      </c>
      <c r="G73" t="s">
        <v>784</v>
      </c>
      <c r="H73" s="2">
        <v>0.79166666666666663</v>
      </c>
      <c r="I73" t="s">
        <v>766</v>
      </c>
      <c r="J73" s="1">
        <v>0.55100000000000005</v>
      </c>
      <c r="K73">
        <v>81.5</v>
      </c>
      <c r="L73">
        <v>6.5</v>
      </c>
      <c r="M73">
        <v>3.17</v>
      </c>
      <c r="N73">
        <v>3.25</v>
      </c>
      <c r="O73">
        <v>3</v>
      </c>
      <c r="Q73" s="3">
        <v>0.48472222222222222</v>
      </c>
      <c r="R73">
        <v>2.2999999999999998</v>
      </c>
      <c r="S73">
        <v>2.37</v>
      </c>
      <c r="T73">
        <v>7.46</v>
      </c>
      <c r="U73">
        <v>2.72</v>
      </c>
      <c r="V73">
        <v>2.72</v>
      </c>
      <c r="W73">
        <v>100</v>
      </c>
      <c r="Y73">
        <v>48</v>
      </c>
      <c r="Z73">
        <v>1.1000000000000001</v>
      </c>
      <c r="AA73">
        <v>0</v>
      </c>
      <c r="AB73" s="3">
        <v>0.56805555555555554</v>
      </c>
      <c r="AC73">
        <v>0</v>
      </c>
    </row>
    <row r="74" spans="1:30" x14ac:dyDescent="0.2">
      <c r="A74" t="s">
        <v>189</v>
      </c>
      <c r="C74">
        <v>0</v>
      </c>
      <c r="D74" t="s">
        <v>10</v>
      </c>
      <c r="E74">
        <v>3300</v>
      </c>
      <c r="F74" t="s">
        <v>777</v>
      </c>
      <c r="G74" t="s">
        <v>778</v>
      </c>
      <c r="H74" s="2">
        <v>0.79166666666666663</v>
      </c>
      <c r="I74" t="s">
        <v>762</v>
      </c>
      <c r="J74" s="1">
        <v>0.46400000000000002</v>
      </c>
      <c r="K74">
        <v>-86.5</v>
      </c>
      <c r="L74">
        <v>6</v>
      </c>
      <c r="M74">
        <v>3.19</v>
      </c>
      <c r="N74">
        <v>3</v>
      </c>
      <c r="O74">
        <v>2</v>
      </c>
      <c r="P74">
        <v>2</v>
      </c>
      <c r="Q74" s="3">
        <v>0.62291666666666667</v>
      </c>
      <c r="R74">
        <v>6.7</v>
      </c>
      <c r="S74">
        <v>6</v>
      </c>
      <c r="T74">
        <v>19.62</v>
      </c>
      <c r="U74">
        <v>7.62</v>
      </c>
      <c r="V74">
        <v>7.62</v>
      </c>
      <c r="W74">
        <v>100</v>
      </c>
      <c r="Y74">
        <v>55</v>
      </c>
      <c r="Z74">
        <v>2.2999999999999998</v>
      </c>
      <c r="AA74">
        <v>0</v>
      </c>
      <c r="AB74" s="3">
        <v>0.78194444444444444</v>
      </c>
      <c r="AC74">
        <v>17.899999999999999</v>
      </c>
      <c r="AD74">
        <v>5.4</v>
      </c>
    </row>
    <row r="75" spans="1:30" x14ac:dyDescent="0.2">
      <c r="A75" t="s">
        <v>685</v>
      </c>
      <c r="C75">
        <v>0</v>
      </c>
      <c r="D75" t="s">
        <v>10</v>
      </c>
      <c r="E75">
        <v>2500</v>
      </c>
      <c r="F75" t="s">
        <v>510</v>
      </c>
      <c r="G75" t="s">
        <v>802</v>
      </c>
      <c r="H75" s="2">
        <v>0.91666666666666663</v>
      </c>
      <c r="I75" t="s">
        <v>766</v>
      </c>
      <c r="J75" s="1">
        <v>0.51200000000000001</v>
      </c>
      <c r="K75">
        <v>95.5</v>
      </c>
      <c r="L75">
        <v>6.5</v>
      </c>
      <c r="M75">
        <v>3.01</v>
      </c>
      <c r="N75">
        <v>3.25</v>
      </c>
      <c r="Q75" s="3">
        <v>0.39166666666666666</v>
      </c>
      <c r="R75">
        <v>2.4</v>
      </c>
      <c r="S75">
        <v>3.25</v>
      </c>
      <c r="T75">
        <v>0</v>
      </c>
      <c r="U75">
        <v>0</v>
      </c>
      <c r="V75">
        <v>0</v>
      </c>
      <c r="W75">
        <v>100</v>
      </c>
      <c r="Y75">
        <v>32</v>
      </c>
      <c r="Z75">
        <v>0</v>
      </c>
      <c r="AA75">
        <v>0</v>
      </c>
    </row>
    <row r="76" spans="1:30" x14ac:dyDescent="0.2">
      <c r="A76" t="s">
        <v>827</v>
      </c>
      <c r="C76">
        <v>0</v>
      </c>
      <c r="D76" t="s">
        <v>10</v>
      </c>
      <c r="E76">
        <v>8000</v>
      </c>
      <c r="F76" t="s">
        <v>501</v>
      </c>
      <c r="G76" t="s">
        <v>783</v>
      </c>
      <c r="H76" s="2">
        <v>0.79166666666666663</v>
      </c>
      <c r="I76" t="s">
        <v>766</v>
      </c>
      <c r="J76" s="1">
        <v>0.52800000000000002</v>
      </c>
      <c r="K76">
        <v>89.5</v>
      </c>
      <c r="L76">
        <v>6</v>
      </c>
      <c r="M76">
        <v>2.82</v>
      </c>
      <c r="N76">
        <v>3</v>
      </c>
      <c r="Q76" s="3">
        <v>0.86944444444444446</v>
      </c>
      <c r="R76">
        <v>12.6</v>
      </c>
      <c r="S76">
        <v>9.58</v>
      </c>
      <c r="T76">
        <v>0</v>
      </c>
      <c r="U76">
        <v>0</v>
      </c>
      <c r="V76">
        <v>0</v>
      </c>
      <c r="W76">
        <v>100</v>
      </c>
      <c r="Y76">
        <v>62</v>
      </c>
      <c r="Z76">
        <v>0</v>
      </c>
      <c r="AA76">
        <v>0</v>
      </c>
    </row>
    <row r="77" spans="1:30" x14ac:dyDescent="0.2">
      <c r="A77" t="s">
        <v>140</v>
      </c>
      <c r="C77">
        <v>0</v>
      </c>
      <c r="D77" t="s">
        <v>10</v>
      </c>
      <c r="E77">
        <v>5500</v>
      </c>
      <c r="F77" t="s">
        <v>478</v>
      </c>
      <c r="G77" t="s">
        <v>763</v>
      </c>
      <c r="H77" s="2">
        <v>0.79166666666666663</v>
      </c>
      <c r="I77" t="s">
        <v>762</v>
      </c>
      <c r="J77" s="1">
        <v>0.44900000000000001</v>
      </c>
      <c r="K77">
        <v>-81.5</v>
      </c>
      <c r="L77">
        <v>6.5</v>
      </c>
      <c r="M77">
        <v>3.25</v>
      </c>
      <c r="N77">
        <v>3.17</v>
      </c>
      <c r="O77">
        <v>1</v>
      </c>
      <c r="P77">
        <v>2</v>
      </c>
      <c r="Q77" s="3">
        <v>0.8</v>
      </c>
      <c r="R77">
        <v>8.9</v>
      </c>
      <c r="S77">
        <v>6.34</v>
      </c>
      <c r="T77">
        <v>22</v>
      </c>
      <c r="U77">
        <v>9.32</v>
      </c>
      <c r="V77">
        <v>9.32</v>
      </c>
      <c r="W77">
        <v>100</v>
      </c>
      <c r="Y77">
        <v>64</v>
      </c>
      <c r="Z77">
        <v>1.7</v>
      </c>
      <c r="AA77">
        <v>0</v>
      </c>
      <c r="AB77" s="3">
        <v>0.74652777777777779</v>
      </c>
      <c r="AC77">
        <v>7.3</v>
      </c>
      <c r="AD77">
        <v>1.3</v>
      </c>
    </row>
    <row r="78" spans="1:30" x14ac:dyDescent="0.2">
      <c r="A78" t="s">
        <v>119</v>
      </c>
      <c r="C78">
        <v>0</v>
      </c>
      <c r="D78" t="s">
        <v>7</v>
      </c>
      <c r="E78">
        <v>8300</v>
      </c>
      <c r="F78" t="s">
        <v>499</v>
      </c>
      <c r="G78" t="s">
        <v>775</v>
      </c>
      <c r="H78" s="2">
        <v>0.79166666666666663</v>
      </c>
      <c r="I78" t="s">
        <v>762</v>
      </c>
      <c r="J78" s="1">
        <v>0.50700000000000001</v>
      </c>
      <c r="K78">
        <v>-103</v>
      </c>
      <c r="L78">
        <v>6.5</v>
      </c>
      <c r="M78">
        <v>3.71</v>
      </c>
      <c r="N78">
        <v>3.25</v>
      </c>
      <c r="O78" t="s">
        <v>780</v>
      </c>
      <c r="Q78" s="4">
        <v>2.4277777777777776</v>
      </c>
      <c r="R78">
        <v>10.3</v>
      </c>
      <c r="S78">
        <v>9.32</v>
      </c>
      <c r="T78">
        <v>29.35</v>
      </c>
      <c r="U78">
        <v>10.71</v>
      </c>
      <c r="V78">
        <v>10.71</v>
      </c>
      <c r="W78">
        <v>100</v>
      </c>
      <c r="Y78">
        <v>55</v>
      </c>
      <c r="Z78">
        <v>1.3</v>
      </c>
      <c r="AA78">
        <v>0</v>
      </c>
      <c r="AB78" s="4">
        <v>2.4979166666666668</v>
      </c>
      <c r="AC78">
        <v>11.6</v>
      </c>
      <c r="AD78">
        <v>1.4</v>
      </c>
    </row>
    <row r="79" spans="1:30" x14ac:dyDescent="0.2">
      <c r="A79" t="s">
        <v>242</v>
      </c>
      <c r="C79">
        <v>0</v>
      </c>
      <c r="D79" t="s">
        <v>17</v>
      </c>
      <c r="E79">
        <v>3300</v>
      </c>
      <c r="F79" t="s">
        <v>491</v>
      </c>
      <c r="G79" t="s">
        <v>773</v>
      </c>
      <c r="H79" s="2">
        <v>0.79166666666666663</v>
      </c>
      <c r="I79" t="s">
        <v>766</v>
      </c>
      <c r="J79" s="1">
        <v>0.49299999999999999</v>
      </c>
      <c r="K79">
        <v>103</v>
      </c>
      <c r="L79">
        <v>6.5</v>
      </c>
      <c r="M79">
        <v>3.25</v>
      </c>
      <c r="N79">
        <v>3.71</v>
      </c>
      <c r="O79">
        <v>2</v>
      </c>
      <c r="P79">
        <v>1</v>
      </c>
      <c r="Q79" s="3">
        <v>0.79791666666666672</v>
      </c>
      <c r="R79">
        <v>5.6</v>
      </c>
      <c r="S79">
        <v>4.34</v>
      </c>
      <c r="T79">
        <v>15.44</v>
      </c>
      <c r="U79">
        <v>6.76</v>
      </c>
      <c r="V79">
        <v>6.76</v>
      </c>
      <c r="W79">
        <v>100</v>
      </c>
      <c r="Y79">
        <v>61</v>
      </c>
      <c r="Z79">
        <v>2</v>
      </c>
      <c r="AA79">
        <v>0</v>
      </c>
      <c r="AB79" s="3">
        <v>0.86527777777777781</v>
      </c>
      <c r="AC79">
        <v>1.3</v>
      </c>
      <c r="AD79">
        <v>0.4</v>
      </c>
    </row>
    <row r="80" spans="1:30" x14ac:dyDescent="0.2">
      <c r="A80" t="s">
        <v>318</v>
      </c>
      <c r="C80">
        <v>0</v>
      </c>
      <c r="D80" t="s">
        <v>7</v>
      </c>
      <c r="E80">
        <v>7100</v>
      </c>
      <c r="F80" t="s">
        <v>491</v>
      </c>
      <c r="G80" t="s">
        <v>773</v>
      </c>
      <c r="H80" s="2">
        <v>0.79166666666666663</v>
      </c>
      <c r="I80" t="s">
        <v>766</v>
      </c>
      <c r="J80" s="1">
        <v>0.49299999999999999</v>
      </c>
      <c r="K80">
        <v>103</v>
      </c>
      <c r="L80">
        <v>6.5</v>
      </c>
      <c r="M80">
        <v>3.25</v>
      </c>
      <c r="N80">
        <v>3.71</v>
      </c>
      <c r="O80" t="s">
        <v>780</v>
      </c>
      <c r="Q80" s="4">
        <v>2.4194444444444443</v>
      </c>
      <c r="R80">
        <v>7.3</v>
      </c>
      <c r="S80">
        <v>10.82</v>
      </c>
      <c r="T80">
        <v>30.55</v>
      </c>
      <c r="U80">
        <v>8.91</v>
      </c>
      <c r="V80">
        <v>8.91</v>
      </c>
      <c r="W80">
        <v>100</v>
      </c>
      <c r="Y80">
        <v>26</v>
      </c>
      <c r="Z80">
        <v>1.3</v>
      </c>
      <c r="AA80">
        <v>0</v>
      </c>
      <c r="AB80" s="4">
        <v>2.5</v>
      </c>
      <c r="AC80">
        <v>8.6</v>
      </c>
      <c r="AD80">
        <v>1.2</v>
      </c>
    </row>
    <row r="81" spans="1:30" x14ac:dyDescent="0.2">
      <c r="A81" t="s">
        <v>110</v>
      </c>
      <c r="C81">
        <v>0</v>
      </c>
      <c r="D81" t="s">
        <v>5</v>
      </c>
      <c r="E81">
        <v>9700</v>
      </c>
      <c r="F81" t="s">
        <v>490</v>
      </c>
      <c r="G81" t="s">
        <v>771</v>
      </c>
      <c r="H81" s="2">
        <v>0.91666666666666663</v>
      </c>
      <c r="I81" t="s">
        <v>766</v>
      </c>
      <c r="J81" s="1">
        <v>0.58499999999999996</v>
      </c>
      <c r="K81">
        <v>71</v>
      </c>
      <c r="L81">
        <v>6</v>
      </c>
      <c r="M81">
        <v>3</v>
      </c>
      <c r="N81">
        <v>3.02</v>
      </c>
      <c r="O81">
        <v>1</v>
      </c>
      <c r="P81">
        <v>1</v>
      </c>
      <c r="Q81" s="3">
        <v>0.86597222222222225</v>
      </c>
      <c r="R81">
        <v>15.9</v>
      </c>
      <c r="S81">
        <v>9.9499999999999993</v>
      </c>
      <c r="T81">
        <v>37.840000000000003</v>
      </c>
      <c r="U81">
        <v>17.940000000000001</v>
      </c>
      <c r="V81">
        <v>17.940000000000001</v>
      </c>
      <c r="W81">
        <v>100</v>
      </c>
      <c r="Y81">
        <v>69</v>
      </c>
      <c r="Z81">
        <v>1.8</v>
      </c>
      <c r="AA81">
        <v>0</v>
      </c>
      <c r="AB81" s="3">
        <v>0.87361111111111112</v>
      </c>
      <c r="AC81">
        <v>6</v>
      </c>
      <c r="AD81">
        <v>0.6</v>
      </c>
    </row>
    <row r="82" spans="1:30" x14ac:dyDescent="0.2">
      <c r="A82" t="s">
        <v>273</v>
      </c>
      <c r="C82">
        <v>0</v>
      </c>
      <c r="D82" t="s">
        <v>17</v>
      </c>
      <c r="E82">
        <v>2500</v>
      </c>
      <c r="F82" t="s">
        <v>492</v>
      </c>
      <c r="G82" t="s">
        <v>774</v>
      </c>
      <c r="H82" s="2">
        <v>0.8125</v>
      </c>
      <c r="I82" t="s">
        <v>762</v>
      </c>
      <c r="J82" s="1">
        <v>0.44</v>
      </c>
      <c r="K82">
        <v>-78.5</v>
      </c>
      <c r="L82">
        <v>6.5</v>
      </c>
      <c r="M82">
        <v>3.43</v>
      </c>
      <c r="N82">
        <v>3.25</v>
      </c>
      <c r="O82">
        <v>2</v>
      </c>
      <c r="P82">
        <v>2</v>
      </c>
      <c r="Q82" s="3">
        <v>0.7</v>
      </c>
      <c r="R82">
        <v>5</v>
      </c>
      <c r="S82">
        <v>4.5599999999999996</v>
      </c>
      <c r="T82">
        <v>16.149999999999999</v>
      </c>
      <c r="U82">
        <v>7.03</v>
      </c>
      <c r="V82">
        <v>7.03</v>
      </c>
      <c r="W82">
        <v>100</v>
      </c>
      <c r="Y82">
        <v>54</v>
      </c>
      <c r="Z82">
        <v>2.8</v>
      </c>
      <c r="AA82">
        <v>0</v>
      </c>
      <c r="AB82" s="3">
        <v>0.47222222222222221</v>
      </c>
      <c r="AC82">
        <v>1.3</v>
      </c>
      <c r="AD82">
        <v>0.5</v>
      </c>
    </row>
    <row r="83" spans="1:30" x14ac:dyDescent="0.2">
      <c r="A83" t="s">
        <v>661</v>
      </c>
      <c r="C83">
        <v>0</v>
      </c>
      <c r="D83" t="s">
        <v>10</v>
      </c>
      <c r="E83">
        <v>2500</v>
      </c>
      <c r="F83" t="s">
        <v>764</v>
      </c>
      <c r="G83" t="s">
        <v>765</v>
      </c>
      <c r="H83" s="2">
        <v>0.875</v>
      </c>
      <c r="I83" t="s">
        <v>766</v>
      </c>
      <c r="J83" s="1">
        <v>0.47099999999999997</v>
      </c>
      <c r="K83">
        <v>112.5</v>
      </c>
      <c r="L83">
        <v>7</v>
      </c>
      <c r="M83">
        <v>3.5</v>
      </c>
      <c r="N83">
        <v>4.05</v>
      </c>
      <c r="O83">
        <v>4</v>
      </c>
      <c r="Q83" s="3">
        <v>0.48125000000000001</v>
      </c>
      <c r="R83">
        <v>3.8</v>
      </c>
      <c r="S83">
        <v>5.18</v>
      </c>
      <c r="T83">
        <v>16.420000000000002</v>
      </c>
      <c r="U83">
        <v>6.06</v>
      </c>
      <c r="V83">
        <v>6.06</v>
      </c>
      <c r="W83">
        <v>100</v>
      </c>
      <c r="Y83">
        <v>32</v>
      </c>
      <c r="Z83">
        <v>2.4</v>
      </c>
      <c r="AA83">
        <v>0</v>
      </c>
      <c r="AB83" s="3">
        <v>0.48402777777777778</v>
      </c>
      <c r="AC83">
        <v>1.3</v>
      </c>
      <c r="AD83">
        <v>0.5</v>
      </c>
    </row>
    <row r="84" spans="1:30" x14ac:dyDescent="0.2">
      <c r="A84" t="s">
        <v>245</v>
      </c>
      <c r="C84">
        <v>0</v>
      </c>
      <c r="D84" t="s">
        <v>5</v>
      </c>
      <c r="E84">
        <v>3300</v>
      </c>
      <c r="F84" t="s">
        <v>507</v>
      </c>
      <c r="G84" t="s">
        <v>796</v>
      </c>
      <c r="H84" s="2">
        <v>0.79166666666666663</v>
      </c>
      <c r="I84" t="s">
        <v>766</v>
      </c>
      <c r="J84" s="1">
        <v>0.49399999999999999</v>
      </c>
      <c r="K84">
        <v>102.5</v>
      </c>
      <c r="L84">
        <v>6</v>
      </c>
      <c r="M84">
        <v>3</v>
      </c>
      <c r="N84">
        <v>3.44</v>
      </c>
      <c r="O84">
        <v>2</v>
      </c>
      <c r="P84">
        <v>1</v>
      </c>
      <c r="Q84" s="3">
        <v>0.63611111111111107</v>
      </c>
      <c r="R84">
        <v>5.8</v>
      </c>
      <c r="S84">
        <v>5.07</v>
      </c>
      <c r="T84">
        <v>17.559999999999999</v>
      </c>
      <c r="U84">
        <v>7.42</v>
      </c>
      <c r="V84">
        <v>7.42</v>
      </c>
      <c r="W84">
        <v>100</v>
      </c>
      <c r="Y84">
        <v>56</v>
      </c>
      <c r="Z84">
        <v>2.2000000000000002</v>
      </c>
      <c r="AA84">
        <v>0</v>
      </c>
      <c r="AB84" s="3">
        <v>0.58402777777777781</v>
      </c>
      <c r="AC84">
        <v>9.5</v>
      </c>
      <c r="AD84">
        <v>2.9</v>
      </c>
    </row>
    <row r="85" spans="1:30" x14ac:dyDescent="0.2">
      <c r="A85" t="s">
        <v>657</v>
      </c>
      <c r="C85">
        <v>0</v>
      </c>
      <c r="D85" t="s">
        <v>10</v>
      </c>
      <c r="E85">
        <v>2500</v>
      </c>
      <c r="F85" t="s">
        <v>486</v>
      </c>
      <c r="G85" t="s">
        <v>776</v>
      </c>
      <c r="H85" s="2">
        <v>0.79166666666666663</v>
      </c>
      <c r="I85" t="s">
        <v>762</v>
      </c>
      <c r="J85" s="1">
        <v>0.435</v>
      </c>
      <c r="K85">
        <v>-77</v>
      </c>
      <c r="L85">
        <v>5.5</v>
      </c>
      <c r="M85">
        <v>2.87</v>
      </c>
      <c r="N85">
        <v>2.75</v>
      </c>
      <c r="O85">
        <v>4</v>
      </c>
      <c r="Q85" s="3">
        <v>0.46875</v>
      </c>
      <c r="R85">
        <v>3.8</v>
      </c>
      <c r="S85">
        <v>3.79</v>
      </c>
      <c r="T85">
        <v>11.09</v>
      </c>
      <c r="U85">
        <v>3.51</v>
      </c>
      <c r="V85">
        <v>3.51</v>
      </c>
      <c r="W85">
        <v>100</v>
      </c>
      <c r="Y85">
        <v>50</v>
      </c>
      <c r="Z85">
        <v>1.4</v>
      </c>
      <c r="AA85">
        <v>0</v>
      </c>
      <c r="AB85" s="3">
        <v>0.51875000000000004</v>
      </c>
      <c r="AC85">
        <v>1.3</v>
      </c>
      <c r="AD85">
        <v>0.5</v>
      </c>
    </row>
    <row r="86" spans="1:30" x14ac:dyDescent="0.2">
      <c r="A86" t="s">
        <v>9</v>
      </c>
      <c r="C86">
        <v>0</v>
      </c>
      <c r="D86" t="s">
        <v>10</v>
      </c>
      <c r="E86">
        <v>5700</v>
      </c>
      <c r="F86" t="s">
        <v>489</v>
      </c>
      <c r="G86" t="s">
        <v>788</v>
      </c>
      <c r="H86" s="2">
        <v>0.91666666666666663</v>
      </c>
      <c r="I86" t="s">
        <v>762</v>
      </c>
      <c r="J86" s="1">
        <v>0.48799999999999999</v>
      </c>
      <c r="K86">
        <v>-95.5</v>
      </c>
      <c r="L86">
        <v>6.5</v>
      </c>
      <c r="M86">
        <v>3.25</v>
      </c>
      <c r="N86">
        <v>3.01</v>
      </c>
      <c r="O86">
        <v>1</v>
      </c>
      <c r="P86">
        <v>1</v>
      </c>
      <c r="Q86" s="3">
        <v>0.71527777777777779</v>
      </c>
      <c r="R86">
        <v>9.5</v>
      </c>
      <c r="S86">
        <v>8.2799999999999994</v>
      </c>
      <c r="T86">
        <v>29.66</v>
      </c>
      <c r="U86">
        <v>13.1</v>
      </c>
      <c r="V86">
        <v>13.1</v>
      </c>
      <c r="W86">
        <v>100</v>
      </c>
      <c r="Y86">
        <v>56</v>
      </c>
      <c r="Z86">
        <v>2.2999999999999998</v>
      </c>
      <c r="AA86">
        <v>0</v>
      </c>
      <c r="AB86" s="3">
        <v>0.875</v>
      </c>
      <c r="AC86">
        <v>4.5</v>
      </c>
      <c r="AD86">
        <v>0.8</v>
      </c>
    </row>
    <row r="87" spans="1:30" x14ac:dyDescent="0.2">
      <c r="A87" t="s">
        <v>231</v>
      </c>
      <c r="C87">
        <v>0</v>
      </c>
      <c r="D87" t="s">
        <v>17</v>
      </c>
      <c r="E87">
        <v>3100</v>
      </c>
      <c r="F87" t="s">
        <v>492</v>
      </c>
      <c r="G87" t="s">
        <v>774</v>
      </c>
      <c r="H87" s="2">
        <v>0.8125</v>
      </c>
      <c r="I87" t="s">
        <v>762</v>
      </c>
      <c r="J87" s="1">
        <v>0.44</v>
      </c>
      <c r="K87">
        <v>-78.5</v>
      </c>
      <c r="L87">
        <v>6.5</v>
      </c>
      <c r="M87">
        <v>3.43</v>
      </c>
      <c r="N87">
        <v>3.25</v>
      </c>
      <c r="O87">
        <v>2</v>
      </c>
      <c r="Q87" s="3">
        <v>0.87638888888888888</v>
      </c>
      <c r="R87">
        <v>7.1</v>
      </c>
      <c r="S87">
        <v>5.04</v>
      </c>
      <c r="T87">
        <v>18.45</v>
      </c>
      <c r="U87">
        <v>8.3699999999999992</v>
      </c>
      <c r="V87">
        <v>8.3699999999999992</v>
      </c>
      <c r="W87">
        <v>100</v>
      </c>
      <c r="Y87">
        <v>65</v>
      </c>
      <c r="Z87">
        <v>2.7</v>
      </c>
      <c r="AA87">
        <v>0</v>
      </c>
      <c r="AB87" s="3">
        <v>0.86111111111111116</v>
      </c>
      <c r="AC87">
        <v>12.8</v>
      </c>
      <c r="AD87">
        <v>4.0999999999999996</v>
      </c>
    </row>
    <row r="88" spans="1:30" x14ac:dyDescent="0.2">
      <c r="A88" t="s">
        <v>422</v>
      </c>
      <c r="C88">
        <v>0</v>
      </c>
      <c r="D88" t="s">
        <v>17</v>
      </c>
      <c r="E88">
        <v>2500</v>
      </c>
      <c r="F88" t="s">
        <v>483</v>
      </c>
      <c r="G88" t="s">
        <v>772</v>
      </c>
      <c r="H88" s="2">
        <v>0.91666666666666663</v>
      </c>
      <c r="I88" t="s">
        <v>762</v>
      </c>
      <c r="J88" s="1">
        <v>0.46500000000000002</v>
      </c>
      <c r="K88">
        <v>-87</v>
      </c>
      <c r="L88">
        <v>6</v>
      </c>
      <c r="M88">
        <v>3.14</v>
      </c>
      <c r="N88">
        <v>3</v>
      </c>
      <c r="O88">
        <v>3</v>
      </c>
      <c r="Q88" s="3">
        <v>0.6166666666666667</v>
      </c>
      <c r="R88">
        <v>5.6</v>
      </c>
      <c r="S88">
        <v>4.7699999999999996</v>
      </c>
      <c r="T88">
        <v>15.77</v>
      </c>
      <c r="U88">
        <v>6.23</v>
      </c>
      <c r="V88">
        <v>6.23</v>
      </c>
      <c r="W88">
        <v>100</v>
      </c>
      <c r="Y88">
        <v>57</v>
      </c>
      <c r="Z88">
        <v>2.5</v>
      </c>
      <c r="AA88">
        <v>0</v>
      </c>
      <c r="AB88" s="3">
        <v>0.65972222222222221</v>
      </c>
      <c r="AC88">
        <v>1.5</v>
      </c>
      <c r="AD88">
        <v>0.6</v>
      </c>
    </row>
    <row r="89" spans="1:30" x14ac:dyDescent="0.2">
      <c r="A89" t="s">
        <v>695</v>
      </c>
      <c r="C89">
        <v>0</v>
      </c>
      <c r="D89" t="s">
        <v>10</v>
      </c>
      <c r="E89">
        <v>2500</v>
      </c>
      <c r="F89" t="s">
        <v>487</v>
      </c>
      <c r="G89" t="s">
        <v>770</v>
      </c>
      <c r="H89" s="2">
        <v>0.83333333333333337</v>
      </c>
      <c r="I89" t="s">
        <v>762</v>
      </c>
      <c r="J89" s="1">
        <v>0.51300000000000001</v>
      </c>
      <c r="K89">
        <v>-105.5</v>
      </c>
      <c r="L89">
        <v>6</v>
      </c>
      <c r="M89">
        <v>3.46</v>
      </c>
      <c r="N89">
        <v>3</v>
      </c>
      <c r="Q89" s="3">
        <v>0.35833333333333334</v>
      </c>
      <c r="R89">
        <v>2.6</v>
      </c>
      <c r="S89">
        <v>2.72</v>
      </c>
      <c r="T89">
        <v>0</v>
      </c>
      <c r="U89">
        <v>0</v>
      </c>
      <c r="V89">
        <v>0</v>
      </c>
      <c r="W89">
        <v>100</v>
      </c>
      <c r="Y89">
        <v>48</v>
      </c>
      <c r="Z89">
        <v>0</v>
      </c>
      <c r="AA89">
        <v>0</v>
      </c>
    </row>
    <row r="90" spans="1:30" x14ac:dyDescent="0.2">
      <c r="A90" t="s">
        <v>158</v>
      </c>
      <c r="C90">
        <v>0</v>
      </c>
      <c r="D90" t="s">
        <v>10</v>
      </c>
      <c r="E90">
        <v>4000</v>
      </c>
      <c r="F90" t="s">
        <v>499</v>
      </c>
      <c r="G90" t="s">
        <v>775</v>
      </c>
      <c r="H90" s="2">
        <v>0.79166666666666663</v>
      </c>
      <c r="I90" t="s">
        <v>762</v>
      </c>
      <c r="J90" s="1">
        <v>0.50700000000000001</v>
      </c>
      <c r="K90">
        <v>-103</v>
      </c>
      <c r="L90">
        <v>6.5</v>
      </c>
      <c r="M90">
        <v>3.71</v>
      </c>
      <c r="N90">
        <v>3.25</v>
      </c>
      <c r="O90">
        <v>3</v>
      </c>
      <c r="P90">
        <v>2</v>
      </c>
      <c r="Q90" s="3">
        <v>0.64097222222222228</v>
      </c>
      <c r="R90">
        <v>7.8</v>
      </c>
      <c r="S90">
        <v>7.14</v>
      </c>
      <c r="T90">
        <v>25.36</v>
      </c>
      <c r="U90">
        <v>11.08</v>
      </c>
      <c r="V90">
        <v>11.08</v>
      </c>
      <c r="W90">
        <v>100</v>
      </c>
      <c r="Y90">
        <v>54</v>
      </c>
      <c r="Z90">
        <v>2.8</v>
      </c>
      <c r="AA90">
        <v>0</v>
      </c>
      <c r="AB90" s="3">
        <v>0.52430555555555558</v>
      </c>
      <c r="AC90">
        <v>16.3</v>
      </c>
      <c r="AD90">
        <v>4.0999999999999996</v>
      </c>
    </row>
    <row r="91" spans="1:30" x14ac:dyDescent="0.2">
      <c r="A91" t="s">
        <v>1037</v>
      </c>
      <c r="C91">
        <v>0</v>
      </c>
      <c r="D91" t="s">
        <v>5</v>
      </c>
      <c r="E91">
        <v>2500</v>
      </c>
      <c r="F91" t="s">
        <v>505</v>
      </c>
      <c r="G91" t="s">
        <v>793</v>
      </c>
      <c r="H91" s="2">
        <v>0.91666666666666663</v>
      </c>
      <c r="I91" t="s">
        <v>762</v>
      </c>
      <c r="J91" s="1">
        <v>0.41499999999999998</v>
      </c>
      <c r="K91">
        <v>-71</v>
      </c>
      <c r="L91">
        <v>6</v>
      </c>
      <c r="M91">
        <v>3.02</v>
      </c>
      <c r="N91">
        <v>3</v>
      </c>
      <c r="Q91" s="3">
        <v>0.48472222222222222</v>
      </c>
      <c r="R91">
        <v>4.7</v>
      </c>
      <c r="S91">
        <v>5.53</v>
      </c>
      <c r="T91">
        <v>0</v>
      </c>
      <c r="U91">
        <v>0</v>
      </c>
      <c r="V91">
        <v>0</v>
      </c>
      <c r="W91">
        <v>100</v>
      </c>
      <c r="Y91">
        <v>41</v>
      </c>
      <c r="Z91">
        <v>0</v>
      </c>
      <c r="AA91">
        <v>0</v>
      </c>
    </row>
    <row r="92" spans="1:30" x14ac:dyDescent="0.2">
      <c r="A92" t="s">
        <v>582</v>
      </c>
      <c r="C92">
        <v>0</v>
      </c>
      <c r="D92" t="s">
        <v>10</v>
      </c>
      <c r="E92">
        <v>3300</v>
      </c>
      <c r="F92" t="s">
        <v>505</v>
      </c>
      <c r="G92" t="s">
        <v>793</v>
      </c>
      <c r="H92" s="2">
        <v>0.91666666666666663</v>
      </c>
      <c r="I92" t="s">
        <v>762</v>
      </c>
      <c r="J92" s="1">
        <v>0.41499999999999998</v>
      </c>
      <c r="K92">
        <v>-71</v>
      </c>
      <c r="L92">
        <v>6</v>
      </c>
      <c r="M92">
        <v>3.02</v>
      </c>
      <c r="N92">
        <v>3</v>
      </c>
      <c r="O92">
        <v>2</v>
      </c>
      <c r="Q92" s="3">
        <v>0.52916666666666667</v>
      </c>
      <c r="R92">
        <v>4.2</v>
      </c>
      <c r="S92">
        <v>4.3099999999999996</v>
      </c>
      <c r="T92">
        <v>13.66</v>
      </c>
      <c r="U92">
        <v>5.04</v>
      </c>
      <c r="V92">
        <v>5.04</v>
      </c>
      <c r="W92">
        <v>100</v>
      </c>
      <c r="Y92">
        <v>49</v>
      </c>
      <c r="Z92">
        <v>1.5</v>
      </c>
      <c r="AA92">
        <v>0</v>
      </c>
      <c r="AB92" s="3">
        <v>0.13333333333333333</v>
      </c>
      <c r="AC92">
        <v>0</v>
      </c>
    </row>
    <row r="93" spans="1:30" x14ac:dyDescent="0.2">
      <c r="A93" t="s">
        <v>883</v>
      </c>
      <c r="C93">
        <v>0</v>
      </c>
      <c r="D93" t="s">
        <v>10</v>
      </c>
      <c r="E93">
        <v>3900</v>
      </c>
      <c r="F93" t="s">
        <v>502</v>
      </c>
      <c r="G93" t="s">
        <v>798</v>
      </c>
      <c r="H93" s="2">
        <v>0.83333333333333337</v>
      </c>
      <c r="I93" t="s">
        <v>766</v>
      </c>
      <c r="J93" s="1">
        <v>0.48699999999999999</v>
      </c>
      <c r="K93">
        <v>105.5</v>
      </c>
      <c r="L93">
        <v>6</v>
      </c>
      <c r="M93">
        <v>3</v>
      </c>
      <c r="N93">
        <v>3.46</v>
      </c>
      <c r="Q93" s="3">
        <v>0.70625000000000004</v>
      </c>
      <c r="R93">
        <v>8.1</v>
      </c>
      <c r="S93">
        <v>6.14</v>
      </c>
      <c r="T93">
        <v>0</v>
      </c>
      <c r="U93">
        <v>0</v>
      </c>
      <c r="V93">
        <v>0</v>
      </c>
      <c r="W93">
        <v>100</v>
      </c>
      <c r="Y93">
        <v>62</v>
      </c>
      <c r="Z93">
        <v>0</v>
      </c>
      <c r="AA93">
        <v>0</v>
      </c>
    </row>
    <row r="94" spans="1:30" x14ac:dyDescent="0.2">
      <c r="A94" t="s">
        <v>426</v>
      </c>
      <c r="C94">
        <v>0</v>
      </c>
      <c r="D94" t="s">
        <v>5</v>
      </c>
      <c r="E94">
        <v>2500</v>
      </c>
      <c r="F94" t="s">
        <v>499</v>
      </c>
      <c r="G94" t="s">
        <v>775</v>
      </c>
      <c r="H94" s="2">
        <v>0.79166666666666663</v>
      </c>
      <c r="I94" t="s">
        <v>762</v>
      </c>
      <c r="J94" s="1">
        <v>0.50700000000000001</v>
      </c>
      <c r="K94">
        <v>-103</v>
      </c>
      <c r="L94">
        <v>6.5</v>
      </c>
      <c r="M94">
        <v>3.71</v>
      </c>
      <c r="N94">
        <v>3.25</v>
      </c>
      <c r="O94">
        <v>4</v>
      </c>
      <c r="Q94" s="3">
        <v>0.57013888888888886</v>
      </c>
      <c r="R94">
        <v>4.2</v>
      </c>
      <c r="S94">
        <v>4.54</v>
      </c>
      <c r="T94">
        <v>15.67</v>
      </c>
      <c r="U94">
        <v>6.59</v>
      </c>
      <c r="V94">
        <v>6.59</v>
      </c>
      <c r="W94">
        <v>100</v>
      </c>
      <c r="Y94">
        <v>46</v>
      </c>
      <c r="Z94">
        <v>2.6</v>
      </c>
      <c r="AA94">
        <v>0</v>
      </c>
      <c r="AB94" s="3">
        <v>0.54861111111111116</v>
      </c>
      <c r="AC94">
        <v>12.6</v>
      </c>
      <c r="AD94">
        <v>5</v>
      </c>
    </row>
    <row r="95" spans="1:30" x14ac:dyDescent="0.2">
      <c r="A95" t="s">
        <v>121</v>
      </c>
      <c r="C95">
        <v>0</v>
      </c>
      <c r="D95" t="s">
        <v>5</v>
      </c>
      <c r="E95">
        <v>7900</v>
      </c>
      <c r="F95" t="s">
        <v>494</v>
      </c>
      <c r="G95" t="s">
        <v>782</v>
      </c>
      <c r="H95" s="2">
        <v>0.79166666666666663</v>
      </c>
      <c r="I95" t="s">
        <v>762</v>
      </c>
      <c r="J95" s="1">
        <v>0.47199999999999998</v>
      </c>
      <c r="K95">
        <v>-89.5</v>
      </c>
      <c r="L95">
        <v>6</v>
      </c>
      <c r="M95">
        <v>3</v>
      </c>
      <c r="N95">
        <v>2.82</v>
      </c>
      <c r="O95">
        <v>1</v>
      </c>
      <c r="P95">
        <v>2</v>
      </c>
      <c r="Q95" s="3">
        <v>0.84375</v>
      </c>
      <c r="R95">
        <v>12</v>
      </c>
      <c r="S95">
        <v>7.54</v>
      </c>
      <c r="T95">
        <v>28.33</v>
      </c>
      <c r="U95">
        <v>13.25</v>
      </c>
      <c r="V95">
        <v>13.25</v>
      </c>
      <c r="W95">
        <v>100</v>
      </c>
      <c r="Y95">
        <v>69</v>
      </c>
      <c r="Z95">
        <v>1.7</v>
      </c>
      <c r="AA95">
        <v>0</v>
      </c>
      <c r="AB95" s="3">
        <v>0.82986111111111116</v>
      </c>
      <c r="AC95">
        <v>10.6</v>
      </c>
      <c r="AD95">
        <v>1.3</v>
      </c>
    </row>
    <row r="96" spans="1:30" x14ac:dyDescent="0.2">
      <c r="A96" t="s">
        <v>404</v>
      </c>
      <c r="C96">
        <v>0</v>
      </c>
      <c r="D96" t="s">
        <v>10</v>
      </c>
      <c r="E96">
        <v>3800</v>
      </c>
      <c r="F96" t="s">
        <v>509</v>
      </c>
      <c r="G96" t="s">
        <v>791</v>
      </c>
      <c r="H96" s="2">
        <v>0.79166666666666663</v>
      </c>
      <c r="I96" t="s">
        <v>766</v>
      </c>
      <c r="J96" s="1">
        <v>0.51900000000000002</v>
      </c>
      <c r="K96">
        <v>92.5</v>
      </c>
      <c r="L96">
        <v>6.5</v>
      </c>
      <c r="M96">
        <v>3.25</v>
      </c>
      <c r="N96">
        <v>3.62</v>
      </c>
      <c r="O96">
        <v>3</v>
      </c>
      <c r="P96">
        <v>1</v>
      </c>
      <c r="Q96" s="3">
        <v>0.6430555555555556</v>
      </c>
      <c r="R96">
        <v>6.6</v>
      </c>
      <c r="S96">
        <v>5.95</v>
      </c>
      <c r="T96">
        <v>19.88</v>
      </c>
      <c r="U96">
        <v>7.98</v>
      </c>
      <c r="V96">
        <v>7.98</v>
      </c>
      <c r="W96">
        <v>100</v>
      </c>
      <c r="Y96">
        <v>55</v>
      </c>
      <c r="Z96">
        <v>2.1</v>
      </c>
      <c r="AA96">
        <v>0</v>
      </c>
      <c r="AB96" s="3">
        <v>0.6743055555555556</v>
      </c>
      <c r="AC96">
        <v>1.3</v>
      </c>
      <c r="AD96">
        <v>0.3</v>
      </c>
    </row>
    <row r="97" spans="1:30" x14ac:dyDescent="0.2">
      <c r="A97" t="s">
        <v>259</v>
      </c>
      <c r="C97">
        <v>0</v>
      </c>
      <c r="D97" t="s">
        <v>10</v>
      </c>
      <c r="E97">
        <v>4500</v>
      </c>
      <c r="F97" t="s">
        <v>490</v>
      </c>
      <c r="G97" t="s">
        <v>771</v>
      </c>
      <c r="H97" s="2">
        <v>0.91666666666666663</v>
      </c>
      <c r="I97" t="s">
        <v>766</v>
      </c>
      <c r="J97" s="1">
        <v>0.58499999999999996</v>
      </c>
      <c r="K97">
        <v>71</v>
      </c>
      <c r="L97">
        <v>6</v>
      </c>
      <c r="M97">
        <v>3</v>
      </c>
      <c r="N97">
        <v>3.02</v>
      </c>
      <c r="O97">
        <v>1</v>
      </c>
      <c r="P97">
        <v>2</v>
      </c>
      <c r="Q97" s="3">
        <v>0.63472222222222219</v>
      </c>
      <c r="R97">
        <v>7.7</v>
      </c>
      <c r="S97">
        <v>6.68</v>
      </c>
      <c r="T97">
        <v>23.45</v>
      </c>
      <c r="U97">
        <v>10.09</v>
      </c>
      <c r="V97">
        <v>10.09</v>
      </c>
      <c r="W97">
        <v>100</v>
      </c>
      <c r="Y97">
        <v>57</v>
      </c>
      <c r="Z97">
        <v>2.2000000000000002</v>
      </c>
      <c r="AA97">
        <v>0</v>
      </c>
      <c r="AB97" s="3">
        <v>0.7055555555555556</v>
      </c>
      <c r="AC97">
        <v>4.5</v>
      </c>
      <c r="AD97">
        <v>1</v>
      </c>
    </row>
    <row r="98" spans="1:30" x14ac:dyDescent="0.2">
      <c r="A98" t="s">
        <v>982</v>
      </c>
      <c r="C98">
        <v>0</v>
      </c>
      <c r="D98" t="s">
        <v>10</v>
      </c>
      <c r="E98">
        <v>2500</v>
      </c>
      <c r="F98" t="s">
        <v>500</v>
      </c>
      <c r="G98" t="s">
        <v>785</v>
      </c>
      <c r="H98" s="2">
        <v>0.8125</v>
      </c>
      <c r="I98" t="s">
        <v>766</v>
      </c>
      <c r="J98" s="1">
        <v>0.56000000000000005</v>
      </c>
      <c r="K98">
        <v>78.5</v>
      </c>
      <c r="L98">
        <v>6.5</v>
      </c>
      <c r="M98">
        <v>3.25</v>
      </c>
      <c r="N98">
        <v>3.43</v>
      </c>
      <c r="Q98" s="3">
        <v>0.43819444444444444</v>
      </c>
      <c r="R98">
        <v>2.1</v>
      </c>
      <c r="S98">
        <v>0.75</v>
      </c>
      <c r="T98">
        <v>0</v>
      </c>
      <c r="U98">
        <v>0</v>
      </c>
      <c r="V98">
        <v>0</v>
      </c>
      <c r="W98">
        <v>100</v>
      </c>
      <c r="Y98">
        <v>0</v>
      </c>
      <c r="Z98">
        <v>0</v>
      </c>
      <c r="AA98">
        <v>0</v>
      </c>
    </row>
    <row r="99" spans="1:30" x14ac:dyDescent="0.2">
      <c r="A99" t="s">
        <v>968</v>
      </c>
      <c r="C99">
        <v>0</v>
      </c>
      <c r="D99" t="s">
        <v>10</v>
      </c>
      <c r="E99">
        <v>2500</v>
      </c>
      <c r="F99" t="s">
        <v>499</v>
      </c>
      <c r="G99" t="s">
        <v>775</v>
      </c>
      <c r="H99" s="2">
        <v>0.79166666666666663</v>
      </c>
      <c r="I99" t="s">
        <v>762</v>
      </c>
      <c r="J99" s="1">
        <v>0.50700000000000001</v>
      </c>
      <c r="K99">
        <v>-103</v>
      </c>
      <c r="L99">
        <v>6.5</v>
      </c>
      <c r="M99">
        <v>3.71</v>
      </c>
      <c r="N99">
        <v>3.25</v>
      </c>
      <c r="T99">
        <v>0</v>
      </c>
      <c r="U99">
        <v>0</v>
      </c>
      <c r="V99">
        <v>0</v>
      </c>
      <c r="W99">
        <v>100</v>
      </c>
      <c r="Y99">
        <v>0</v>
      </c>
      <c r="Z99">
        <v>0</v>
      </c>
      <c r="AA99">
        <v>0</v>
      </c>
    </row>
    <row r="100" spans="1:30" x14ac:dyDescent="0.2">
      <c r="A100" t="s">
        <v>937</v>
      </c>
      <c r="C100">
        <v>0</v>
      </c>
      <c r="D100" t="s">
        <v>10</v>
      </c>
      <c r="E100">
        <v>2500</v>
      </c>
      <c r="F100" t="s">
        <v>768</v>
      </c>
      <c r="G100" t="s">
        <v>769</v>
      </c>
      <c r="H100" s="2">
        <v>0.79166666666666663</v>
      </c>
      <c r="I100" t="s">
        <v>762</v>
      </c>
      <c r="J100" s="1">
        <v>0.51800000000000002</v>
      </c>
      <c r="K100">
        <v>-107.5</v>
      </c>
      <c r="L100">
        <v>5.5</v>
      </c>
      <c r="M100">
        <v>3.2</v>
      </c>
      <c r="N100">
        <v>2.75</v>
      </c>
      <c r="Q100" s="3">
        <v>0.59861111111111109</v>
      </c>
      <c r="R100">
        <v>1.4</v>
      </c>
      <c r="S100">
        <v>1.41</v>
      </c>
      <c r="T100">
        <v>0</v>
      </c>
      <c r="U100">
        <v>0</v>
      </c>
      <c r="V100">
        <v>0</v>
      </c>
      <c r="W100">
        <v>100</v>
      </c>
      <c r="Y100">
        <v>50</v>
      </c>
      <c r="Z100">
        <v>0</v>
      </c>
      <c r="AA100">
        <v>0</v>
      </c>
    </row>
    <row r="101" spans="1:30" x14ac:dyDescent="0.2">
      <c r="A101" t="s">
        <v>184</v>
      </c>
      <c r="C101">
        <v>0</v>
      </c>
      <c r="D101" t="s">
        <v>17</v>
      </c>
      <c r="E101">
        <v>3400</v>
      </c>
      <c r="F101" t="s">
        <v>486</v>
      </c>
      <c r="G101" t="s">
        <v>776</v>
      </c>
      <c r="H101" s="2">
        <v>0.79166666666666663</v>
      </c>
      <c r="I101" t="s">
        <v>762</v>
      </c>
      <c r="J101" s="1">
        <v>0.435</v>
      </c>
      <c r="K101">
        <v>-77</v>
      </c>
      <c r="L101">
        <v>5.5</v>
      </c>
      <c r="M101">
        <v>2.87</v>
      </c>
      <c r="N101">
        <v>2.75</v>
      </c>
      <c r="O101">
        <v>2</v>
      </c>
      <c r="P101">
        <v>2</v>
      </c>
      <c r="Q101" s="3">
        <v>0.93958333333333333</v>
      </c>
      <c r="R101">
        <v>7</v>
      </c>
      <c r="S101">
        <v>6.34</v>
      </c>
      <c r="T101">
        <v>19.940000000000001</v>
      </c>
      <c r="U101">
        <v>7.26</v>
      </c>
      <c r="V101">
        <v>7.26</v>
      </c>
      <c r="W101">
        <v>100</v>
      </c>
      <c r="Y101">
        <v>55</v>
      </c>
      <c r="Z101">
        <v>2.1</v>
      </c>
      <c r="AA101">
        <v>0</v>
      </c>
      <c r="AB101" s="3">
        <v>0.86111111111111116</v>
      </c>
      <c r="AC101">
        <v>9.1</v>
      </c>
      <c r="AD101">
        <v>2.7</v>
      </c>
    </row>
    <row r="102" spans="1:30" x14ac:dyDescent="0.2">
      <c r="A102" t="s">
        <v>939</v>
      </c>
      <c r="C102">
        <v>0</v>
      </c>
      <c r="D102" t="s">
        <v>5</v>
      </c>
      <c r="E102">
        <v>2500</v>
      </c>
      <c r="F102" t="s">
        <v>496</v>
      </c>
      <c r="G102" t="s">
        <v>787</v>
      </c>
      <c r="H102" s="2">
        <v>0.79166666666666663</v>
      </c>
      <c r="I102" t="s">
        <v>766</v>
      </c>
      <c r="J102" s="1">
        <v>0.48199999999999998</v>
      </c>
      <c r="K102">
        <v>107.5</v>
      </c>
      <c r="L102">
        <v>5.5</v>
      </c>
      <c r="M102">
        <v>2.75</v>
      </c>
      <c r="N102">
        <v>3.2</v>
      </c>
      <c r="Q102" s="3">
        <v>0.37569444444444444</v>
      </c>
      <c r="R102">
        <v>3.6</v>
      </c>
      <c r="S102">
        <v>3.84</v>
      </c>
      <c r="T102">
        <v>0</v>
      </c>
      <c r="U102">
        <v>0</v>
      </c>
      <c r="V102">
        <v>0</v>
      </c>
      <c r="W102">
        <v>100</v>
      </c>
      <c r="Y102">
        <v>47</v>
      </c>
      <c r="Z102">
        <v>0</v>
      </c>
      <c r="AA102">
        <v>0</v>
      </c>
    </row>
    <row r="103" spans="1:30" x14ac:dyDescent="0.2">
      <c r="A103" t="s">
        <v>122</v>
      </c>
      <c r="C103">
        <v>0</v>
      </c>
      <c r="D103" t="s">
        <v>10</v>
      </c>
      <c r="E103">
        <v>6300</v>
      </c>
      <c r="F103" t="s">
        <v>493</v>
      </c>
      <c r="G103" t="s">
        <v>789</v>
      </c>
      <c r="H103" s="2">
        <v>0.83333333333333337</v>
      </c>
      <c r="I103" t="s">
        <v>762</v>
      </c>
      <c r="J103" s="1">
        <v>0.48699999999999999</v>
      </c>
      <c r="K103">
        <v>-95</v>
      </c>
      <c r="L103">
        <v>5.5</v>
      </c>
      <c r="M103">
        <v>2.75</v>
      </c>
      <c r="N103">
        <v>2.54</v>
      </c>
      <c r="O103">
        <v>3</v>
      </c>
      <c r="P103">
        <v>1</v>
      </c>
      <c r="Q103" s="3">
        <v>0.76944444444444449</v>
      </c>
      <c r="R103">
        <v>12.7</v>
      </c>
      <c r="S103">
        <v>9.18</v>
      </c>
      <c r="T103">
        <v>31.2</v>
      </c>
      <c r="U103">
        <v>12.84</v>
      </c>
      <c r="V103">
        <v>12.84</v>
      </c>
      <c r="W103">
        <v>100</v>
      </c>
      <c r="Y103">
        <v>64</v>
      </c>
      <c r="Z103">
        <v>2</v>
      </c>
      <c r="AA103">
        <v>0</v>
      </c>
      <c r="AB103" s="3">
        <v>0.47152777777777777</v>
      </c>
      <c r="AC103">
        <v>3</v>
      </c>
      <c r="AD103">
        <v>0.5</v>
      </c>
    </row>
    <row r="104" spans="1:30" x14ac:dyDescent="0.2">
      <c r="A104" t="s">
        <v>443</v>
      </c>
      <c r="C104">
        <v>0</v>
      </c>
      <c r="D104" t="s">
        <v>17</v>
      </c>
      <c r="E104">
        <v>3500</v>
      </c>
      <c r="F104" t="s">
        <v>501</v>
      </c>
      <c r="G104" t="s">
        <v>783</v>
      </c>
      <c r="H104" s="2">
        <v>0.79166666666666663</v>
      </c>
      <c r="I104" t="s">
        <v>766</v>
      </c>
      <c r="J104" s="1">
        <v>0.52800000000000002</v>
      </c>
      <c r="K104">
        <v>89.5</v>
      </c>
      <c r="L104">
        <v>6</v>
      </c>
      <c r="M104">
        <v>2.82</v>
      </c>
      <c r="N104">
        <v>3</v>
      </c>
      <c r="O104">
        <v>1</v>
      </c>
      <c r="Q104" s="3">
        <v>0.84305555555555556</v>
      </c>
      <c r="R104">
        <v>5.8</v>
      </c>
      <c r="S104">
        <v>4.08</v>
      </c>
      <c r="T104">
        <v>14.3</v>
      </c>
      <c r="U104">
        <v>6.14</v>
      </c>
      <c r="V104">
        <v>6.14</v>
      </c>
      <c r="W104">
        <v>100</v>
      </c>
      <c r="Y104">
        <v>65</v>
      </c>
      <c r="Z104">
        <v>1.8</v>
      </c>
      <c r="AA104">
        <v>0</v>
      </c>
      <c r="AB104" s="3">
        <v>0.85972222222222228</v>
      </c>
      <c r="AC104">
        <v>6</v>
      </c>
      <c r="AD104">
        <v>1.7</v>
      </c>
    </row>
    <row r="105" spans="1:30" x14ac:dyDescent="0.2">
      <c r="A105" t="s">
        <v>578</v>
      </c>
      <c r="C105">
        <v>0</v>
      </c>
      <c r="D105" t="s">
        <v>10</v>
      </c>
      <c r="E105">
        <v>2500</v>
      </c>
      <c r="F105" t="s">
        <v>498</v>
      </c>
      <c r="G105" t="s">
        <v>779</v>
      </c>
      <c r="H105" s="2">
        <v>0.79166666666666663</v>
      </c>
      <c r="I105" t="s">
        <v>762</v>
      </c>
      <c r="J105" s="1">
        <v>0.50600000000000001</v>
      </c>
      <c r="K105">
        <v>-102.5</v>
      </c>
      <c r="L105">
        <v>6</v>
      </c>
      <c r="M105">
        <v>3.44</v>
      </c>
      <c r="N105">
        <v>3</v>
      </c>
      <c r="Q105" s="3">
        <v>0.49305555555555558</v>
      </c>
      <c r="R105">
        <v>4.0999999999999996</v>
      </c>
      <c r="S105">
        <v>4.97</v>
      </c>
      <c r="T105">
        <v>0</v>
      </c>
      <c r="U105">
        <v>0</v>
      </c>
      <c r="V105">
        <v>0</v>
      </c>
      <c r="W105">
        <v>100</v>
      </c>
      <c r="Y105">
        <v>39</v>
      </c>
      <c r="Z105">
        <v>0</v>
      </c>
      <c r="AA105">
        <v>0</v>
      </c>
    </row>
    <row r="106" spans="1:30" x14ac:dyDescent="0.2">
      <c r="A106" t="s">
        <v>947</v>
      </c>
      <c r="C106">
        <v>0</v>
      </c>
      <c r="D106" t="s">
        <v>5</v>
      </c>
      <c r="E106">
        <v>2500</v>
      </c>
      <c r="F106" t="s">
        <v>506</v>
      </c>
      <c r="G106" t="s">
        <v>786</v>
      </c>
      <c r="H106" s="2">
        <v>0.79166666666666663</v>
      </c>
      <c r="I106" t="s">
        <v>766</v>
      </c>
      <c r="J106" s="1">
        <v>0.53600000000000003</v>
      </c>
      <c r="K106">
        <v>86.5</v>
      </c>
      <c r="L106">
        <v>6</v>
      </c>
      <c r="M106">
        <v>3</v>
      </c>
      <c r="N106">
        <v>3.19</v>
      </c>
      <c r="Q106" s="3">
        <v>0.53541666666666665</v>
      </c>
      <c r="R106">
        <v>2.7</v>
      </c>
      <c r="S106">
        <v>2.0699999999999998</v>
      </c>
      <c r="T106">
        <v>0</v>
      </c>
      <c r="U106">
        <v>0</v>
      </c>
      <c r="V106">
        <v>0</v>
      </c>
      <c r="W106">
        <v>100</v>
      </c>
      <c r="Y106">
        <v>62</v>
      </c>
      <c r="Z106">
        <v>0</v>
      </c>
      <c r="AA106">
        <v>0</v>
      </c>
    </row>
    <row r="107" spans="1:30" x14ac:dyDescent="0.2">
      <c r="A107" t="s">
        <v>301</v>
      </c>
      <c r="C107">
        <v>0</v>
      </c>
      <c r="D107" t="s">
        <v>17</v>
      </c>
      <c r="E107">
        <v>3200</v>
      </c>
      <c r="F107" t="s">
        <v>506</v>
      </c>
      <c r="G107" t="s">
        <v>786</v>
      </c>
      <c r="H107" s="2">
        <v>0.79166666666666663</v>
      </c>
      <c r="I107" t="s">
        <v>766</v>
      </c>
      <c r="J107" s="1">
        <v>0.53600000000000003</v>
      </c>
      <c r="K107">
        <v>86.5</v>
      </c>
      <c r="L107">
        <v>6</v>
      </c>
      <c r="M107">
        <v>3</v>
      </c>
      <c r="N107">
        <v>3.19</v>
      </c>
      <c r="O107">
        <v>1</v>
      </c>
      <c r="Q107" s="3">
        <v>0.92361111111111116</v>
      </c>
      <c r="R107">
        <v>5.5</v>
      </c>
      <c r="S107">
        <v>4.38</v>
      </c>
      <c r="T107">
        <v>15.49</v>
      </c>
      <c r="U107">
        <v>6.73</v>
      </c>
      <c r="V107">
        <v>6.73</v>
      </c>
      <c r="W107">
        <v>100</v>
      </c>
      <c r="Y107">
        <v>60</v>
      </c>
      <c r="Z107">
        <v>2.1</v>
      </c>
      <c r="AA107">
        <v>0</v>
      </c>
      <c r="AB107" s="4">
        <v>1.1854166666666666</v>
      </c>
      <c r="AC107">
        <v>0</v>
      </c>
    </row>
    <row r="108" spans="1:30" x14ac:dyDescent="0.2">
      <c r="A108" t="s">
        <v>247</v>
      </c>
      <c r="C108">
        <v>0</v>
      </c>
      <c r="D108" t="s">
        <v>10</v>
      </c>
      <c r="E108">
        <v>2600</v>
      </c>
      <c r="F108" t="s">
        <v>483</v>
      </c>
      <c r="G108" t="s">
        <v>772</v>
      </c>
      <c r="H108" s="2">
        <v>0.91666666666666663</v>
      </c>
      <c r="I108" t="s">
        <v>762</v>
      </c>
      <c r="J108" s="1">
        <v>0.46500000000000002</v>
      </c>
      <c r="K108">
        <v>-87</v>
      </c>
      <c r="L108">
        <v>6</v>
      </c>
      <c r="M108">
        <v>3.14</v>
      </c>
      <c r="N108">
        <v>3</v>
      </c>
      <c r="O108">
        <v>2</v>
      </c>
      <c r="P108">
        <v>2</v>
      </c>
      <c r="Q108" s="3">
        <v>0.58819444444444446</v>
      </c>
      <c r="R108">
        <v>6.1</v>
      </c>
      <c r="S108">
        <v>5.13</v>
      </c>
      <c r="T108">
        <v>16.34</v>
      </c>
      <c r="U108">
        <v>6.08</v>
      </c>
      <c r="V108">
        <v>6.08</v>
      </c>
      <c r="W108">
        <v>100</v>
      </c>
      <c r="Y108">
        <v>58</v>
      </c>
      <c r="Z108">
        <v>2.2999999999999998</v>
      </c>
      <c r="AA108">
        <v>0</v>
      </c>
      <c r="AB108" s="3">
        <v>0.5444444444444444</v>
      </c>
      <c r="AC108">
        <v>5.8</v>
      </c>
      <c r="AD108">
        <v>2.2000000000000002</v>
      </c>
    </row>
    <row r="109" spans="1:30" x14ac:dyDescent="0.2">
      <c r="A109" t="s">
        <v>1018</v>
      </c>
      <c r="C109">
        <v>0</v>
      </c>
      <c r="D109" t="s">
        <v>5</v>
      </c>
      <c r="E109">
        <v>2500</v>
      </c>
      <c r="F109" t="s">
        <v>510</v>
      </c>
      <c r="G109" t="s">
        <v>802</v>
      </c>
      <c r="H109" s="2">
        <v>0.91666666666666663</v>
      </c>
      <c r="I109" t="s">
        <v>766</v>
      </c>
      <c r="J109" s="1">
        <v>0.51200000000000001</v>
      </c>
      <c r="K109">
        <v>95.5</v>
      </c>
      <c r="L109">
        <v>6.5</v>
      </c>
      <c r="M109">
        <v>3.01</v>
      </c>
      <c r="N109">
        <v>3.25</v>
      </c>
      <c r="Q109" s="3">
        <v>0.47430555555555554</v>
      </c>
      <c r="R109">
        <v>2.2999999999999998</v>
      </c>
      <c r="S109">
        <v>3.23</v>
      </c>
      <c r="T109">
        <v>0</v>
      </c>
      <c r="U109">
        <v>0</v>
      </c>
      <c r="V109">
        <v>0</v>
      </c>
      <c r="W109">
        <v>100</v>
      </c>
      <c r="Y109">
        <v>30</v>
      </c>
      <c r="Z109">
        <v>0</v>
      </c>
      <c r="AA109">
        <v>0</v>
      </c>
    </row>
    <row r="110" spans="1:30" x14ac:dyDescent="0.2">
      <c r="A110" t="s">
        <v>114</v>
      </c>
      <c r="C110">
        <v>0</v>
      </c>
      <c r="D110" t="s">
        <v>7</v>
      </c>
      <c r="E110">
        <v>8200</v>
      </c>
      <c r="F110" t="s">
        <v>498</v>
      </c>
      <c r="G110" t="s">
        <v>779</v>
      </c>
      <c r="H110" s="2">
        <v>0.79166666666666663</v>
      </c>
      <c r="I110" t="s">
        <v>762</v>
      </c>
      <c r="J110" s="1">
        <v>0.50600000000000001</v>
      </c>
      <c r="K110">
        <v>-102.5</v>
      </c>
      <c r="L110">
        <v>6</v>
      </c>
      <c r="M110">
        <v>3.44</v>
      </c>
      <c r="N110">
        <v>3</v>
      </c>
      <c r="O110" t="s">
        <v>780</v>
      </c>
      <c r="Q110" s="4">
        <v>2.5319444444444446</v>
      </c>
      <c r="R110">
        <v>12.9</v>
      </c>
      <c r="S110">
        <v>7.22</v>
      </c>
      <c r="T110">
        <v>26.04</v>
      </c>
      <c r="U110">
        <v>11.6</v>
      </c>
      <c r="V110">
        <v>11.6</v>
      </c>
      <c r="W110">
        <v>100</v>
      </c>
      <c r="Y110">
        <v>72</v>
      </c>
      <c r="Z110">
        <v>1.4</v>
      </c>
      <c r="AA110">
        <v>0</v>
      </c>
      <c r="AB110" s="4">
        <v>2.4590277777777776</v>
      </c>
      <c r="AC110">
        <v>6.7</v>
      </c>
      <c r="AD110">
        <v>0.8</v>
      </c>
    </row>
    <row r="111" spans="1:30" x14ac:dyDescent="0.2">
      <c r="A111" t="s">
        <v>370</v>
      </c>
      <c r="C111">
        <v>0</v>
      </c>
      <c r="D111" t="s">
        <v>17</v>
      </c>
      <c r="E111">
        <v>2900</v>
      </c>
      <c r="F111" t="s">
        <v>490</v>
      </c>
      <c r="G111" t="s">
        <v>771</v>
      </c>
      <c r="H111" s="2">
        <v>0.91666666666666663</v>
      </c>
      <c r="I111" t="s">
        <v>766</v>
      </c>
      <c r="J111" s="1">
        <v>0.58499999999999996</v>
      </c>
      <c r="K111">
        <v>71</v>
      </c>
      <c r="L111">
        <v>6</v>
      </c>
      <c r="M111">
        <v>3</v>
      </c>
      <c r="N111">
        <v>3.02</v>
      </c>
      <c r="O111">
        <v>2</v>
      </c>
      <c r="Q111" s="3">
        <v>0.80694444444444446</v>
      </c>
      <c r="R111">
        <v>5.8</v>
      </c>
      <c r="S111">
        <v>4.05</v>
      </c>
      <c r="T111">
        <v>14.73</v>
      </c>
      <c r="U111">
        <v>6.63</v>
      </c>
      <c r="V111">
        <v>6.63</v>
      </c>
      <c r="W111">
        <v>100</v>
      </c>
      <c r="Y111">
        <v>65</v>
      </c>
      <c r="Z111">
        <v>2.2999999999999998</v>
      </c>
      <c r="AA111">
        <v>0</v>
      </c>
      <c r="AB111" s="3">
        <v>0.75138888888888888</v>
      </c>
      <c r="AC111">
        <v>2.8</v>
      </c>
      <c r="AD111">
        <v>1</v>
      </c>
    </row>
    <row r="112" spans="1:30" x14ac:dyDescent="0.2">
      <c r="A112" t="s">
        <v>413</v>
      </c>
      <c r="C112">
        <v>0</v>
      </c>
      <c r="D112" t="s">
        <v>10</v>
      </c>
      <c r="E112">
        <v>2500</v>
      </c>
      <c r="F112" t="s">
        <v>500</v>
      </c>
      <c r="G112" t="s">
        <v>785</v>
      </c>
      <c r="H112" s="2">
        <v>0.8125</v>
      </c>
      <c r="I112" t="s">
        <v>766</v>
      </c>
      <c r="J112" s="1">
        <v>0.56000000000000005</v>
      </c>
      <c r="K112">
        <v>78.5</v>
      </c>
      <c r="L112">
        <v>6.5</v>
      </c>
      <c r="M112">
        <v>3.25</v>
      </c>
      <c r="N112">
        <v>3.43</v>
      </c>
      <c r="O112">
        <v>4</v>
      </c>
      <c r="Q112" s="3">
        <v>0.46388888888888891</v>
      </c>
      <c r="R112">
        <v>2.8</v>
      </c>
      <c r="S112">
        <v>4.03</v>
      </c>
      <c r="T112">
        <v>10.97</v>
      </c>
      <c r="U112">
        <v>2.91</v>
      </c>
      <c r="V112">
        <v>2.91</v>
      </c>
      <c r="W112">
        <v>100</v>
      </c>
      <c r="Y112">
        <v>28</v>
      </c>
      <c r="Z112">
        <v>1.2</v>
      </c>
      <c r="AA112">
        <v>0</v>
      </c>
      <c r="AB112" s="3">
        <v>0.3840277777777778</v>
      </c>
      <c r="AC112">
        <v>0</v>
      </c>
    </row>
    <row r="113" spans="1:30" x14ac:dyDescent="0.2">
      <c r="A113" t="s">
        <v>89</v>
      </c>
      <c r="C113">
        <v>0</v>
      </c>
      <c r="D113" t="s">
        <v>10</v>
      </c>
      <c r="E113">
        <v>7200</v>
      </c>
      <c r="F113" t="s">
        <v>768</v>
      </c>
      <c r="G113" t="s">
        <v>769</v>
      </c>
      <c r="H113" s="2">
        <v>0.79166666666666663</v>
      </c>
      <c r="I113" t="s">
        <v>762</v>
      </c>
      <c r="J113" s="1">
        <v>0.51800000000000002</v>
      </c>
      <c r="K113">
        <v>-107.5</v>
      </c>
      <c r="L113">
        <v>5.5</v>
      </c>
      <c r="M113">
        <v>3.2</v>
      </c>
      <c r="N113">
        <v>2.75</v>
      </c>
      <c r="O113">
        <v>1</v>
      </c>
      <c r="P113">
        <v>1</v>
      </c>
      <c r="Q113" s="3">
        <v>0.7944444444444444</v>
      </c>
      <c r="R113">
        <v>13.2</v>
      </c>
      <c r="S113">
        <v>10.65</v>
      </c>
      <c r="T113">
        <v>38.840000000000003</v>
      </c>
      <c r="U113">
        <v>17.54</v>
      </c>
      <c r="V113">
        <v>17.54</v>
      </c>
      <c r="W113">
        <v>100</v>
      </c>
      <c r="Y113">
        <v>60</v>
      </c>
      <c r="Z113">
        <v>2.4</v>
      </c>
      <c r="AA113">
        <v>0</v>
      </c>
      <c r="AB113" s="3">
        <v>0.8666666666666667</v>
      </c>
      <c r="AC113">
        <v>2.8</v>
      </c>
      <c r="AD113">
        <v>0.4</v>
      </c>
    </row>
    <row r="114" spans="1:30" x14ac:dyDescent="0.2">
      <c r="A114" t="s">
        <v>201</v>
      </c>
      <c r="C114">
        <v>0</v>
      </c>
      <c r="D114" t="s">
        <v>17</v>
      </c>
      <c r="E114">
        <v>5200</v>
      </c>
      <c r="F114" t="s">
        <v>505</v>
      </c>
      <c r="G114" t="s">
        <v>793</v>
      </c>
      <c r="H114" s="2">
        <v>0.91666666666666663</v>
      </c>
      <c r="I114" t="s">
        <v>762</v>
      </c>
      <c r="J114" s="1">
        <v>0.41499999999999998</v>
      </c>
      <c r="K114">
        <v>-71</v>
      </c>
      <c r="L114">
        <v>6</v>
      </c>
      <c r="M114">
        <v>3.02</v>
      </c>
      <c r="N114">
        <v>3</v>
      </c>
      <c r="O114">
        <v>2</v>
      </c>
      <c r="P114">
        <v>2</v>
      </c>
      <c r="Q114" s="3">
        <v>0.92500000000000004</v>
      </c>
      <c r="R114">
        <v>9.8000000000000007</v>
      </c>
      <c r="S114">
        <v>6.27</v>
      </c>
      <c r="T114">
        <v>23.06</v>
      </c>
      <c r="U114">
        <v>10.52</v>
      </c>
      <c r="V114">
        <v>10.52</v>
      </c>
      <c r="W114">
        <v>100</v>
      </c>
      <c r="Y114">
        <v>68</v>
      </c>
      <c r="Z114">
        <v>2</v>
      </c>
      <c r="AA114">
        <v>0</v>
      </c>
      <c r="AB114" s="3">
        <v>0.90208333333333335</v>
      </c>
      <c r="AC114">
        <v>19.100000000000001</v>
      </c>
      <c r="AD114">
        <v>3.7</v>
      </c>
    </row>
    <row r="115" spans="1:30" x14ac:dyDescent="0.2">
      <c r="A115" t="s">
        <v>1025</v>
      </c>
      <c r="C115">
        <v>0</v>
      </c>
      <c r="D115" t="s">
        <v>10</v>
      </c>
      <c r="E115">
        <v>2500</v>
      </c>
      <c r="F115" t="s">
        <v>483</v>
      </c>
      <c r="G115" t="s">
        <v>772</v>
      </c>
      <c r="H115" s="2">
        <v>0.91666666666666663</v>
      </c>
      <c r="I115" t="s">
        <v>762</v>
      </c>
      <c r="J115" s="1">
        <v>0.46500000000000002</v>
      </c>
      <c r="K115">
        <v>-87</v>
      </c>
      <c r="L115">
        <v>6</v>
      </c>
      <c r="M115">
        <v>3.14</v>
      </c>
      <c r="N115">
        <v>3</v>
      </c>
      <c r="Q115" s="3">
        <v>0.57777777777777772</v>
      </c>
      <c r="R115">
        <v>4.3</v>
      </c>
      <c r="S115">
        <v>3.79</v>
      </c>
      <c r="T115">
        <v>0</v>
      </c>
      <c r="U115">
        <v>0</v>
      </c>
      <c r="V115">
        <v>0</v>
      </c>
      <c r="W115">
        <v>100</v>
      </c>
      <c r="Y115">
        <v>56</v>
      </c>
      <c r="Z115">
        <v>0</v>
      </c>
      <c r="AA115">
        <v>0</v>
      </c>
    </row>
    <row r="116" spans="1:30" x14ac:dyDescent="0.2">
      <c r="A116" t="s">
        <v>721</v>
      </c>
      <c r="C116">
        <v>0</v>
      </c>
      <c r="D116" t="s">
        <v>10</v>
      </c>
      <c r="E116">
        <v>2500</v>
      </c>
      <c r="F116" t="s">
        <v>507</v>
      </c>
      <c r="G116" t="s">
        <v>796</v>
      </c>
      <c r="H116" s="2">
        <v>0.79166666666666663</v>
      </c>
      <c r="I116" t="s">
        <v>766</v>
      </c>
      <c r="J116" s="1">
        <v>0.49399999999999999</v>
      </c>
      <c r="K116">
        <v>102.5</v>
      </c>
      <c r="L116">
        <v>6</v>
      </c>
      <c r="M116">
        <v>3</v>
      </c>
      <c r="N116">
        <v>3.44</v>
      </c>
      <c r="O116">
        <v>4</v>
      </c>
      <c r="Q116" s="3">
        <v>0.40486111111111112</v>
      </c>
      <c r="R116">
        <v>2.5</v>
      </c>
      <c r="S116">
        <v>2.88</v>
      </c>
      <c r="T116">
        <v>7.95</v>
      </c>
      <c r="U116">
        <v>2.19</v>
      </c>
      <c r="V116">
        <v>2.19</v>
      </c>
      <c r="W116">
        <v>100</v>
      </c>
      <c r="Y116">
        <v>42</v>
      </c>
      <c r="Z116">
        <v>0.9</v>
      </c>
      <c r="AA116">
        <v>0</v>
      </c>
      <c r="AB116" s="3">
        <v>0.30902777777777779</v>
      </c>
      <c r="AC116">
        <v>2.6</v>
      </c>
      <c r="AD116">
        <v>1</v>
      </c>
    </row>
    <row r="117" spans="1:30" x14ac:dyDescent="0.2">
      <c r="A117" t="s">
        <v>42</v>
      </c>
      <c r="C117">
        <v>0</v>
      </c>
      <c r="D117" t="s">
        <v>17</v>
      </c>
      <c r="E117">
        <v>4400</v>
      </c>
      <c r="F117" t="s">
        <v>794</v>
      </c>
      <c r="G117" t="s">
        <v>795</v>
      </c>
      <c r="H117" s="2">
        <v>0.79166666666666663</v>
      </c>
      <c r="I117" t="s">
        <v>766</v>
      </c>
      <c r="J117" s="1">
        <v>0.56499999999999995</v>
      </c>
      <c r="K117">
        <v>77</v>
      </c>
      <c r="L117">
        <v>5.5</v>
      </c>
      <c r="M117">
        <v>2.75</v>
      </c>
      <c r="N117">
        <v>2.87</v>
      </c>
      <c r="O117">
        <v>2</v>
      </c>
      <c r="P117">
        <v>1</v>
      </c>
      <c r="Q117" s="3">
        <v>0.7895833333333333</v>
      </c>
      <c r="R117">
        <v>9.5</v>
      </c>
      <c r="S117">
        <v>6.01</v>
      </c>
      <c r="T117">
        <v>23.06</v>
      </c>
      <c r="U117">
        <v>11.04</v>
      </c>
      <c r="V117">
        <v>11.04</v>
      </c>
      <c r="W117">
        <v>100</v>
      </c>
      <c r="Y117">
        <v>68</v>
      </c>
      <c r="Z117">
        <v>2.5</v>
      </c>
      <c r="AA117">
        <v>0</v>
      </c>
      <c r="AB117" s="3">
        <v>0.87777777777777777</v>
      </c>
      <c r="AC117">
        <v>14.9</v>
      </c>
      <c r="AD117">
        <v>3.4</v>
      </c>
    </row>
    <row r="118" spans="1:30" x14ac:dyDescent="0.2">
      <c r="A118" t="s">
        <v>891</v>
      </c>
      <c r="B118" t="s">
        <v>865</v>
      </c>
      <c r="C118">
        <v>0</v>
      </c>
      <c r="D118" t="s">
        <v>17</v>
      </c>
      <c r="E118">
        <v>3300</v>
      </c>
      <c r="F118" t="s">
        <v>483</v>
      </c>
      <c r="G118" t="s">
        <v>772</v>
      </c>
      <c r="H118" s="2">
        <v>0.91666666666666663</v>
      </c>
      <c r="I118" t="s">
        <v>762</v>
      </c>
      <c r="J118" s="1">
        <v>0.46500000000000002</v>
      </c>
      <c r="K118">
        <v>-87</v>
      </c>
      <c r="L118">
        <v>6</v>
      </c>
      <c r="M118">
        <v>3.14</v>
      </c>
      <c r="N118">
        <v>3</v>
      </c>
      <c r="Q118" s="3">
        <v>0.86736111111111114</v>
      </c>
      <c r="R118">
        <v>6.8</v>
      </c>
      <c r="S118">
        <v>4.8099999999999996</v>
      </c>
      <c r="T118">
        <v>0</v>
      </c>
      <c r="U118">
        <v>0</v>
      </c>
      <c r="V118">
        <v>0</v>
      </c>
      <c r="W118">
        <v>100</v>
      </c>
      <c r="Y118">
        <v>65</v>
      </c>
      <c r="Z118">
        <v>0</v>
      </c>
      <c r="AA118">
        <v>0</v>
      </c>
    </row>
    <row r="119" spans="1:30" x14ac:dyDescent="0.2">
      <c r="A119" t="s">
        <v>609</v>
      </c>
      <c r="C119">
        <v>0</v>
      </c>
      <c r="D119" t="s">
        <v>17</v>
      </c>
      <c r="E119">
        <v>2500</v>
      </c>
      <c r="F119" t="s">
        <v>502</v>
      </c>
      <c r="G119" t="s">
        <v>798</v>
      </c>
      <c r="H119" s="2">
        <v>0.83333333333333337</v>
      </c>
      <c r="I119" t="s">
        <v>766</v>
      </c>
      <c r="J119" s="1">
        <v>0.48699999999999999</v>
      </c>
      <c r="K119">
        <v>105.5</v>
      </c>
      <c r="L119">
        <v>6</v>
      </c>
      <c r="M119">
        <v>3</v>
      </c>
      <c r="N119">
        <v>3.46</v>
      </c>
      <c r="Q119" s="3">
        <v>0.55486111111111114</v>
      </c>
      <c r="R119">
        <v>2.9</v>
      </c>
      <c r="S119">
        <v>2.97</v>
      </c>
      <c r="T119">
        <v>0</v>
      </c>
      <c r="U119">
        <v>0</v>
      </c>
      <c r="V119">
        <v>0</v>
      </c>
      <c r="W119">
        <v>100</v>
      </c>
      <c r="Y119">
        <v>49</v>
      </c>
      <c r="Z119">
        <v>0</v>
      </c>
      <c r="AA119">
        <v>0</v>
      </c>
    </row>
    <row r="120" spans="1:30" x14ac:dyDescent="0.2">
      <c r="A120" t="s">
        <v>866</v>
      </c>
      <c r="C120">
        <v>0</v>
      </c>
      <c r="D120" t="s">
        <v>5</v>
      </c>
      <c r="E120">
        <v>6200</v>
      </c>
      <c r="F120" t="s">
        <v>768</v>
      </c>
      <c r="G120" t="s">
        <v>769</v>
      </c>
      <c r="H120" s="2">
        <v>0.79166666666666663</v>
      </c>
      <c r="I120" t="s">
        <v>762</v>
      </c>
      <c r="J120" s="1">
        <v>0.51800000000000002</v>
      </c>
      <c r="K120">
        <v>-107.5</v>
      </c>
      <c r="L120">
        <v>5.5</v>
      </c>
      <c r="M120">
        <v>3.2</v>
      </c>
      <c r="N120">
        <v>2.75</v>
      </c>
      <c r="Q120" s="3">
        <v>0.75069444444444444</v>
      </c>
      <c r="R120">
        <v>9.5</v>
      </c>
      <c r="S120">
        <v>6.6</v>
      </c>
      <c r="T120">
        <v>0</v>
      </c>
      <c r="U120">
        <v>0</v>
      </c>
      <c r="V120">
        <v>0</v>
      </c>
      <c r="W120">
        <v>100</v>
      </c>
      <c r="Y120">
        <v>65</v>
      </c>
      <c r="Z120">
        <v>0</v>
      </c>
      <c r="AA120">
        <v>0</v>
      </c>
    </row>
    <row r="121" spans="1:30" x14ac:dyDescent="0.2">
      <c r="A121" t="s">
        <v>217</v>
      </c>
      <c r="C121">
        <v>0</v>
      </c>
      <c r="D121" t="s">
        <v>5</v>
      </c>
      <c r="E121">
        <v>3500</v>
      </c>
      <c r="F121" t="s">
        <v>504</v>
      </c>
      <c r="G121" t="s">
        <v>799</v>
      </c>
      <c r="H121" s="2">
        <v>0.83333333333333337</v>
      </c>
      <c r="I121" t="s">
        <v>766</v>
      </c>
      <c r="J121" s="1">
        <v>0.51300000000000001</v>
      </c>
      <c r="K121">
        <v>95</v>
      </c>
      <c r="L121">
        <v>5.5</v>
      </c>
      <c r="M121">
        <v>2.54</v>
      </c>
      <c r="N121">
        <v>2.75</v>
      </c>
      <c r="O121">
        <v>1</v>
      </c>
      <c r="P121">
        <v>2</v>
      </c>
      <c r="Q121" s="3">
        <v>0.69444444444444442</v>
      </c>
      <c r="R121">
        <v>5.8</v>
      </c>
      <c r="S121">
        <v>6.28</v>
      </c>
      <c r="T121">
        <v>18.38</v>
      </c>
      <c r="U121">
        <v>5.82</v>
      </c>
      <c r="V121">
        <v>5.82</v>
      </c>
      <c r="W121">
        <v>100</v>
      </c>
      <c r="Y121">
        <v>46</v>
      </c>
      <c r="Z121">
        <v>1.7</v>
      </c>
      <c r="AA121">
        <v>0</v>
      </c>
      <c r="AB121" s="3">
        <v>0.7</v>
      </c>
      <c r="AC121">
        <v>3</v>
      </c>
      <c r="AD121">
        <v>0.9</v>
      </c>
    </row>
    <row r="122" spans="1:30" x14ac:dyDescent="0.2">
      <c r="A122" t="s">
        <v>536</v>
      </c>
      <c r="C122">
        <v>0</v>
      </c>
      <c r="D122" t="s">
        <v>10</v>
      </c>
      <c r="E122">
        <v>2500</v>
      </c>
      <c r="F122" t="s">
        <v>497</v>
      </c>
      <c r="G122" t="s">
        <v>784</v>
      </c>
      <c r="H122" s="2">
        <v>0.79166666666666663</v>
      </c>
      <c r="I122" t="s">
        <v>766</v>
      </c>
      <c r="J122" s="1">
        <v>0.55100000000000005</v>
      </c>
      <c r="K122">
        <v>81.5</v>
      </c>
      <c r="L122">
        <v>6.5</v>
      </c>
      <c r="M122">
        <v>3.17</v>
      </c>
      <c r="N122">
        <v>3.25</v>
      </c>
      <c r="O122">
        <v>4</v>
      </c>
      <c r="P122">
        <v>2</v>
      </c>
      <c r="Q122" s="3">
        <v>0.53888888888888886</v>
      </c>
      <c r="R122">
        <v>4.5</v>
      </c>
      <c r="S122">
        <v>3.97</v>
      </c>
      <c r="T122">
        <v>13.09</v>
      </c>
      <c r="U122">
        <v>5.15</v>
      </c>
      <c r="V122">
        <v>5.15</v>
      </c>
      <c r="W122">
        <v>100</v>
      </c>
      <c r="Y122">
        <v>56</v>
      </c>
      <c r="Z122">
        <v>2.1</v>
      </c>
      <c r="AA122">
        <v>0</v>
      </c>
      <c r="AB122" s="3">
        <v>0.55902777777777779</v>
      </c>
      <c r="AC122">
        <v>2.6</v>
      </c>
      <c r="AD122">
        <v>1</v>
      </c>
    </row>
    <row r="123" spans="1:30" x14ac:dyDescent="0.2">
      <c r="A123" t="s">
        <v>388</v>
      </c>
      <c r="C123">
        <v>0</v>
      </c>
      <c r="D123" t="s">
        <v>17</v>
      </c>
      <c r="E123">
        <v>2600</v>
      </c>
      <c r="F123" t="s">
        <v>777</v>
      </c>
      <c r="G123" t="s">
        <v>778</v>
      </c>
      <c r="H123" s="2">
        <v>0.79166666666666663</v>
      </c>
      <c r="I123" t="s">
        <v>762</v>
      </c>
      <c r="J123" s="1">
        <v>0.46400000000000002</v>
      </c>
      <c r="K123">
        <v>-86.5</v>
      </c>
      <c r="L123">
        <v>6</v>
      </c>
      <c r="M123">
        <v>3.19</v>
      </c>
      <c r="N123">
        <v>3</v>
      </c>
      <c r="O123">
        <v>3</v>
      </c>
      <c r="Q123" s="3">
        <v>0.76041666666666663</v>
      </c>
      <c r="R123">
        <v>4.5999999999999996</v>
      </c>
      <c r="S123">
        <v>4.4400000000000004</v>
      </c>
      <c r="T123">
        <v>13.34</v>
      </c>
      <c r="U123">
        <v>4.46</v>
      </c>
      <c r="V123">
        <v>4.46</v>
      </c>
      <c r="W123">
        <v>100</v>
      </c>
      <c r="Y123">
        <v>52</v>
      </c>
      <c r="Z123">
        <v>1.7</v>
      </c>
      <c r="AA123">
        <v>0</v>
      </c>
      <c r="AB123" s="3">
        <v>0.67569444444444449</v>
      </c>
      <c r="AC123">
        <v>0</v>
      </c>
    </row>
    <row r="124" spans="1:30" x14ac:dyDescent="0.2">
      <c r="A124" t="s">
        <v>692</v>
      </c>
      <c r="C124">
        <v>0</v>
      </c>
      <c r="D124" t="s">
        <v>10</v>
      </c>
      <c r="E124">
        <v>2500</v>
      </c>
      <c r="F124" t="s">
        <v>501</v>
      </c>
      <c r="G124" t="s">
        <v>783</v>
      </c>
      <c r="H124" s="2">
        <v>0.79166666666666663</v>
      </c>
      <c r="I124" t="s">
        <v>766</v>
      </c>
      <c r="J124" s="1">
        <v>0.52800000000000002</v>
      </c>
      <c r="K124">
        <v>89.5</v>
      </c>
      <c r="L124">
        <v>6</v>
      </c>
      <c r="M124">
        <v>2.82</v>
      </c>
      <c r="N124">
        <v>3</v>
      </c>
      <c r="O124">
        <v>3</v>
      </c>
      <c r="P124">
        <v>2</v>
      </c>
      <c r="Q124" s="3">
        <v>0.41111111111111109</v>
      </c>
      <c r="R124">
        <v>2.5</v>
      </c>
      <c r="S124">
        <v>2.68</v>
      </c>
      <c r="T124">
        <v>8.59</v>
      </c>
      <c r="U124">
        <v>3.23</v>
      </c>
      <c r="V124">
        <v>3.23</v>
      </c>
      <c r="W124">
        <v>100</v>
      </c>
      <c r="Y124">
        <v>46</v>
      </c>
      <c r="Z124">
        <v>1.3</v>
      </c>
      <c r="AA124">
        <v>0</v>
      </c>
      <c r="AB124" s="3">
        <v>0.4597222222222222</v>
      </c>
      <c r="AC124">
        <v>0</v>
      </c>
    </row>
    <row r="125" spans="1:30" x14ac:dyDescent="0.2">
      <c r="A125" t="s">
        <v>120</v>
      </c>
      <c r="C125">
        <v>0</v>
      </c>
      <c r="D125" t="s">
        <v>17</v>
      </c>
      <c r="E125">
        <v>4300</v>
      </c>
      <c r="F125" t="s">
        <v>478</v>
      </c>
      <c r="G125" t="s">
        <v>763</v>
      </c>
      <c r="H125" s="2">
        <v>0.79166666666666663</v>
      </c>
      <c r="I125" t="s">
        <v>762</v>
      </c>
      <c r="J125" s="1">
        <v>0.44900000000000001</v>
      </c>
      <c r="K125">
        <v>-81.5</v>
      </c>
      <c r="L125">
        <v>6.5</v>
      </c>
      <c r="M125">
        <v>3.25</v>
      </c>
      <c r="N125">
        <v>3.17</v>
      </c>
      <c r="O125">
        <v>2</v>
      </c>
      <c r="P125">
        <v>2</v>
      </c>
      <c r="Q125" s="3">
        <v>0.81041666666666667</v>
      </c>
      <c r="R125">
        <v>8.1999999999999993</v>
      </c>
      <c r="S125">
        <v>5.25</v>
      </c>
      <c r="T125">
        <v>20.55</v>
      </c>
      <c r="U125">
        <v>10.050000000000001</v>
      </c>
      <c r="V125">
        <v>10.050000000000001</v>
      </c>
      <c r="W125">
        <v>100</v>
      </c>
      <c r="Y125">
        <v>68</v>
      </c>
      <c r="Z125">
        <v>2.2999999999999998</v>
      </c>
      <c r="AA125">
        <v>0</v>
      </c>
      <c r="AB125" s="3">
        <v>0.89583333333333337</v>
      </c>
      <c r="AC125">
        <v>4.0999999999999996</v>
      </c>
      <c r="AD125">
        <v>1</v>
      </c>
    </row>
    <row r="126" spans="1:30" x14ac:dyDescent="0.2">
      <c r="A126" t="s">
        <v>716</v>
      </c>
      <c r="C126">
        <v>0</v>
      </c>
      <c r="D126" t="s">
        <v>10</v>
      </c>
      <c r="E126">
        <v>2500</v>
      </c>
      <c r="F126" t="s">
        <v>501</v>
      </c>
      <c r="G126" t="s">
        <v>783</v>
      </c>
      <c r="H126" s="2">
        <v>0.79166666666666663</v>
      </c>
      <c r="I126" t="s">
        <v>766</v>
      </c>
      <c r="J126" s="1">
        <v>0.52800000000000002</v>
      </c>
      <c r="K126">
        <v>89.5</v>
      </c>
      <c r="L126">
        <v>6</v>
      </c>
      <c r="M126">
        <v>2.82</v>
      </c>
      <c r="N126">
        <v>3</v>
      </c>
      <c r="O126">
        <v>4</v>
      </c>
      <c r="Q126" s="3">
        <v>0.4513888888888889</v>
      </c>
      <c r="R126">
        <v>2.2999999999999998</v>
      </c>
      <c r="S126">
        <v>1.95</v>
      </c>
      <c r="T126">
        <v>8.06</v>
      </c>
      <c r="U126">
        <v>4.16</v>
      </c>
      <c r="V126">
        <v>4.16</v>
      </c>
      <c r="W126">
        <v>100</v>
      </c>
      <c r="Y126">
        <v>58</v>
      </c>
      <c r="Z126">
        <v>1.7</v>
      </c>
      <c r="AA126">
        <v>0</v>
      </c>
      <c r="AB126" s="3">
        <v>0.36458333333333331</v>
      </c>
      <c r="AC126">
        <v>0</v>
      </c>
    </row>
    <row r="127" spans="1:30" x14ac:dyDescent="0.2">
      <c r="A127" t="s">
        <v>1026</v>
      </c>
      <c r="B127" t="s">
        <v>865</v>
      </c>
      <c r="C127">
        <v>0</v>
      </c>
      <c r="D127" t="s">
        <v>10</v>
      </c>
      <c r="E127">
        <v>2500</v>
      </c>
      <c r="F127" t="s">
        <v>483</v>
      </c>
      <c r="G127" t="s">
        <v>772</v>
      </c>
      <c r="H127" s="2">
        <v>0.91666666666666663</v>
      </c>
      <c r="I127" t="s">
        <v>762</v>
      </c>
      <c r="J127" s="1">
        <v>0.46500000000000002</v>
      </c>
      <c r="K127">
        <v>-87</v>
      </c>
      <c r="L127">
        <v>6</v>
      </c>
      <c r="M127">
        <v>3.14</v>
      </c>
      <c r="N127">
        <v>3</v>
      </c>
      <c r="Q127" s="3">
        <v>0.61805555555555558</v>
      </c>
      <c r="R127">
        <v>4.8</v>
      </c>
      <c r="S127">
        <v>5</v>
      </c>
      <c r="T127">
        <v>0</v>
      </c>
      <c r="U127">
        <v>0</v>
      </c>
      <c r="V127">
        <v>0</v>
      </c>
      <c r="W127">
        <v>100</v>
      </c>
      <c r="Y127">
        <v>48</v>
      </c>
      <c r="Z127">
        <v>0</v>
      </c>
      <c r="AA127">
        <v>0</v>
      </c>
    </row>
    <row r="128" spans="1:30" x14ac:dyDescent="0.2">
      <c r="A128" t="s">
        <v>808</v>
      </c>
      <c r="C128">
        <v>0</v>
      </c>
      <c r="D128" t="s">
        <v>17</v>
      </c>
      <c r="E128">
        <v>3100</v>
      </c>
      <c r="F128" t="s">
        <v>499</v>
      </c>
      <c r="G128" t="s">
        <v>775</v>
      </c>
      <c r="H128" s="2">
        <v>0.79166666666666663</v>
      </c>
      <c r="I128" t="s">
        <v>762</v>
      </c>
      <c r="J128" s="1">
        <v>0.50700000000000001</v>
      </c>
      <c r="K128">
        <v>-103</v>
      </c>
      <c r="L128">
        <v>6.5</v>
      </c>
      <c r="M128">
        <v>3.71</v>
      </c>
      <c r="N128">
        <v>3.25</v>
      </c>
      <c r="O128">
        <v>2</v>
      </c>
      <c r="Q128" s="3">
        <v>0.77569444444444446</v>
      </c>
      <c r="R128">
        <v>4.7</v>
      </c>
      <c r="S128">
        <v>3.47</v>
      </c>
      <c r="T128">
        <v>14.16</v>
      </c>
      <c r="U128">
        <v>7.22</v>
      </c>
      <c r="V128">
        <v>7.22</v>
      </c>
      <c r="W128">
        <v>100</v>
      </c>
      <c r="Y128">
        <v>63</v>
      </c>
      <c r="Z128">
        <v>2.2999999999999998</v>
      </c>
      <c r="AA128">
        <v>0</v>
      </c>
      <c r="AB128" s="3">
        <v>0.8305555555555556</v>
      </c>
      <c r="AC128">
        <v>2.8</v>
      </c>
      <c r="AD128">
        <v>0.9</v>
      </c>
    </row>
    <row r="129" spans="1:30" x14ac:dyDescent="0.2">
      <c r="A129" t="s">
        <v>728</v>
      </c>
      <c r="C129">
        <v>0</v>
      </c>
      <c r="D129" t="s">
        <v>10</v>
      </c>
      <c r="E129">
        <v>2500</v>
      </c>
      <c r="F129" t="s">
        <v>500</v>
      </c>
      <c r="G129" t="s">
        <v>785</v>
      </c>
      <c r="H129" s="2">
        <v>0.8125</v>
      </c>
      <c r="I129" t="s">
        <v>766</v>
      </c>
      <c r="J129" s="1">
        <v>0.56000000000000005</v>
      </c>
      <c r="K129">
        <v>78.5</v>
      </c>
      <c r="L129">
        <v>6.5</v>
      </c>
      <c r="M129">
        <v>3.25</v>
      </c>
      <c r="N129">
        <v>3.43</v>
      </c>
      <c r="Q129" s="3">
        <v>0.35694444444444445</v>
      </c>
      <c r="R129">
        <v>0.3</v>
      </c>
      <c r="S129">
        <v>0.56000000000000005</v>
      </c>
      <c r="T129">
        <v>0</v>
      </c>
      <c r="U129">
        <v>0</v>
      </c>
      <c r="V129">
        <v>0</v>
      </c>
      <c r="W129">
        <v>100</v>
      </c>
      <c r="Y129">
        <v>7</v>
      </c>
      <c r="Z129">
        <v>0</v>
      </c>
      <c r="AA129">
        <v>0</v>
      </c>
    </row>
    <row r="130" spans="1:30" x14ac:dyDescent="0.2">
      <c r="A130" t="s">
        <v>182</v>
      </c>
      <c r="C130">
        <v>0</v>
      </c>
      <c r="D130" t="s">
        <v>17</v>
      </c>
      <c r="E130">
        <v>3000</v>
      </c>
      <c r="F130" t="s">
        <v>777</v>
      </c>
      <c r="G130" t="s">
        <v>778</v>
      </c>
      <c r="H130" s="2">
        <v>0.79166666666666663</v>
      </c>
      <c r="I130" t="s">
        <v>762</v>
      </c>
      <c r="J130" s="1">
        <v>0.46400000000000002</v>
      </c>
      <c r="K130">
        <v>-86.5</v>
      </c>
      <c r="L130">
        <v>6</v>
      </c>
      <c r="M130">
        <v>3.19</v>
      </c>
      <c r="N130">
        <v>3</v>
      </c>
      <c r="O130">
        <v>2</v>
      </c>
      <c r="Q130" s="3">
        <v>0.84166666666666667</v>
      </c>
      <c r="R130">
        <v>7</v>
      </c>
      <c r="S130">
        <v>6.3</v>
      </c>
      <c r="T130">
        <v>21</v>
      </c>
      <c r="U130">
        <v>8.4</v>
      </c>
      <c r="V130">
        <v>8.4</v>
      </c>
      <c r="W130">
        <v>100</v>
      </c>
      <c r="Y130">
        <v>55</v>
      </c>
      <c r="Z130">
        <v>2.8</v>
      </c>
      <c r="AA130">
        <v>0</v>
      </c>
      <c r="AB130" s="3">
        <v>0.78541666666666665</v>
      </c>
      <c r="AC130">
        <v>5.6</v>
      </c>
      <c r="AD130">
        <v>1.9</v>
      </c>
    </row>
    <row r="131" spans="1:30" x14ac:dyDescent="0.2">
      <c r="A131" t="s">
        <v>551</v>
      </c>
      <c r="C131">
        <v>0</v>
      </c>
      <c r="D131" t="s">
        <v>17</v>
      </c>
      <c r="E131">
        <v>2500</v>
      </c>
      <c r="F131" t="s">
        <v>794</v>
      </c>
      <c r="G131" t="s">
        <v>795</v>
      </c>
      <c r="H131" s="2">
        <v>0.79166666666666663</v>
      </c>
      <c r="I131" t="s">
        <v>766</v>
      </c>
      <c r="J131" s="1">
        <v>0.56499999999999995</v>
      </c>
      <c r="K131">
        <v>77</v>
      </c>
      <c r="L131">
        <v>5.5</v>
      </c>
      <c r="M131">
        <v>2.75</v>
      </c>
      <c r="N131">
        <v>2.87</v>
      </c>
      <c r="O131">
        <v>3</v>
      </c>
      <c r="Q131" s="3">
        <v>0.77152777777777781</v>
      </c>
      <c r="R131">
        <v>5.0999999999999996</v>
      </c>
      <c r="S131">
        <v>4.41</v>
      </c>
      <c r="T131">
        <v>14.11</v>
      </c>
      <c r="U131">
        <v>5.29</v>
      </c>
      <c r="V131">
        <v>5.29</v>
      </c>
      <c r="W131">
        <v>100</v>
      </c>
      <c r="Y131">
        <v>57</v>
      </c>
      <c r="Z131">
        <v>2.1</v>
      </c>
      <c r="AA131">
        <v>0</v>
      </c>
      <c r="AB131" s="3">
        <v>0.67708333333333337</v>
      </c>
      <c r="AC131">
        <v>1.5</v>
      </c>
      <c r="AD131">
        <v>0.6</v>
      </c>
    </row>
    <row r="132" spans="1:30" x14ac:dyDescent="0.2">
      <c r="A132" t="s">
        <v>705</v>
      </c>
      <c r="C132">
        <v>0</v>
      </c>
      <c r="D132" t="s">
        <v>10</v>
      </c>
      <c r="E132">
        <v>2500</v>
      </c>
      <c r="F132" t="s">
        <v>777</v>
      </c>
      <c r="G132" t="s">
        <v>778</v>
      </c>
      <c r="H132" s="2">
        <v>0.79166666666666663</v>
      </c>
      <c r="I132" t="s">
        <v>762</v>
      </c>
      <c r="J132" s="1">
        <v>0.46400000000000002</v>
      </c>
      <c r="K132">
        <v>-86.5</v>
      </c>
      <c r="L132">
        <v>6</v>
      </c>
      <c r="M132">
        <v>3.19</v>
      </c>
      <c r="N132">
        <v>3</v>
      </c>
      <c r="Q132" s="3">
        <v>0.3125</v>
      </c>
      <c r="R132">
        <v>1.9</v>
      </c>
      <c r="S132">
        <v>3.39</v>
      </c>
      <c r="T132">
        <v>0</v>
      </c>
      <c r="U132">
        <v>0</v>
      </c>
      <c r="V132">
        <v>0</v>
      </c>
      <c r="W132">
        <v>100</v>
      </c>
      <c r="Y132">
        <v>11</v>
      </c>
      <c r="Z132">
        <v>0</v>
      </c>
      <c r="AA132">
        <v>0</v>
      </c>
    </row>
    <row r="133" spans="1:30" x14ac:dyDescent="0.2">
      <c r="A133" t="s">
        <v>879</v>
      </c>
      <c r="C133">
        <v>0</v>
      </c>
      <c r="D133" t="s">
        <v>10</v>
      </c>
      <c r="E133">
        <v>4500</v>
      </c>
      <c r="F133" t="s">
        <v>510</v>
      </c>
      <c r="G133" t="s">
        <v>802</v>
      </c>
      <c r="H133" s="2">
        <v>0.91666666666666663</v>
      </c>
      <c r="I133" t="s">
        <v>766</v>
      </c>
      <c r="J133" s="1">
        <v>0.51200000000000001</v>
      </c>
      <c r="K133">
        <v>95.5</v>
      </c>
      <c r="L133">
        <v>6.5</v>
      </c>
      <c r="M133">
        <v>3.01</v>
      </c>
      <c r="N133">
        <v>3.25</v>
      </c>
      <c r="Q133" s="3">
        <v>0.8041666666666667</v>
      </c>
      <c r="R133">
        <v>7.8</v>
      </c>
      <c r="S133">
        <v>7.18</v>
      </c>
      <c r="T133">
        <v>0</v>
      </c>
      <c r="U133">
        <v>0</v>
      </c>
      <c r="V133">
        <v>0</v>
      </c>
      <c r="W133">
        <v>100</v>
      </c>
      <c r="Y133">
        <v>54</v>
      </c>
      <c r="Z133">
        <v>0</v>
      </c>
      <c r="AA133">
        <v>0</v>
      </c>
    </row>
    <row r="134" spans="1:30" x14ac:dyDescent="0.2">
      <c r="A134" t="s">
        <v>83</v>
      </c>
      <c r="C134">
        <v>0</v>
      </c>
      <c r="D134" t="s">
        <v>17</v>
      </c>
      <c r="E134">
        <v>5200</v>
      </c>
      <c r="F134" t="s">
        <v>487</v>
      </c>
      <c r="G134" t="s">
        <v>770</v>
      </c>
      <c r="H134" s="2">
        <v>0.83333333333333337</v>
      </c>
      <c r="I134" t="s">
        <v>762</v>
      </c>
      <c r="J134" s="1">
        <v>0.51300000000000001</v>
      </c>
      <c r="K134">
        <v>-105.5</v>
      </c>
      <c r="L134">
        <v>6</v>
      </c>
      <c r="M134">
        <v>3.46</v>
      </c>
      <c r="N134">
        <v>3</v>
      </c>
      <c r="O134">
        <v>1</v>
      </c>
      <c r="P134">
        <v>2</v>
      </c>
      <c r="Q134" s="4">
        <v>1.0361111111111112</v>
      </c>
      <c r="R134">
        <v>10.9</v>
      </c>
      <c r="S134">
        <v>7.59</v>
      </c>
      <c r="T134">
        <v>29.13</v>
      </c>
      <c r="U134">
        <v>13.95</v>
      </c>
      <c r="V134">
        <v>13.95</v>
      </c>
      <c r="W134">
        <v>100</v>
      </c>
      <c r="Y134">
        <v>65</v>
      </c>
      <c r="Z134">
        <v>2.7</v>
      </c>
      <c r="AA134">
        <v>0</v>
      </c>
      <c r="AB134" s="4">
        <v>1.0006944444444446</v>
      </c>
      <c r="AC134">
        <v>8</v>
      </c>
      <c r="AD134">
        <v>1.5</v>
      </c>
    </row>
    <row r="135" spans="1:30" x14ac:dyDescent="0.2">
      <c r="A135" t="s">
        <v>78</v>
      </c>
      <c r="C135">
        <v>0</v>
      </c>
      <c r="D135" t="s">
        <v>5</v>
      </c>
      <c r="E135">
        <v>6900</v>
      </c>
      <c r="F135" t="s">
        <v>478</v>
      </c>
      <c r="G135" t="s">
        <v>763</v>
      </c>
      <c r="H135" s="2">
        <v>0.79166666666666663</v>
      </c>
      <c r="I135" t="s">
        <v>762</v>
      </c>
      <c r="J135" s="1">
        <v>0.44900000000000001</v>
      </c>
      <c r="K135">
        <v>-81.5</v>
      </c>
      <c r="L135">
        <v>6.5</v>
      </c>
      <c r="M135">
        <v>3.25</v>
      </c>
      <c r="N135">
        <v>3.17</v>
      </c>
      <c r="O135">
        <v>2</v>
      </c>
      <c r="P135">
        <v>1</v>
      </c>
      <c r="Q135" s="3">
        <v>0.8</v>
      </c>
      <c r="R135">
        <v>11.5</v>
      </c>
      <c r="S135">
        <v>9.0299999999999994</v>
      </c>
      <c r="T135">
        <v>35.840000000000003</v>
      </c>
      <c r="U135">
        <v>17.78</v>
      </c>
      <c r="V135">
        <v>17.78</v>
      </c>
      <c r="W135">
        <v>100</v>
      </c>
      <c r="Y135">
        <v>61</v>
      </c>
      <c r="Z135">
        <v>2.6</v>
      </c>
      <c r="AA135">
        <v>0</v>
      </c>
      <c r="AB135" s="3">
        <v>0.71527777777777779</v>
      </c>
      <c r="AC135">
        <v>10</v>
      </c>
      <c r="AD135">
        <v>1.4</v>
      </c>
    </row>
    <row r="136" spans="1:30" x14ac:dyDescent="0.2">
      <c r="A136" t="s">
        <v>503</v>
      </c>
      <c r="C136">
        <v>0</v>
      </c>
      <c r="D136" t="s">
        <v>10</v>
      </c>
      <c r="E136">
        <v>6400</v>
      </c>
      <c r="F136" t="s">
        <v>499</v>
      </c>
      <c r="G136" t="s">
        <v>775</v>
      </c>
      <c r="H136" s="2">
        <v>0.79166666666666663</v>
      </c>
      <c r="I136" t="s">
        <v>762</v>
      </c>
      <c r="J136" s="1">
        <v>0.50700000000000001</v>
      </c>
      <c r="K136">
        <v>-103</v>
      </c>
      <c r="L136">
        <v>6.5</v>
      </c>
      <c r="M136">
        <v>3.71</v>
      </c>
      <c r="N136">
        <v>3.25</v>
      </c>
      <c r="Q136" s="3">
        <v>0.83611111111111114</v>
      </c>
      <c r="R136">
        <v>11.9</v>
      </c>
      <c r="S136">
        <v>8.1999999999999993</v>
      </c>
      <c r="T136">
        <v>0</v>
      </c>
      <c r="U136">
        <v>0</v>
      </c>
      <c r="V136">
        <v>0</v>
      </c>
      <c r="W136">
        <v>100</v>
      </c>
      <c r="Y136">
        <v>66</v>
      </c>
      <c r="Z136">
        <v>0</v>
      </c>
      <c r="AA136">
        <v>0</v>
      </c>
    </row>
    <row r="137" spans="1:30" x14ac:dyDescent="0.2">
      <c r="A137" t="s">
        <v>546</v>
      </c>
      <c r="C137">
        <v>0</v>
      </c>
      <c r="D137" t="s">
        <v>17</v>
      </c>
      <c r="E137">
        <v>2500</v>
      </c>
      <c r="F137" t="s">
        <v>505</v>
      </c>
      <c r="G137" t="s">
        <v>793</v>
      </c>
      <c r="H137" s="2">
        <v>0.91666666666666663</v>
      </c>
      <c r="I137" t="s">
        <v>762</v>
      </c>
      <c r="J137" s="1">
        <v>0.41499999999999998</v>
      </c>
      <c r="K137">
        <v>-71</v>
      </c>
      <c r="L137">
        <v>6</v>
      </c>
      <c r="M137">
        <v>3.02</v>
      </c>
      <c r="N137">
        <v>3</v>
      </c>
      <c r="Q137" s="3">
        <v>0.73333333333333328</v>
      </c>
      <c r="R137">
        <v>4.3</v>
      </c>
      <c r="S137">
        <v>3.54</v>
      </c>
      <c r="T137">
        <v>0</v>
      </c>
      <c r="U137">
        <v>0</v>
      </c>
      <c r="V137">
        <v>0</v>
      </c>
      <c r="W137">
        <v>100</v>
      </c>
      <c r="Y137">
        <v>59</v>
      </c>
      <c r="Z137">
        <v>0</v>
      </c>
      <c r="AA137">
        <v>0</v>
      </c>
    </row>
    <row r="138" spans="1:30" x14ac:dyDescent="0.2">
      <c r="A138" t="s">
        <v>104</v>
      </c>
      <c r="C138">
        <v>0</v>
      </c>
      <c r="D138" t="s">
        <v>17</v>
      </c>
      <c r="E138">
        <v>8300</v>
      </c>
      <c r="F138" t="s">
        <v>478</v>
      </c>
      <c r="G138" t="s">
        <v>763</v>
      </c>
      <c r="H138" s="2">
        <v>0.79166666666666663</v>
      </c>
      <c r="I138" t="s">
        <v>762</v>
      </c>
      <c r="J138" s="1">
        <v>0.44900000000000001</v>
      </c>
      <c r="K138">
        <v>-81.5</v>
      </c>
      <c r="L138">
        <v>6.5</v>
      </c>
      <c r="M138">
        <v>3.25</v>
      </c>
      <c r="N138">
        <v>3.17</v>
      </c>
      <c r="O138">
        <v>1</v>
      </c>
      <c r="P138">
        <v>1</v>
      </c>
      <c r="Q138" s="4">
        <v>1.0472222222222223</v>
      </c>
      <c r="R138">
        <v>14</v>
      </c>
      <c r="S138">
        <v>8.6</v>
      </c>
      <c r="T138">
        <v>33.33</v>
      </c>
      <c r="U138">
        <v>16.13</v>
      </c>
      <c r="V138">
        <v>16.13</v>
      </c>
      <c r="W138">
        <v>100</v>
      </c>
      <c r="Y138">
        <v>69</v>
      </c>
      <c r="Z138">
        <v>1.9</v>
      </c>
      <c r="AA138">
        <v>0</v>
      </c>
      <c r="AB138" s="4">
        <v>1.0013888888888889</v>
      </c>
      <c r="AC138">
        <v>4.5</v>
      </c>
      <c r="AD138">
        <v>0.5</v>
      </c>
    </row>
    <row r="139" spans="1:30" x14ac:dyDescent="0.2">
      <c r="A139" t="s">
        <v>963</v>
      </c>
      <c r="C139">
        <v>0</v>
      </c>
      <c r="D139" t="s">
        <v>17</v>
      </c>
      <c r="E139">
        <v>2500</v>
      </c>
      <c r="F139" t="s">
        <v>499</v>
      </c>
      <c r="G139" t="s">
        <v>775</v>
      </c>
      <c r="H139" s="2">
        <v>0.79166666666666663</v>
      </c>
      <c r="I139" t="s">
        <v>762</v>
      </c>
      <c r="J139" s="1">
        <v>0.50700000000000001</v>
      </c>
      <c r="K139">
        <v>-103</v>
      </c>
      <c r="L139">
        <v>6.5</v>
      </c>
      <c r="M139">
        <v>3.71</v>
      </c>
      <c r="N139">
        <v>3.25</v>
      </c>
      <c r="Q139" s="3">
        <v>0.7270833333333333</v>
      </c>
      <c r="R139">
        <v>6.5</v>
      </c>
      <c r="S139">
        <v>3.65</v>
      </c>
      <c r="T139">
        <v>0</v>
      </c>
      <c r="U139">
        <v>0</v>
      </c>
      <c r="V139">
        <v>0</v>
      </c>
      <c r="W139">
        <v>100</v>
      </c>
      <c r="Y139">
        <v>72</v>
      </c>
      <c r="Z139">
        <v>0</v>
      </c>
      <c r="AA139">
        <v>0</v>
      </c>
    </row>
    <row r="140" spans="1:30" x14ac:dyDescent="0.2">
      <c r="A140" t="s">
        <v>434</v>
      </c>
      <c r="C140">
        <v>0</v>
      </c>
      <c r="D140" t="s">
        <v>10</v>
      </c>
      <c r="E140">
        <v>2500</v>
      </c>
      <c r="F140" t="s">
        <v>490</v>
      </c>
      <c r="G140" t="s">
        <v>771</v>
      </c>
      <c r="H140" s="2">
        <v>0.91666666666666663</v>
      </c>
      <c r="I140" t="s">
        <v>766</v>
      </c>
      <c r="J140" s="1">
        <v>0.58499999999999996</v>
      </c>
      <c r="K140">
        <v>71</v>
      </c>
      <c r="L140">
        <v>6</v>
      </c>
      <c r="M140">
        <v>3</v>
      </c>
      <c r="N140">
        <v>3.02</v>
      </c>
      <c r="O140">
        <v>3</v>
      </c>
      <c r="Q140" s="3">
        <v>0.4909722222222222</v>
      </c>
      <c r="R140">
        <v>3.4</v>
      </c>
      <c r="S140">
        <v>3.68</v>
      </c>
      <c r="T140">
        <v>10.16</v>
      </c>
      <c r="U140">
        <v>2.8</v>
      </c>
      <c r="V140">
        <v>2.8</v>
      </c>
      <c r="W140">
        <v>100</v>
      </c>
      <c r="Y140">
        <v>46</v>
      </c>
      <c r="Z140">
        <v>1.1000000000000001</v>
      </c>
      <c r="AA140">
        <v>0</v>
      </c>
      <c r="AB140" s="3">
        <v>0.63888888888888884</v>
      </c>
      <c r="AC140">
        <v>1.5</v>
      </c>
      <c r="AD140">
        <v>0.6</v>
      </c>
    </row>
    <row r="141" spans="1:30" x14ac:dyDescent="0.2">
      <c r="A141" t="s">
        <v>901</v>
      </c>
      <c r="C141">
        <v>0</v>
      </c>
      <c r="D141" t="s">
        <v>5</v>
      </c>
      <c r="E141">
        <v>2800</v>
      </c>
      <c r="F141" t="s">
        <v>494</v>
      </c>
      <c r="G141" t="s">
        <v>782</v>
      </c>
      <c r="H141" s="2">
        <v>0.79166666666666663</v>
      </c>
      <c r="I141" t="s">
        <v>762</v>
      </c>
      <c r="J141" s="1">
        <v>0.47199999999999998</v>
      </c>
      <c r="K141">
        <v>-89.5</v>
      </c>
      <c r="L141">
        <v>6</v>
      </c>
      <c r="M141">
        <v>3</v>
      </c>
      <c r="N141">
        <v>2.82</v>
      </c>
      <c r="Q141" s="3">
        <v>0.50555555555555554</v>
      </c>
      <c r="R141">
        <v>5</v>
      </c>
      <c r="S141">
        <v>4.33</v>
      </c>
      <c r="T141">
        <v>0</v>
      </c>
      <c r="U141">
        <v>0</v>
      </c>
      <c r="V141">
        <v>0</v>
      </c>
      <c r="W141">
        <v>100</v>
      </c>
      <c r="Y141">
        <v>57</v>
      </c>
      <c r="Z141">
        <v>0</v>
      </c>
      <c r="AA141">
        <v>0</v>
      </c>
    </row>
    <row r="142" spans="1:30" x14ac:dyDescent="0.2">
      <c r="A142" t="s">
        <v>823</v>
      </c>
      <c r="C142">
        <v>0</v>
      </c>
      <c r="D142" t="s">
        <v>7</v>
      </c>
      <c r="E142">
        <v>8200</v>
      </c>
      <c r="F142" t="s">
        <v>480</v>
      </c>
      <c r="G142" t="s">
        <v>761</v>
      </c>
      <c r="H142" s="2">
        <v>0.875</v>
      </c>
      <c r="I142" t="s">
        <v>762</v>
      </c>
      <c r="J142" s="1">
        <v>0.52900000000000003</v>
      </c>
      <c r="K142">
        <v>-112.5</v>
      </c>
      <c r="L142">
        <v>7</v>
      </c>
      <c r="M142">
        <v>4.05</v>
      </c>
      <c r="N142">
        <v>3.5</v>
      </c>
      <c r="O142" t="s">
        <v>818</v>
      </c>
      <c r="Q142" s="4">
        <v>2.2743055555555554</v>
      </c>
      <c r="R142">
        <v>6</v>
      </c>
      <c r="S142">
        <v>9.3699999999999992</v>
      </c>
      <c r="T142">
        <v>0</v>
      </c>
      <c r="U142">
        <v>0</v>
      </c>
      <c r="V142">
        <v>0</v>
      </c>
      <c r="W142">
        <v>100</v>
      </c>
      <c r="Y142">
        <v>22</v>
      </c>
      <c r="Z142">
        <v>0</v>
      </c>
      <c r="AA142">
        <v>0</v>
      </c>
    </row>
    <row r="143" spans="1:30" x14ac:dyDescent="0.2">
      <c r="A143" t="s">
        <v>441</v>
      </c>
      <c r="C143">
        <v>0</v>
      </c>
      <c r="D143" t="s">
        <v>17</v>
      </c>
      <c r="E143">
        <v>2900</v>
      </c>
      <c r="F143" t="s">
        <v>504</v>
      </c>
      <c r="G143" t="s">
        <v>799</v>
      </c>
      <c r="H143" s="2">
        <v>0.83333333333333337</v>
      </c>
      <c r="I143" t="s">
        <v>766</v>
      </c>
      <c r="J143" s="1">
        <v>0.51300000000000001</v>
      </c>
      <c r="K143">
        <v>95</v>
      </c>
      <c r="L143">
        <v>5.5</v>
      </c>
      <c r="M143">
        <v>2.54</v>
      </c>
      <c r="N143">
        <v>2.75</v>
      </c>
      <c r="O143">
        <v>3</v>
      </c>
      <c r="P143">
        <v>2</v>
      </c>
      <c r="Q143" s="3">
        <v>0.89236111111111116</v>
      </c>
      <c r="R143">
        <v>5</v>
      </c>
      <c r="S143">
        <v>3.96</v>
      </c>
      <c r="T143">
        <v>12.06</v>
      </c>
      <c r="U143">
        <v>4.1399999999999997</v>
      </c>
      <c r="V143">
        <v>4.1399999999999997</v>
      </c>
      <c r="W143">
        <v>100</v>
      </c>
      <c r="Y143">
        <v>60</v>
      </c>
      <c r="Z143">
        <v>1.4</v>
      </c>
      <c r="AA143">
        <v>0</v>
      </c>
      <c r="AB143" s="3">
        <v>0.82847222222222228</v>
      </c>
      <c r="AC143">
        <v>5.6</v>
      </c>
      <c r="AD143">
        <v>1.9</v>
      </c>
    </row>
    <row r="144" spans="1:30" x14ac:dyDescent="0.2">
      <c r="A144" t="s">
        <v>830</v>
      </c>
      <c r="C144">
        <v>0</v>
      </c>
      <c r="D144" t="s">
        <v>7</v>
      </c>
      <c r="E144">
        <v>7900</v>
      </c>
      <c r="F144" t="s">
        <v>492</v>
      </c>
      <c r="G144" t="s">
        <v>774</v>
      </c>
      <c r="H144" s="2">
        <v>0.8125</v>
      </c>
      <c r="I144" t="s">
        <v>762</v>
      </c>
      <c r="J144" s="1">
        <v>0.44</v>
      </c>
      <c r="K144">
        <v>-78.5</v>
      </c>
      <c r="L144">
        <v>6.5</v>
      </c>
      <c r="M144">
        <v>3.43</v>
      </c>
      <c r="N144">
        <v>3.25</v>
      </c>
      <c r="O144" t="s">
        <v>818</v>
      </c>
      <c r="Q144" s="4">
        <v>2.3986111111111112</v>
      </c>
      <c r="R144">
        <v>10.5</v>
      </c>
      <c r="S144">
        <v>8.92</v>
      </c>
      <c r="T144">
        <v>0</v>
      </c>
      <c r="U144">
        <v>0</v>
      </c>
      <c r="V144">
        <v>0</v>
      </c>
      <c r="W144">
        <v>100</v>
      </c>
      <c r="Y144">
        <v>58</v>
      </c>
      <c r="Z144">
        <v>0</v>
      </c>
      <c r="AA144">
        <v>0</v>
      </c>
      <c r="AB144" s="3">
        <v>0</v>
      </c>
      <c r="AC144">
        <v>2</v>
      </c>
      <c r="AD144">
        <v>0.3</v>
      </c>
    </row>
    <row r="145" spans="1:30" x14ac:dyDescent="0.2">
      <c r="A145" t="s">
        <v>72</v>
      </c>
      <c r="C145">
        <v>0</v>
      </c>
      <c r="D145" t="s">
        <v>17</v>
      </c>
      <c r="E145">
        <v>4100</v>
      </c>
      <c r="F145" t="s">
        <v>509</v>
      </c>
      <c r="G145" t="s">
        <v>791</v>
      </c>
      <c r="H145" s="2">
        <v>0.79166666666666663</v>
      </c>
      <c r="I145" t="s">
        <v>766</v>
      </c>
      <c r="J145" s="1">
        <v>0.51900000000000002</v>
      </c>
      <c r="K145">
        <v>92.5</v>
      </c>
      <c r="L145">
        <v>6.5</v>
      </c>
      <c r="M145">
        <v>3.25</v>
      </c>
      <c r="N145">
        <v>3.62</v>
      </c>
      <c r="O145">
        <v>1</v>
      </c>
      <c r="P145">
        <v>2</v>
      </c>
      <c r="Q145" s="3">
        <v>0.95694444444444449</v>
      </c>
      <c r="R145">
        <v>8.6</v>
      </c>
      <c r="S145">
        <v>6.2</v>
      </c>
      <c r="T145">
        <v>23.05</v>
      </c>
      <c r="U145">
        <v>10.65</v>
      </c>
      <c r="V145">
        <v>10.65</v>
      </c>
      <c r="W145">
        <v>100</v>
      </c>
      <c r="Y145">
        <v>64</v>
      </c>
      <c r="Z145">
        <v>2.6</v>
      </c>
      <c r="AA145">
        <v>0</v>
      </c>
      <c r="AB145" s="3">
        <v>0.86319444444444449</v>
      </c>
      <c r="AC145">
        <v>2.6</v>
      </c>
      <c r="AD145">
        <v>0.6</v>
      </c>
    </row>
    <row r="146" spans="1:30" x14ac:dyDescent="0.2">
      <c r="A146" t="s">
        <v>853</v>
      </c>
      <c r="C146">
        <v>0</v>
      </c>
      <c r="D146" t="s">
        <v>7</v>
      </c>
      <c r="E146">
        <v>6800</v>
      </c>
      <c r="F146" t="s">
        <v>764</v>
      </c>
      <c r="G146" t="s">
        <v>765</v>
      </c>
      <c r="H146" s="2">
        <v>0.875</v>
      </c>
      <c r="I146" t="s">
        <v>766</v>
      </c>
      <c r="J146" s="1">
        <v>0.47099999999999997</v>
      </c>
      <c r="K146">
        <v>112.5</v>
      </c>
      <c r="L146">
        <v>7</v>
      </c>
      <c r="M146">
        <v>3.5</v>
      </c>
      <c r="N146">
        <v>4.05</v>
      </c>
      <c r="O146" t="s">
        <v>818</v>
      </c>
      <c r="T146">
        <v>0</v>
      </c>
      <c r="U146">
        <v>0</v>
      </c>
      <c r="V146">
        <v>0</v>
      </c>
      <c r="W146">
        <v>100</v>
      </c>
      <c r="Y146">
        <v>0</v>
      </c>
      <c r="Z146">
        <v>0</v>
      </c>
      <c r="AA146">
        <v>0</v>
      </c>
    </row>
    <row r="147" spans="1:30" x14ac:dyDescent="0.2">
      <c r="A147" t="s">
        <v>535</v>
      </c>
      <c r="C147">
        <v>0</v>
      </c>
      <c r="D147" t="s">
        <v>10</v>
      </c>
      <c r="E147">
        <v>2800</v>
      </c>
      <c r="F147" t="s">
        <v>509</v>
      </c>
      <c r="G147" t="s">
        <v>791</v>
      </c>
      <c r="H147" s="2">
        <v>0.79166666666666663</v>
      </c>
      <c r="I147" t="s">
        <v>766</v>
      </c>
      <c r="J147" s="1">
        <v>0.51900000000000002</v>
      </c>
      <c r="K147">
        <v>92.5</v>
      </c>
      <c r="L147">
        <v>6.5</v>
      </c>
      <c r="M147">
        <v>3.25</v>
      </c>
      <c r="N147">
        <v>3.62</v>
      </c>
      <c r="Q147" s="3">
        <v>0.52430555555555558</v>
      </c>
      <c r="R147">
        <v>5.0999999999999996</v>
      </c>
      <c r="S147">
        <v>5.43</v>
      </c>
      <c r="T147">
        <v>0</v>
      </c>
      <c r="U147">
        <v>0</v>
      </c>
      <c r="V147">
        <v>0</v>
      </c>
      <c r="W147">
        <v>100</v>
      </c>
      <c r="Y147">
        <v>47</v>
      </c>
      <c r="Z147">
        <v>0</v>
      </c>
      <c r="AA147">
        <v>0</v>
      </c>
    </row>
    <row r="148" spans="1:30" x14ac:dyDescent="0.2">
      <c r="A148" t="s">
        <v>858</v>
      </c>
      <c r="C148">
        <v>0</v>
      </c>
      <c r="D148" t="s">
        <v>7</v>
      </c>
      <c r="E148">
        <v>6500</v>
      </c>
      <c r="F148" t="s">
        <v>483</v>
      </c>
      <c r="G148" t="s">
        <v>772</v>
      </c>
      <c r="H148" s="2">
        <v>0.91666666666666663</v>
      </c>
      <c r="I148" t="s">
        <v>762</v>
      </c>
      <c r="J148" s="1">
        <v>0.46500000000000002</v>
      </c>
      <c r="K148">
        <v>-87</v>
      </c>
      <c r="L148">
        <v>6</v>
      </c>
      <c r="M148">
        <v>3.14</v>
      </c>
      <c r="N148">
        <v>3</v>
      </c>
      <c r="O148" t="s">
        <v>818</v>
      </c>
      <c r="Q148" s="4">
        <v>2.5034722222222223</v>
      </c>
      <c r="R148">
        <v>5.9</v>
      </c>
      <c r="S148">
        <v>5.0999999999999996</v>
      </c>
      <c r="T148">
        <v>0</v>
      </c>
      <c r="U148">
        <v>0</v>
      </c>
      <c r="V148">
        <v>0</v>
      </c>
      <c r="W148">
        <v>100</v>
      </c>
      <c r="Y148">
        <v>57</v>
      </c>
      <c r="Z148">
        <v>0</v>
      </c>
      <c r="AA148">
        <v>0</v>
      </c>
    </row>
    <row r="149" spans="1:30" x14ac:dyDescent="0.2">
      <c r="A149" t="s">
        <v>812</v>
      </c>
      <c r="C149">
        <v>0</v>
      </c>
      <c r="D149" t="s">
        <v>17</v>
      </c>
      <c r="E149">
        <v>2500</v>
      </c>
      <c r="F149" t="s">
        <v>494</v>
      </c>
      <c r="G149" t="s">
        <v>782</v>
      </c>
      <c r="H149" s="2">
        <v>0.79166666666666663</v>
      </c>
      <c r="I149" t="s">
        <v>762</v>
      </c>
      <c r="J149" s="1">
        <v>0.47199999999999998</v>
      </c>
      <c r="K149">
        <v>-89.5</v>
      </c>
      <c r="L149">
        <v>6</v>
      </c>
      <c r="M149">
        <v>3</v>
      </c>
      <c r="N149">
        <v>2.82</v>
      </c>
      <c r="O149">
        <v>3</v>
      </c>
      <c r="Q149" s="3">
        <v>0.72222222222222221</v>
      </c>
      <c r="R149">
        <v>5.0999999999999996</v>
      </c>
      <c r="S149">
        <v>4.42</v>
      </c>
      <c r="T149">
        <v>15.01</v>
      </c>
      <c r="U149">
        <v>6.17</v>
      </c>
      <c r="V149">
        <v>6.17</v>
      </c>
      <c r="W149">
        <v>100</v>
      </c>
      <c r="Y149">
        <v>57</v>
      </c>
      <c r="Z149">
        <v>2.5</v>
      </c>
      <c r="AA149">
        <v>0</v>
      </c>
      <c r="AB149" s="3">
        <v>0.61041666666666672</v>
      </c>
      <c r="AC149">
        <v>11.5</v>
      </c>
      <c r="AD149">
        <v>4.5999999999999996</v>
      </c>
    </row>
    <row r="150" spans="1:30" x14ac:dyDescent="0.2">
      <c r="A150" t="s">
        <v>833</v>
      </c>
      <c r="C150">
        <v>0</v>
      </c>
      <c r="D150" t="s">
        <v>7</v>
      </c>
      <c r="E150">
        <v>7800</v>
      </c>
      <c r="F150" t="s">
        <v>483</v>
      </c>
      <c r="G150" t="s">
        <v>772</v>
      </c>
      <c r="H150" s="2">
        <v>0.91666666666666663</v>
      </c>
      <c r="I150" t="s">
        <v>762</v>
      </c>
      <c r="J150" s="1">
        <v>0.46500000000000002</v>
      </c>
      <c r="K150">
        <v>-87</v>
      </c>
      <c r="L150">
        <v>6</v>
      </c>
      <c r="M150">
        <v>3.14</v>
      </c>
      <c r="N150">
        <v>3</v>
      </c>
      <c r="O150" t="s">
        <v>818</v>
      </c>
      <c r="Q150" s="4">
        <v>2.2888888888888888</v>
      </c>
      <c r="R150">
        <v>6.4</v>
      </c>
      <c r="S150">
        <v>9.7200000000000006</v>
      </c>
      <c r="T150">
        <v>0</v>
      </c>
      <c r="U150">
        <v>0</v>
      </c>
      <c r="V150">
        <v>0</v>
      </c>
      <c r="W150">
        <v>100</v>
      </c>
      <c r="Y150">
        <v>24</v>
      </c>
      <c r="Z150">
        <v>0</v>
      </c>
      <c r="AA150">
        <v>0</v>
      </c>
    </row>
    <row r="151" spans="1:30" x14ac:dyDescent="0.2">
      <c r="A151" t="s">
        <v>169</v>
      </c>
      <c r="C151">
        <v>0</v>
      </c>
      <c r="D151" t="s">
        <v>10</v>
      </c>
      <c r="E151">
        <v>6100</v>
      </c>
      <c r="F151" t="s">
        <v>493</v>
      </c>
      <c r="G151" t="s">
        <v>789</v>
      </c>
      <c r="H151" s="2">
        <v>0.83333333333333337</v>
      </c>
      <c r="I151" t="s">
        <v>762</v>
      </c>
      <c r="J151" s="1">
        <v>0.48699999999999999</v>
      </c>
      <c r="K151">
        <v>-95</v>
      </c>
      <c r="L151">
        <v>5.5</v>
      </c>
      <c r="M151">
        <v>2.75</v>
      </c>
      <c r="N151">
        <v>2.54</v>
      </c>
      <c r="O151">
        <v>1</v>
      </c>
      <c r="P151">
        <v>2</v>
      </c>
      <c r="Q151" s="3">
        <v>0.72499999999999998</v>
      </c>
      <c r="R151">
        <v>8.9</v>
      </c>
      <c r="S151">
        <v>7.28</v>
      </c>
      <c r="T151">
        <v>25.88</v>
      </c>
      <c r="U151">
        <v>11.32</v>
      </c>
      <c r="V151">
        <v>11.32</v>
      </c>
      <c r="W151">
        <v>100</v>
      </c>
      <c r="Y151">
        <v>59</v>
      </c>
      <c r="Z151">
        <v>1.9</v>
      </c>
      <c r="AA151">
        <v>0</v>
      </c>
      <c r="AB151" s="3">
        <v>0.6958333333333333</v>
      </c>
      <c r="AC151">
        <v>1.5</v>
      </c>
      <c r="AD151">
        <v>0.2</v>
      </c>
    </row>
    <row r="152" spans="1:30" x14ac:dyDescent="0.2">
      <c r="A152" t="s">
        <v>959</v>
      </c>
      <c r="C152">
        <v>0</v>
      </c>
      <c r="D152" t="s">
        <v>5</v>
      </c>
      <c r="E152">
        <v>2500</v>
      </c>
      <c r="F152" t="s">
        <v>494</v>
      </c>
      <c r="G152" t="s">
        <v>782</v>
      </c>
      <c r="H152" s="2">
        <v>0.79166666666666663</v>
      </c>
      <c r="I152" t="s">
        <v>762</v>
      </c>
      <c r="J152" s="1">
        <v>0.47199999999999998</v>
      </c>
      <c r="K152">
        <v>-89.5</v>
      </c>
      <c r="L152">
        <v>6</v>
      </c>
      <c r="M152">
        <v>3</v>
      </c>
      <c r="N152">
        <v>2.82</v>
      </c>
      <c r="Q152" s="3">
        <v>0.4826388888888889</v>
      </c>
      <c r="R152">
        <v>3.6</v>
      </c>
      <c r="S152">
        <v>4.4000000000000004</v>
      </c>
      <c r="T152">
        <v>0</v>
      </c>
      <c r="U152">
        <v>0</v>
      </c>
      <c r="V152">
        <v>0</v>
      </c>
      <c r="W152">
        <v>100</v>
      </c>
      <c r="Y152">
        <v>39</v>
      </c>
      <c r="Z152">
        <v>0</v>
      </c>
      <c r="AA152">
        <v>0</v>
      </c>
    </row>
    <row r="153" spans="1:30" x14ac:dyDescent="0.2">
      <c r="A153" t="s">
        <v>840</v>
      </c>
      <c r="C153">
        <v>0</v>
      </c>
      <c r="D153" t="s">
        <v>7</v>
      </c>
      <c r="E153">
        <v>7400</v>
      </c>
      <c r="F153" t="s">
        <v>488</v>
      </c>
      <c r="G153" t="s">
        <v>781</v>
      </c>
      <c r="H153" s="2">
        <v>0.91666666666666663</v>
      </c>
      <c r="I153" t="s">
        <v>766</v>
      </c>
      <c r="J153" s="1">
        <v>0.53500000000000003</v>
      </c>
      <c r="K153">
        <v>87</v>
      </c>
      <c r="L153">
        <v>6</v>
      </c>
      <c r="M153">
        <v>3</v>
      </c>
      <c r="N153">
        <v>3.14</v>
      </c>
      <c r="O153" t="s">
        <v>818</v>
      </c>
      <c r="Q153" s="4">
        <v>2.4576388888888889</v>
      </c>
      <c r="R153">
        <v>12.6</v>
      </c>
      <c r="S153">
        <v>7.69</v>
      </c>
      <c r="T153">
        <v>0</v>
      </c>
      <c r="U153">
        <v>0</v>
      </c>
      <c r="V153">
        <v>0</v>
      </c>
      <c r="W153">
        <v>100</v>
      </c>
      <c r="Y153">
        <v>69</v>
      </c>
      <c r="Z153">
        <v>0</v>
      </c>
      <c r="AA153">
        <v>0</v>
      </c>
      <c r="AB153" s="3">
        <v>0</v>
      </c>
      <c r="AC153">
        <v>2</v>
      </c>
      <c r="AD153">
        <v>0.3</v>
      </c>
    </row>
    <row r="154" spans="1:30" x14ac:dyDescent="0.2">
      <c r="A154" t="s">
        <v>288</v>
      </c>
      <c r="C154">
        <v>0</v>
      </c>
      <c r="D154" t="s">
        <v>10</v>
      </c>
      <c r="E154">
        <v>3000</v>
      </c>
      <c r="F154" t="s">
        <v>485</v>
      </c>
      <c r="G154" t="s">
        <v>767</v>
      </c>
      <c r="H154" s="2">
        <v>0.79166666666666663</v>
      </c>
      <c r="I154" t="s">
        <v>762</v>
      </c>
      <c r="J154" s="1">
        <v>0.48099999999999998</v>
      </c>
      <c r="K154">
        <v>-92.5</v>
      </c>
      <c r="L154">
        <v>6.5</v>
      </c>
      <c r="M154">
        <v>3.62</v>
      </c>
      <c r="N154">
        <v>3.25</v>
      </c>
      <c r="O154">
        <v>2</v>
      </c>
      <c r="P154">
        <v>2</v>
      </c>
      <c r="Q154" s="3">
        <v>0.62291666666666667</v>
      </c>
      <c r="R154">
        <v>5.7</v>
      </c>
      <c r="S154">
        <v>4.6900000000000004</v>
      </c>
      <c r="T154">
        <v>16.71</v>
      </c>
      <c r="U154">
        <v>7.33</v>
      </c>
      <c r="V154">
        <v>7.33</v>
      </c>
      <c r="W154">
        <v>100</v>
      </c>
      <c r="Y154">
        <v>59</v>
      </c>
      <c r="Z154">
        <v>2.4</v>
      </c>
      <c r="AA154">
        <v>0</v>
      </c>
      <c r="AB154" s="3">
        <v>0.62083333333333335</v>
      </c>
      <c r="AC154">
        <v>23</v>
      </c>
      <c r="AD154">
        <v>7.7</v>
      </c>
    </row>
    <row r="155" spans="1:30" x14ac:dyDescent="0.2">
      <c r="A155" t="s">
        <v>230</v>
      </c>
      <c r="C155">
        <v>0</v>
      </c>
      <c r="D155" t="s">
        <v>5</v>
      </c>
      <c r="E155">
        <v>4000</v>
      </c>
      <c r="F155" t="s">
        <v>505</v>
      </c>
      <c r="G155" t="s">
        <v>793</v>
      </c>
      <c r="H155" s="2">
        <v>0.91666666666666663</v>
      </c>
      <c r="I155" t="s">
        <v>762</v>
      </c>
      <c r="J155" s="1">
        <v>0.41499999999999998</v>
      </c>
      <c r="K155">
        <v>-71</v>
      </c>
      <c r="L155">
        <v>6</v>
      </c>
      <c r="M155">
        <v>3.02</v>
      </c>
      <c r="N155">
        <v>3</v>
      </c>
      <c r="O155">
        <v>2</v>
      </c>
      <c r="P155">
        <v>1</v>
      </c>
      <c r="Q155" s="3">
        <v>0.8208333333333333</v>
      </c>
      <c r="R155">
        <v>7.1</v>
      </c>
      <c r="S155">
        <v>5.97</v>
      </c>
      <c r="T155">
        <v>20.260000000000002</v>
      </c>
      <c r="U155">
        <v>8.32</v>
      </c>
      <c r="V155">
        <v>8.32</v>
      </c>
      <c r="W155">
        <v>100</v>
      </c>
      <c r="Y155">
        <v>58</v>
      </c>
      <c r="Z155">
        <v>2.1</v>
      </c>
      <c r="AA155">
        <v>0</v>
      </c>
      <c r="AB155" s="3">
        <v>0.81944444444444442</v>
      </c>
      <c r="AC155">
        <v>6.5</v>
      </c>
      <c r="AD155">
        <v>1.6</v>
      </c>
    </row>
    <row r="156" spans="1:30" x14ac:dyDescent="0.2">
      <c r="A156" t="s">
        <v>900</v>
      </c>
      <c r="C156">
        <v>0</v>
      </c>
      <c r="D156" t="s">
        <v>17</v>
      </c>
      <c r="E156">
        <v>2800</v>
      </c>
      <c r="F156" t="s">
        <v>768</v>
      </c>
      <c r="G156" t="s">
        <v>769</v>
      </c>
      <c r="H156" s="2">
        <v>0.79166666666666663</v>
      </c>
      <c r="I156" t="s">
        <v>762</v>
      </c>
      <c r="J156" s="1">
        <v>0.51800000000000002</v>
      </c>
      <c r="K156">
        <v>-107.5</v>
      </c>
      <c r="L156">
        <v>5.5</v>
      </c>
      <c r="M156">
        <v>3.2</v>
      </c>
      <c r="N156">
        <v>2.75</v>
      </c>
      <c r="Q156" s="3">
        <v>0.81041666666666667</v>
      </c>
      <c r="R156">
        <v>5.8</v>
      </c>
      <c r="S156">
        <v>4.8099999999999996</v>
      </c>
      <c r="T156">
        <v>0</v>
      </c>
      <c r="U156">
        <v>0</v>
      </c>
      <c r="V156">
        <v>0</v>
      </c>
      <c r="W156">
        <v>100</v>
      </c>
      <c r="Y156">
        <v>59</v>
      </c>
      <c r="Z156">
        <v>0</v>
      </c>
      <c r="AA156">
        <v>0</v>
      </c>
    </row>
    <row r="157" spans="1:30" x14ac:dyDescent="0.2">
      <c r="A157" t="s">
        <v>975</v>
      </c>
      <c r="C157">
        <v>0</v>
      </c>
      <c r="D157" t="s">
        <v>17</v>
      </c>
      <c r="E157">
        <v>2500</v>
      </c>
      <c r="F157" t="s">
        <v>498</v>
      </c>
      <c r="G157" t="s">
        <v>779</v>
      </c>
      <c r="H157" s="2">
        <v>0.79166666666666663</v>
      </c>
      <c r="I157" t="s">
        <v>762</v>
      </c>
      <c r="J157" s="1">
        <v>0.50600000000000001</v>
      </c>
      <c r="K157">
        <v>-102.5</v>
      </c>
      <c r="L157">
        <v>6</v>
      </c>
      <c r="M157">
        <v>3.44</v>
      </c>
      <c r="N157">
        <v>3</v>
      </c>
      <c r="T157">
        <v>0</v>
      </c>
      <c r="U157">
        <v>0</v>
      </c>
      <c r="V157">
        <v>0</v>
      </c>
      <c r="W157">
        <v>100</v>
      </c>
      <c r="Y157">
        <v>0</v>
      </c>
      <c r="Z157">
        <v>0</v>
      </c>
      <c r="AA157">
        <v>0</v>
      </c>
    </row>
    <row r="158" spans="1:30" x14ac:dyDescent="0.2">
      <c r="A158" t="s">
        <v>274</v>
      </c>
      <c r="C158">
        <v>0</v>
      </c>
      <c r="D158" t="s">
        <v>7</v>
      </c>
      <c r="E158">
        <v>7500</v>
      </c>
      <c r="F158" t="s">
        <v>500</v>
      </c>
      <c r="G158" t="s">
        <v>785</v>
      </c>
      <c r="H158" s="2">
        <v>0.8125</v>
      </c>
      <c r="I158" t="s">
        <v>766</v>
      </c>
      <c r="J158" s="1">
        <v>0.56000000000000005</v>
      </c>
      <c r="K158">
        <v>78.5</v>
      </c>
      <c r="L158">
        <v>6.5</v>
      </c>
      <c r="M158">
        <v>3.25</v>
      </c>
      <c r="N158">
        <v>3.43</v>
      </c>
      <c r="O158" t="s">
        <v>780</v>
      </c>
      <c r="Q158" s="4">
        <v>2.4569444444444444</v>
      </c>
      <c r="R158">
        <v>9.8000000000000007</v>
      </c>
      <c r="S158">
        <v>10.09</v>
      </c>
      <c r="T158">
        <v>29.54</v>
      </c>
      <c r="U158">
        <v>9.36</v>
      </c>
      <c r="V158">
        <v>9.36</v>
      </c>
      <c r="W158">
        <v>100</v>
      </c>
      <c r="Y158">
        <v>49</v>
      </c>
      <c r="Z158">
        <v>1.2</v>
      </c>
      <c r="AA158">
        <v>0</v>
      </c>
      <c r="AB158" s="4">
        <v>2.7083333333333335</v>
      </c>
      <c r="AC158">
        <v>8.1</v>
      </c>
      <c r="AD158">
        <v>1.1000000000000001</v>
      </c>
    </row>
    <row r="159" spans="1:30" x14ac:dyDescent="0.2">
      <c r="A159" t="s">
        <v>39</v>
      </c>
      <c r="C159">
        <v>0</v>
      </c>
      <c r="D159" t="s">
        <v>17</v>
      </c>
      <c r="E159">
        <v>5500</v>
      </c>
      <c r="F159" t="s">
        <v>485</v>
      </c>
      <c r="G159" t="s">
        <v>767</v>
      </c>
      <c r="H159" s="2">
        <v>0.79166666666666663</v>
      </c>
      <c r="I159" t="s">
        <v>762</v>
      </c>
      <c r="J159" s="1">
        <v>0.48099999999999998</v>
      </c>
      <c r="K159">
        <v>-92.5</v>
      </c>
      <c r="L159">
        <v>6.5</v>
      </c>
      <c r="M159">
        <v>3.62</v>
      </c>
      <c r="N159">
        <v>3.25</v>
      </c>
      <c r="O159">
        <v>1</v>
      </c>
      <c r="P159">
        <v>1</v>
      </c>
      <c r="Q159" s="4">
        <v>1.0020833333333334</v>
      </c>
      <c r="R159">
        <v>10.1</v>
      </c>
      <c r="S159">
        <v>5.42</v>
      </c>
      <c r="T159">
        <v>25.68</v>
      </c>
      <c r="U159">
        <v>14.84</v>
      </c>
      <c r="V159">
        <v>14.84</v>
      </c>
      <c r="W159">
        <v>100</v>
      </c>
      <c r="Y159">
        <v>73</v>
      </c>
      <c r="Z159">
        <v>2.7</v>
      </c>
      <c r="AA159">
        <v>0</v>
      </c>
      <c r="AB159" s="3">
        <v>0.87083333333333335</v>
      </c>
      <c r="AC159">
        <v>9.3000000000000007</v>
      </c>
      <c r="AD159">
        <v>1.7</v>
      </c>
    </row>
    <row r="160" spans="1:30" x14ac:dyDescent="0.2">
      <c r="A160" t="s">
        <v>52</v>
      </c>
      <c r="C160">
        <v>0</v>
      </c>
      <c r="D160" t="s">
        <v>10</v>
      </c>
      <c r="E160">
        <v>3900</v>
      </c>
      <c r="F160" t="s">
        <v>489</v>
      </c>
      <c r="G160" t="s">
        <v>788</v>
      </c>
      <c r="H160" s="2">
        <v>0.91666666666666663</v>
      </c>
      <c r="I160" t="s">
        <v>762</v>
      </c>
      <c r="J160" s="1">
        <v>0.48799999999999999</v>
      </c>
      <c r="K160">
        <v>-95.5</v>
      </c>
      <c r="L160">
        <v>6.5</v>
      </c>
      <c r="M160">
        <v>3.25</v>
      </c>
      <c r="N160">
        <v>3.01</v>
      </c>
      <c r="O160">
        <v>3</v>
      </c>
      <c r="P160">
        <v>1</v>
      </c>
      <c r="Q160" s="3">
        <v>0.70833333333333337</v>
      </c>
      <c r="R160">
        <v>7.8</v>
      </c>
      <c r="S160">
        <v>6.95</v>
      </c>
      <c r="T160">
        <v>21.51</v>
      </c>
      <c r="U160">
        <v>7.61</v>
      </c>
      <c r="V160">
        <v>7.61</v>
      </c>
      <c r="W160">
        <v>100</v>
      </c>
      <c r="Y160">
        <v>55</v>
      </c>
      <c r="Z160">
        <v>2</v>
      </c>
      <c r="AA160">
        <v>0</v>
      </c>
      <c r="AB160" s="3">
        <v>0.69097222222222221</v>
      </c>
      <c r="AC160">
        <v>6</v>
      </c>
      <c r="AD160">
        <v>1.5</v>
      </c>
    </row>
    <row r="161" spans="1:30" x14ac:dyDescent="0.2">
      <c r="A161" t="s">
        <v>1029</v>
      </c>
      <c r="C161">
        <v>0</v>
      </c>
      <c r="D161" t="s">
        <v>17</v>
      </c>
      <c r="E161">
        <v>2500</v>
      </c>
      <c r="F161" t="s">
        <v>490</v>
      </c>
      <c r="G161" t="s">
        <v>771</v>
      </c>
      <c r="H161" s="2">
        <v>0.91666666666666663</v>
      </c>
      <c r="I161" t="s">
        <v>766</v>
      </c>
      <c r="J161" s="1">
        <v>0.58499999999999996</v>
      </c>
      <c r="K161">
        <v>71</v>
      </c>
      <c r="L161">
        <v>6</v>
      </c>
      <c r="M161">
        <v>3</v>
      </c>
      <c r="N161">
        <v>3.02</v>
      </c>
      <c r="Q161" s="3">
        <v>0.74861111111111112</v>
      </c>
      <c r="R161">
        <v>4.7</v>
      </c>
      <c r="S161">
        <v>3.02</v>
      </c>
      <c r="T161">
        <v>0</v>
      </c>
      <c r="U161">
        <v>0</v>
      </c>
      <c r="V161">
        <v>0</v>
      </c>
      <c r="W161">
        <v>100</v>
      </c>
      <c r="Y161">
        <v>68</v>
      </c>
      <c r="Z161">
        <v>0</v>
      </c>
      <c r="AA161">
        <v>0</v>
      </c>
    </row>
    <row r="162" spans="1:30" x14ac:dyDescent="0.2">
      <c r="A162" t="s">
        <v>142</v>
      </c>
      <c r="C162">
        <v>0</v>
      </c>
      <c r="D162" t="s">
        <v>5</v>
      </c>
      <c r="E162">
        <v>4400</v>
      </c>
      <c r="F162" t="s">
        <v>509</v>
      </c>
      <c r="G162" t="s">
        <v>791</v>
      </c>
      <c r="H162" s="2">
        <v>0.79166666666666663</v>
      </c>
      <c r="I162" t="s">
        <v>766</v>
      </c>
      <c r="J162" s="1">
        <v>0.51900000000000002</v>
      </c>
      <c r="K162">
        <v>92.5</v>
      </c>
      <c r="L162">
        <v>6.5</v>
      </c>
      <c r="M162">
        <v>3.25</v>
      </c>
      <c r="N162">
        <v>3.62</v>
      </c>
      <c r="O162">
        <v>1</v>
      </c>
      <c r="P162">
        <v>1</v>
      </c>
      <c r="Q162" s="3">
        <v>0.74027777777777781</v>
      </c>
      <c r="R162">
        <v>8.3000000000000007</v>
      </c>
      <c r="S162">
        <v>7.1</v>
      </c>
      <c r="T162">
        <v>25.07</v>
      </c>
      <c r="U162">
        <v>10.87</v>
      </c>
      <c r="V162">
        <v>10.87</v>
      </c>
      <c r="W162">
        <v>100</v>
      </c>
      <c r="Y162">
        <v>57</v>
      </c>
      <c r="Z162">
        <v>2.5</v>
      </c>
      <c r="AA162">
        <v>0</v>
      </c>
      <c r="AB162" s="3">
        <v>0.65069444444444446</v>
      </c>
      <c r="AC162">
        <v>7.8</v>
      </c>
      <c r="AD162">
        <v>1.8</v>
      </c>
    </row>
    <row r="163" spans="1:30" x14ac:dyDescent="0.2">
      <c r="A163" t="s">
        <v>276</v>
      </c>
      <c r="C163">
        <v>0</v>
      </c>
      <c r="D163" t="s">
        <v>10</v>
      </c>
      <c r="E163">
        <v>6500</v>
      </c>
      <c r="F163" t="s">
        <v>507</v>
      </c>
      <c r="G163" t="s">
        <v>796</v>
      </c>
      <c r="H163" s="2">
        <v>0.79166666666666663</v>
      </c>
      <c r="I163" t="s">
        <v>766</v>
      </c>
      <c r="J163" s="1">
        <v>0.49399999999999999</v>
      </c>
      <c r="K163">
        <v>102.5</v>
      </c>
      <c r="L163">
        <v>6</v>
      </c>
      <c r="M163">
        <v>3</v>
      </c>
      <c r="N163">
        <v>3.44</v>
      </c>
      <c r="O163">
        <v>1</v>
      </c>
      <c r="P163">
        <v>1</v>
      </c>
      <c r="Q163" s="3">
        <v>0.79861111111111116</v>
      </c>
      <c r="R163">
        <v>11</v>
      </c>
      <c r="S163">
        <v>8.86</v>
      </c>
      <c r="T163">
        <v>30.15</v>
      </c>
      <c r="U163">
        <v>12.43</v>
      </c>
      <c r="V163">
        <v>12.43</v>
      </c>
      <c r="W163">
        <v>100</v>
      </c>
      <c r="Y163">
        <v>60</v>
      </c>
      <c r="Z163">
        <v>1.9</v>
      </c>
      <c r="AA163">
        <v>0</v>
      </c>
      <c r="AB163" s="3">
        <v>0.75763888888888886</v>
      </c>
      <c r="AC163">
        <v>1.5</v>
      </c>
      <c r="AD163">
        <v>0.2</v>
      </c>
    </row>
    <row r="164" spans="1:30" x14ac:dyDescent="0.2">
      <c r="A164" t="s">
        <v>590</v>
      </c>
      <c r="C164">
        <v>0</v>
      </c>
      <c r="D164" t="s">
        <v>17</v>
      </c>
      <c r="E164">
        <v>2500</v>
      </c>
      <c r="F164" t="s">
        <v>794</v>
      </c>
      <c r="G164" t="s">
        <v>795</v>
      </c>
      <c r="H164" s="2">
        <v>0.79166666666666663</v>
      </c>
      <c r="I164" t="s">
        <v>766</v>
      </c>
      <c r="J164" s="1">
        <v>0.56499999999999995</v>
      </c>
      <c r="K164">
        <v>77</v>
      </c>
      <c r="L164">
        <v>5.5</v>
      </c>
      <c r="M164">
        <v>2.75</v>
      </c>
      <c r="N164">
        <v>2.87</v>
      </c>
      <c r="O164">
        <v>3</v>
      </c>
      <c r="Q164" s="3">
        <v>0.72361111111111109</v>
      </c>
      <c r="R164">
        <v>4</v>
      </c>
      <c r="S164">
        <v>4.1399999999999997</v>
      </c>
      <c r="T164">
        <v>12.03</v>
      </c>
      <c r="U164">
        <v>3.75</v>
      </c>
      <c r="V164">
        <v>3.75</v>
      </c>
      <c r="W164">
        <v>100</v>
      </c>
      <c r="Y164">
        <v>48</v>
      </c>
      <c r="Z164">
        <v>1.5</v>
      </c>
      <c r="AA164">
        <v>0</v>
      </c>
      <c r="AB164" s="3">
        <v>0.78611111111111109</v>
      </c>
      <c r="AC164">
        <v>5.6</v>
      </c>
      <c r="AD164">
        <v>2.2000000000000002</v>
      </c>
    </row>
    <row r="165" spans="1:30" x14ac:dyDescent="0.2">
      <c r="A165" t="s">
        <v>896</v>
      </c>
      <c r="C165">
        <v>0</v>
      </c>
      <c r="D165" t="s">
        <v>5</v>
      </c>
      <c r="E165">
        <v>3100</v>
      </c>
      <c r="F165" t="s">
        <v>777</v>
      </c>
      <c r="G165" t="s">
        <v>778</v>
      </c>
      <c r="H165" s="2">
        <v>0.79166666666666663</v>
      </c>
      <c r="I165" t="s">
        <v>762</v>
      </c>
      <c r="J165" s="1">
        <v>0.46400000000000002</v>
      </c>
      <c r="K165">
        <v>-86.5</v>
      </c>
      <c r="L165">
        <v>6</v>
      </c>
      <c r="M165">
        <v>3.19</v>
      </c>
      <c r="N165">
        <v>3</v>
      </c>
      <c r="Q165" s="3">
        <v>0.56527777777777777</v>
      </c>
      <c r="R165">
        <v>6.5</v>
      </c>
      <c r="S165">
        <v>7.1</v>
      </c>
      <c r="T165">
        <v>0</v>
      </c>
      <c r="U165">
        <v>0</v>
      </c>
      <c r="V165">
        <v>0</v>
      </c>
      <c r="W165">
        <v>100</v>
      </c>
      <c r="Y165">
        <v>45</v>
      </c>
      <c r="Z165">
        <v>0</v>
      </c>
      <c r="AA165">
        <v>0</v>
      </c>
    </row>
    <row r="166" spans="1:30" x14ac:dyDescent="0.2">
      <c r="A166" t="s">
        <v>97</v>
      </c>
      <c r="C166">
        <v>0</v>
      </c>
      <c r="D166" t="s">
        <v>10</v>
      </c>
      <c r="E166">
        <v>6700</v>
      </c>
      <c r="F166" t="s">
        <v>497</v>
      </c>
      <c r="G166" t="s">
        <v>784</v>
      </c>
      <c r="H166" s="2">
        <v>0.79166666666666663</v>
      </c>
      <c r="I166" t="s">
        <v>766</v>
      </c>
      <c r="J166" s="1">
        <v>0.55100000000000005</v>
      </c>
      <c r="K166">
        <v>81.5</v>
      </c>
      <c r="L166">
        <v>6.5</v>
      </c>
      <c r="M166">
        <v>3.17</v>
      </c>
      <c r="N166">
        <v>3.25</v>
      </c>
      <c r="O166">
        <v>1</v>
      </c>
      <c r="P166">
        <v>1</v>
      </c>
      <c r="Q166" s="3">
        <v>0.7631944444444444</v>
      </c>
      <c r="R166">
        <v>12.6</v>
      </c>
      <c r="S166">
        <v>8.9499999999999993</v>
      </c>
      <c r="T166">
        <v>33.229999999999997</v>
      </c>
      <c r="U166">
        <v>15.33</v>
      </c>
      <c r="V166">
        <v>15.33</v>
      </c>
      <c r="W166">
        <v>100</v>
      </c>
      <c r="Y166">
        <v>64</v>
      </c>
      <c r="Z166">
        <v>2.2999999999999998</v>
      </c>
      <c r="AA166">
        <v>0</v>
      </c>
      <c r="AB166" s="3">
        <v>0.53402777777777777</v>
      </c>
      <c r="AC166">
        <v>0</v>
      </c>
    </row>
    <row r="167" spans="1:30" x14ac:dyDescent="0.2">
      <c r="A167" t="s">
        <v>409</v>
      </c>
      <c r="C167">
        <v>0</v>
      </c>
      <c r="D167" t="s">
        <v>10</v>
      </c>
      <c r="E167">
        <v>2500</v>
      </c>
      <c r="F167" t="s">
        <v>496</v>
      </c>
      <c r="G167" t="s">
        <v>787</v>
      </c>
      <c r="H167" s="2">
        <v>0.79166666666666663</v>
      </c>
      <c r="I167" t="s">
        <v>766</v>
      </c>
      <c r="J167" s="1">
        <v>0.48199999999999998</v>
      </c>
      <c r="K167">
        <v>107.5</v>
      </c>
      <c r="L167">
        <v>5.5</v>
      </c>
      <c r="M167">
        <v>2.75</v>
      </c>
      <c r="N167">
        <v>3.2</v>
      </c>
      <c r="O167">
        <v>4</v>
      </c>
      <c r="Q167" s="3">
        <v>0.4236111111111111</v>
      </c>
      <c r="R167">
        <v>4.2</v>
      </c>
      <c r="S167">
        <v>4.51</v>
      </c>
      <c r="T167">
        <v>13.63</v>
      </c>
      <c r="U167">
        <v>4.6100000000000003</v>
      </c>
      <c r="V167">
        <v>4.6100000000000003</v>
      </c>
      <c r="W167">
        <v>100</v>
      </c>
      <c r="Y167">
        <v>46</v>
      </c>
      <c r="Z167">
        <v>1.8</v>
      </c>
      <c r="AA167">
        <v>0</v>
      </c>
      <c r="AB167" s="3">
        <v>0.3888888888888889</v>
      </c>
      <c r="AC167">
        <v>1.3</v>
      </c>
      <c r="AD167">
        <v>0.5</v>
      </c>
    </row>
    <row r="168" spans="1:30" x14ac:dyDescent="0.2">
      <c r="A168" t="s">
        <v>951</v>
      </c>
      <c r="C168">
        <v>0</v>
      </c>
      <c r="D168" t="s">
        <v>17</v>
      </c>
      <c r="E168">
        <v>2500</v>
      </c>
      <c r="F168" t="s">
        <v>494</v>
      </c>
      <c r="G168" t="s">
        <v>782</v>
      </c>
      <c r="H168" s="2">
        <v>0.79166666666666663</v>
      </c>
      <c r="I168" t="s">
        <v>762</v>
      </c>
      <c r="J168" s="1">
        <v>0.47199999999999998</v>
      </c>
      <c r="K168">
        <v>-89.5</v>
      </c>
      <c r="L168">
        <v>6</v>
      </c>
      <c r="M168">
        <v>3</v>
      </c>
      <c r="N168">
        <v>2.82</v>
      </c>
      <c r="Q168" s="3">
        <v>0.57222222222222219</v>
      </c>
      <c r="R168">
        <v>4.5999999999999996</v>
      </c>
      <c r="S168">
        <v>2.92</v>
      </c>
      <c r="T168">
        <v>0</v>
      </c>
      <c r="U168">
        <v>0</v>
      </c>
      <c r="V168">
        <v>0</v>
      </c>
      <c r="W168">
        <v>100</v>
      </c>
      <c r="Y168">
        <v>68</v>
      </c>
      <c r="Z168">
        <v>0</v>
      </c>
      <c r="AA168">
        <v>0</v>
      </c>
    </row>
    <row r="169" spans="1:30" x14ac:dyDescent="0.2">
      <c r="A169" t="s">
        <v>459</v>
      </c>
      <c r="C169">
        <v>0</v>
      </c>
      <c r="D169" t="s">
        <v>10</v>
      </c>
      <c r="E169">
        <v>3200</v>
      </c>
      <c r="F169" t="s">
        <v>496</v>
      </c>
      <c r="G169" t="s">
        <v>787</v>
      </c>
      <c r="H169" s="2">
        <v>0.79166666666666663</v>
      </c>
      <c r="I169" t="s">
        <v>766</v>
      </c>
      <c r="J169" s="1">
        <v>0.48199999999999998</v>
      </c>
      <c r="K169">
        <v>107.5</v>
      </c>
      <c r="L169">
        <v>5.5</v>
      </c>
      <c r="M169">
        <v>2.75</v>
      </c>
      <c r="N169">
        <v>3.2</v>
      </c>
      <c r="O169">
        <v>2</v>
      </c>
      <c r="P169">
        <v>2</v>
      </c>
      <c r="Q169" s="3">
        <v>0.59236111111111112</v>
      </c>
      <c r="R169">
        <v>5.6</v>
      </c>
      <c r="S169">
        <v>4.13</v>
      </c>
      <c r="T169">
        <v>13.85</v>
      </c>
      <c r="U169">
        <v>5.59</v>
      </c>
      <c r="V169">
        <v>5.59</v>
      </c>
      <c r="W169">
        <v>100</v>
      </c>
      <c r="Y169">
        <v>63</v>
      </c>
      <c r="Z169">
        <v>1.7</v>
      </c>
      <c r="AA169">
        <v>0</v>
      </c>
      <c r="AB169" s="3">
        <v>0.63472222222222219</v>
      </c>
      <c r="AC169">
        <v>7.1</v>
      </c>
      <c r="AD169">
        <v>2.2000000000000002</v>
      </c>
    </row>
    <row r="170" spans="1:30" x14ac:dyDescent="0.2">
      <c r="A170" t="s">
        <v>677</v>
      </c>
      <c r="C170">
        <v>0</v>
      </c>
      <c r="D170" t="s">
        <v>10</v>
      </c>
      <c r="E170">
        <v>2500</v>
      </c>
      <c r="F170" t="s">
        <v>483</v>
      </c>
      <c r="G170" t="s">
        <v>772</v>
      </c>
      <c r="H170" s="2">
        <v>0.91666666666666663</v>
      </c>
      <c r="I170" t="s">
        <v>762</v>
      </c>
      <c r="J170" s="1">
        <v>0.46500000000000002</v>
      </c>
      <c r="K170">
        <v>-87</v>
      </c>
      <c r="L170">
        <v>6</v>
      </c>
      <c r="M170">
        <v>3.14</v>
      </c>
      <c r="N170">
        <v>3</v>
      </c>
      <c r="O170">
        <v>4</v>
      </c>
      <c r="Q170" s="3">
        <v>0.4</v>
      </c>
      <c r="R170">
        <v>2.2999999999999998</v>
      </c>
      <c r="S170">
        <v>3.57</v>
      </c>
      <c r="T170">
        <v>9.7200000000000006</v>
      </c>
      <c r="U170">
        <v>2.58</v>
      </c>
      <c r="V170">
        <v>2.58</v>
      </c>
      <c r="W170">
        <v>100</v>
      </c>
      <c r="Y170">
        <v>22</v>
      </c>
      <c r="Z170">
        <v>1</v>
      </c>
      <c r="AA170">
        <v>0</v>
      </c>
      <c r="AB170" s="3">
        <v>0.37708333333333333</v>
      </c>
      <c r="AC170">
        <v>0</v>
      </c>
    </row>
    <row r="171" spans="1:30" x14ac:dyDescent="0.2">
      <c r="A171" t="s">
        <v>431</v>
      </c>
      <c r="C171">
        <v>0</v>
      </c>
      <c r="D171" t="s">
        <v>5</v>
      </c>
      <c r="E171">
        <v>2500</v>
      </c>
      <c r="F171" t="s">
        <v>493</v>
      </c>
      <c r="G171" t="s">
        <v>789</v>
      </c>
      <c r="H171" s="2">
        <v>0.83333333333333337</v>
      </c>
      <c r="I171" t="s">
        <v>762</v>
      </c>
      <c r="J171" s="1">
        <v>0.48699999999999999</v>
      </c>
      <c r="K171">
        <v>-95</v>
      </c>
      <c r="L171">
        <v>5.5</v>
      </c>
      <c r="M171">
        <v>2.75</v>
      </c>
      <c r="N171">
        <v>2.54</v>
      </c>
      <c r="O171">
        <v>3</v>
      </c>
      <c r="Q171" s="3">
        <v>0.36666666666666664</v>
      </c>
      <c r="R171">
        <v>3.6</v>
      </c>
      <c r="S171">
        <v>4.96</v>
      </c>
      <c r="T171">
        <v>13.75</v>
      </c>
      <c r="U171">
        <v>3.83</v>
      </c>
      <c r="V171">
        <v>3.83</v>
      </c>
      <c r="W171">
        <v>100</v>
      </c>
      <c r="Y171">
        <v>31</v>
      </c>
      <c r="Z171">
        <v>1.5</v>
      </c>
      <c r="AA171">
        <v>0</v>
      </c>
      <c r="AB171" s="3">
        <v>0.28958333333333336</v>
      </c>
      <c r="AC171">
        <v>0</v>
      </c>
    </row>
    <row r="172" spans="1:30" x14ac:dyDescent="0.2">
      <c r="A172" t="s">
        <v>366</v>
      </c>
      <c r="C172">
        <v>0</v>
      </c>
      <c r="D172" t="s">
        <v>10</v>
      </c>
      <c r="E172">
        <v>2500</v>
      </c>
      <c r="F172" t="s">
        <v>506</v>
      </c>
      <c r="G172" t="s">
        <v>786</v>
      </c>
      <c r="H172" s="2">
        <v>0.79166666666666663</v>
      </c>
      <c r="I172" t="s">
        <v>766</v>
      </c>
      <c r="J172" s="1">
        <v>0.53600000000000003</v>
      </c>
      <c r="K172">
        <v>86.5</v>
      </c>
      <c r="L172">
        <v>6</v>
      </c>
      <c r="M172">
        <v>3</v>
      </c>
      <c r="N172">
        <v>3.19</v>
      </c>
      <c r="O172">
        <v>3</v>
      </c>
      <c r="Q172" s="3">
        <v>0.59652777777777777</v>
      </c>
      <c r="R172">
        <v>4.3</v>
      </c>
      <c r="S172">
        <v>3.91</v>
      </c>
      <c r="T172">
        <v>12.61</v>
      </c>
      <c r="U172">
        <v>4.79</v>
      </c>
      <c r="V172">
        <v>4.79</v>
      </c>
      <c r="W172">
        <v>100</v>
      </c>
      <c r="Y172">
        <v>55</v>
      </c>
      <c r="Z172">
        <v>1.9</v>
      </c>
      <c r="AA172">
        <v>0</v>
      </c>
      <c r="AB172" s="3">
        <v>0.66666666666666663</v>
      </c>
      <c r="AC172">
        <v>6.3</v>
      </c>
      <c r="AD172">
        <v>2.5</v>
      </c>
    </row>
    <row r="173" spans="1:30" x14ac:dyDescent="0.2">
      <c r="A173" t="s">
        <v>691</v>
      </c>
      <c r="C173">
        <v>0</v>
      </c>
      <c r="D173" t="s">
        <v>10</v>
      </c>
      <c r="E173">
        <v>2500</v>
      </c>
      <c r="F173" t="s">
        <v>488</v>
      </c>
      <c r="G173" t="s">
        <v>781</v>
      </c>
      <c r="H173" s="2">
        <v>0.91666666666666663</v>
      </c>
      <c r="I173" t="s">
        <v>766</v>
      </c>
      <c r="J173" s="1">
        <v>0.53500000000000003</v>
      </c>
      <c r="K173">
        <v>87</v>
      </c>
      <c r="L173">
        <v>6</v>
      </c>
      <c r="M173">
        <v>3</v>
      </c>
      <c r="N173">
        <v>3.14</v>
      </c>
      <c r="Q173" s="3">
        <v>0.4826388888888889</v>
      </c>
      <c r="R173">
        <v>2.9</v>
      </c>
      <c r="S173">
        <v>3.63</v>
      </c>
      <c r="T173">
        <v>0</v>
      </c>
      <c r="U173">
        <v>0</v>
      </c>
      <c r="V173">
        <v>0</v>
      </c>
      <c r="W173">
        <v>100</v>
      </c>
      <c r="Y173">
        <v>37</v>
      </c>
      <c r="Z173">
        <v>0</v>
      </c>
      <c r="AA173">
        <v>0</v>
      </c>
    </row>
    <row r="174" spans="1:30" x14ac:dyDescent="0.2">
      <c r="A174" t="s">
        <v>935</v>
      </c>
      <c r="C174">
        <v>0</v>
      </c>
      <c r="D174" t="s">
        <v>17</v>
      </c>
      <c r="E174">
        <v>2500</v>
      </c>
      <c r="F174" t="s">
        <v>496</v>
      </c>
      <c r="G174" t="s">
        <v>787</v>
      </c>
      <c r="H174" s="2">
        <v>0.79166666666666663</v>
      </c>
      <c r="I174" t="s">
        <v>766</v>
      </c>
      <c r="J174" s="1">
        <v>0.48199999999999998</v>
      </c>
      <c r="K174">
        <v>107.5</v>
      </c>
      <c r="L174">
        <v>5.5</v>
      </c>
      <c r="M174">
        <v>2.75</v>
      </c>
      <c r="N174">
        <v>3.2</v>
      </c>
      <c r="Q174" s="3">
        <v>0.57291666666666663</v>
      </c>
      <c r="R174">
        <v>2.8</v>
      </c>
      <c r="S174">
        <v>2.66</v>
      </c>
      <c r="T174">
        <v>0</v>
      </c>
      <c r="U174">
        <v>0</v>
      </c>
      <c r="V174">
        <v>0</v>
      </c>
      <c r="W174">
        <v>100</v>
      </c>
      <c r="Y174">
        <v>53</v>
      </c>
      <c r="Z174">
        <v>0</v>
      </c>
      <c r="AA174">
        <v>0</v>
      </c>
    </row>
    <row r="175" spans="1:30" x14ac:dyDescent="0.2">
      <c r="A175" t="s">
        <v>210</v>
      </c>
      <c r="C175">
        <v>0</v>
      </c>
      <c r="D175" t="s">
        <v>10</v>
      </c>
      <c r="E175">
        <v>3800</v>
      </c>
      <c r="F175" t="s">
        <v>764</v>
      </c>
      <c r="G175" t="s">
        <v>765</v>
      </c>
      <c r="H175" s="2">
        <v>0.875</v>
      </c>
      <c r="I175" t="s">
        <v>766</v>
      </c>
      <c r="J175" s="1">
        <v>0.47099999999999997</v>
      </c>
      <c r="K175">
        <v>112.5</v>
      </c>
      <c r="L175">
        <v>7</v>
      </c>
      <c r="M175">
        <v>3.5</v>
      </c>
      <c r="N175">
        <v>4.05</v>
      </c>
      <c r="O175">
        <v>1</v>
      </c>
      <c r="P175">
        <v>2</v>
      </c>
      <c r="Q175" s="3">
        <v>0.68541666666666667</v>
      </c>
      <c r="R175">
        <v>6.5</v>
      </c>
      <c r="S175">
        <v>5.57</v>
      </c>
      <c r="T175">
        <v>21.57</v>
      </c>
      <c r="U175">
        <v>10.43</v>
      </c>
      <c r="V175">
        <v>10.43</v>
      </c>
      <c r="W175">
        <v>100</v>
      </c>
      <c r="Y175">
        <v>57</v>
      </c>
      <c r="Z175">
        <v>2.7</v>
      </c>
      <c r="AA175">
        <v>0</v>
      </c>
      <c r="AB175" s="3">
        <v>0.84861111111111109</v>
      </c>
      <c r="AC175">
        <v>15.6</v>
      </c>
      <c r="AD175">
        <v>4.0999999999999996</v>
      </c>
    </row>
    <row r="176" spans="1:30" x14ac:dyDescent="0.2">
      <c r="A176" t="s">
        <v>420</v>
      </c>
      <c r="C176">
        <v>0</v>
      </c>
      <c r="D176" t="s">
        <v>7</v>
      </c>
      <c r="E176">
        <v>7800</v>
      </c>
      <c r="F176" t="s">
        <v>486</v>
      </c>
      <c r="G176" t="s">
        <v>776</v>
      </c>
      <c r="H176" s="2">
        <v>0.79166666666666663</v>
      </c>
      <c r="I176" t="s">
        <v>762</v>
      </c>
      <c r="J176" s="1">
        <v>0.435</v>
      </c>
      <c r="K176">
        <v>-77</v>
      </c>
      <c r="L176">
        <v>5.5</v>
      </c>
      <c r="M176">
        <v>2.87</v>
      </c>
      <c r="N176">
        <v>2.75</v>
      </c>
      <c r="O176" t="s">
        <v>818</v>
      </c>
      <c r="Q176" s="4">
        <v>2.2041666666666666</v>
      </c>
      <c r="R176">
        <v>11.2</v>
      </c>
      <c r="S176">
        <v>6.3</v>
      </c>
      <c r="T176">
        <v>0</v>
      </c>
      <c r="U176">
        <v>0</v>
      </c>
      <c r="V176">
        <v>0</v>
      </c>
      <c r="W176">
        <v>100</v>
      </c>
      <c r="Y176">
        <v>72</v>
      </c>
      <c r="Z176">
        <v>0</v>
      </c>
      <c r="AA176">
        <v>0</v>
      </c>
      <c r="AB176" s="3">
        <v>0</v>
      </c>
      <c r="AC176">
        <v>0</v>
      </c>
    </row>
    <row r="177" spans="1:30" x14ac:dyDescent="0.2">
      <c r="A177" t="s">
        <v>663</v>
      </c>
      <c r="C177">
        <v>0</v>
      </c>
      <c r="D177" t="s">
        <v>10</v>
      </c>
      <c r="E177">
        <v>2500</v>
      </c>
      <c r="F177" t="s">
        <v>491</v>
      </c>
      <c r="G177" t="s">
        <v>773</v>
      </c>
      <c r="H177" s="2">
        <v>0.79166666666666663</v>
      </c>
      <c r="I177" t="s">
        <v>766</v>
      </c>
      <c r="J177" s="1">
        <v>0.49299999999999999</v>
      </c>
      <c r="K177">
        <v>103</v>
      </c>
      <c r="L177">
        <v>6.5</v>
      </c>
      <c r="M177">
        <v>3.25</v>
      </c>
      <c r="N177">
        <v>3.71</v>
      </c>
      <c r="O177">
        <v>4</v>
      </c>
      <c r="Q177" s="3">
        <v>0.49722222222222223</v>
      </c>
      <c r="R177">
        <v>3.3</v>
      </c>
      <c r="S177">
        <v>3.35</v>
      </c>
      <c r="T177">
        <v>10.17</v>
      </c>
      <c r="U177">
        <v>3.47</v>
      </c>
      <c r="V177">
        <v>3.47</v>
      </c>
      <c r="W177">
        <v>100</v>
      </c>
      <c r="Y177">
        <v>49</v>
      </c>
      <c r="Z177">
        <v>1.4</v>
      </c>
      <c r="AA177">
        <v>0</v>
      </c>
      <c r="AB177" s="3">
        <v>0.45555555555555555</v>
      </c>
      <c r="AC177">
        <v>4.3</v>
      </c>
      <c r="AD177">
        <v>1.7</v>
      </c>
    </row>
    <row r="178" spans="1:30" x14ac:dyDescent="0.2">
      <c r="A178" t="s">
        <v>116</v>
      </c>
      <c r="C178">
        <v>0</v>
      </c>
      <c r="D178" t="s">
        <v>17</v>
      </c>
      <c r="E178">
        <v>3600</v>
      </c>
      <c r="F178" t="s">
        <v>504</v>
      </c>
      <c r="G178" t="s">
        <v>799</v>
      </c>
      <c r="H178" s="2">
        <v>0.83333333333333337</v>
      </c>
      <c r="I178" t="s">
        <v>766</v>
      </c>
      <c r="J178" s="1">
        <v>0.51300000000000001</v>
      </c>
      <c r="K178">
        <v>95</v>
      </c>
      <c r="L178">
        <v>5.5</v>
      </c>
      <c r="M178">
        <v>2.54</v>
      </c>
      <c r="N178">
        <v>2.75</v>
      </c>
      <c r="O178">
        <v>1</v>
      </c>
      <c r="Q178" s="3">
        <v>0.9375</v>
      </c>
      <c r="R178">
        <v>7.9</v>
      </c>
      <c r="S178">
        <v>4.3600000000000003</v>
      </c>
      <c r="T178">
        <v>15.97</v>
      </c>
      <c r="U178">
        <v>7.25</v>
      </c>
      <c r="V178">
        <v>7.25</v>
      </c>
      <c r="W178">
        <v>100</v>
      </c>
      <c r="Y178">
        <v>72</v>
      </c>
      <c r="Z178">
        <v>2</v>
      </c>
      <c r="AA178">
        <v>0</v>
      </c>
      <c r="AB178" s="3">
        <v>0.90347222222222223</v>
      </c>
      <c r="AC178">
        <v>9.9</v>
      </c>
      <c r="AD178">
        <v>2.8</v>
      </c>
    </row>
    <row r="179" spans="1:30" x14ac:dyDescent="0.2">
      <c r="A179" t="s">
        <v>1028</v>
      </c>
      <c r="C179">
        <v>0</v>
      </c>
      <c r="D179" t="s">
        <v>5</v>
      </c>
      <c r="E179">
        <v>2500</v>
      </c>
      <c r="F179" t="s">
        <v>483</v>
      </c>
      <c r="G179" t="s">
        <v>772</v>
      </c>
      <c r="H179" s="2">
        <v>0.91666666666666663</v>
      </c>
      <c r="I179" t="s">
        <v>762</v>
      </c>
      <c r="J179" s="1">
        <v>0.46500000000000002</v>
      </c>
      <c r="K179">
        <v>-87</v>
      </c>
      <c r="L179">
        <v>6</v>
      </c>
      <c r="M179">
        <v>3.14</v>
      </c>
      <c r="N179">
        <v>3</v>
      </c>
      <c r="Q179" s="3">
        <v>0.4909722222222222</v>
      </c>
      <c r="R179">
        <v>3.4</v>
      </c>
      <c r="S179">
        <v>3.97</v>
      </c>
      <c r="T179">
        <v>0</v>
      </c>
      <c r="U179">
        <v>0</v>
      </c>
      <c r="V179">
        <v>0</v>
      </c>
      <c r="W179">
        <v>100</v>
      </c>
      <c r="Y179">
        <v>42</v>
      </c>
      <c r="Z179">
        <v>0</v>
      </c>
      <c r="AA179">
        <v>0</v>
      </c>
    </row>
    <row r="180" spans="1:30" x14ac:dyDescent="0.2">
      <c r="A180" t="s">
        <v>592</v>
      </c>
      <c r="C180">
        <v>0</v>
      </c>
      <c r="D180" t="s">
        <v>17</v>
      </c>
      <c r="E180">
        <v>2500</v>
      </c>
      <c r="F180" t="s">
        <v>777</v>
      </c>
      <c r="G180" t="s">
        <v>778</v>
      </c>
      <c r="H180" s="2">
        <v>0.79166666666666663</v>
      </c>
      <c r="I180" t="s">
        <v>762</v>
      </c>
      <c r="J180" s="1">
        <v>0.46400000000000002</v>
      </c>
      <c r="K180">
        <v>-86.5</v>
      </c>
      <c r="L180">
        <v>6</v>
      </c>
      <c r="M180">
        <v>3.19</v>
      </c>
      <c r="N180">
        <v>3</v>
      </c>
      <c r="Q180" s="3">
        <v>0.50763888888888886</v>
      </c>
      <c r="R180">
        <v>2.5</v>
      </c>
      <c r="S180">
        <v>2.23</v>
      </c>
      <c r="T180">
        <v>0</v>
      </c>
      <c r="U180">
        <v>0</v>
      </c>
      <c r="V180">
        <v>0</v>
      </c>
      <c r="W180">
        <v>100</v>
      </c>
      <c r="Y180">
        <v>55</v>
      </c>
      <c r="Z180">
        <v>0</v>
      </c>
      <c r="AA180">
        <v>0</v>
      </c>
    </row>
    <row r="181" spans="1:30" x14ac:dyDescent="0.2">
      <c r="A181" t="s">
        <v>133</v>
      </c>
      <c r="C181">
        <v>0</v>
      </c>
      <c r="D181" t="s">
        <v>5</v>
      </c>
      <c r="E181">
        <v>7800</v>
      </c>
      <c r="F181" t="s">
        <v>491</v>
      </c>
      <c r="G181" t="s">
        <v>773</v>
      </c>
      <c r="H181" s="2">
        <v>0.79166666666666663</v>
      </c>
      <c r="I181" t="s">
        <v>766</v>
      </c>
      <c r="J181" s="1">
        <v>0.49299999999999999</v>
      </c>
      <c r="K181">
        <v>103</v>
      </c>
      <c r="L181">
        <v>6.5</v>
      </c>
      <c r="M181">
        <v>3.25</v>
      </c>
      <c r="N181">
        <v>3.71</v>
      </c>
      <c r="O181">
        <v>1</v>
      </c>
      <c r="P181">
        <v>1</v>
      </c>
      <c r="Q181" s="3">
        <v>0.87152777777777779</v>
      </c>
      <c r="R181">
        <v>14.8</v>
      </c>
      <c r="S181">
        <v>10.98</v>
      </c>
      <c r="T181">
        <v>40.21</v>
      </c>
      <c r="U181">
        <v>18.25</v>
      </c>
      <c r="V181">
        <v>18.25</v>
      </c>
      <c r="W181">
        <v>100</v>
      </c>
      <c r="Y181">
        <v>63</v>
      </c>
      <c r="Z181">
        <v>2.2999999999999998</v>
      </c>
      <c r="AA181">
        <v>0</v>
      </c>
      <c r="AB181" s="3">
        <v>0.82499999999999996</v>
      </c>
      <c r="AC181">
        <v>14.5</v>
      </c>
      <c r="AD181">
        <v>1.9</v>
      </c>
    </row>
    <row r="182" spans="1:30" x14ac:dyDescent="0.2">
      <c r="A182" t="s">
        <v>307</v>
      </c>
      <c r="C182">
        <v>0</v>
      </c>
      <c r="D182" t="s">
        <v>10</v>
      </c>
      <c r="E182">
        <v>3000</v>
      </c>
      <c r="F182" t="s">
        <v>777</v>
      </c>
      <c r="G182" t="s">
        <v>778</v>
      </c>
      <c r="H182" s="2">
        <v>0.79166666666666663</v>
      </c>
      <c r="I182" t="s">
        <v>762</v>
      </c>
      <c r="J182" s="1">
        <v>0.46400000000000002</v>
      </c>
      <c r="K182">
        <v>-86.5</v>
      </c>
      <c r="L182">
        <v>6</v>
      </c>
      <c r="M182">
        <v>3.19</v>
      </c>
      <c r="N182">
        <v>3</v>
      </c>
      <c r="O182">
        <v>4</v>
      </c>
      <c r="P182">
        <v>1</v>
      </c>
      <c r="Q182" s="3">
        <v>0.68125000000000002</v>
      </c>
      <c r="R182">
        <v>6</v>
      </c>
      <c r="S182">
        <v>5.88</v>
      </c>
      <c r="T182">
        <v>18.510000000000002</v>
      </c>
      <c r="U182">
        <v>6.75</v>
      </c>
      <c r="V182">
        <v>6.75</v>
      </c>
      <c r="W182">
        <v>100</v>
      </c>
      <c r="Y182">
        <v>51</v>
      </c>
      <c r="Z182">
        <v>2.2999999999999998</v>
      </c>
      <c r="AA182">
        <v>0</v>
      </c>
      <c r="AB182" s="3">
        <v>0.8</v>
      </c>
      <c r="AC182">
        <v>3</v>
      </c>
      <c r="AD182">
        <v>1</v>
      </c>
    </row>
    <row r="183" spans="1:30" x14ac:dyDescent="0.2">
      <c r="A183" t="s">
        <v>662</v>
      </c>
      <c r="C183">
        <v>0</v>
      </c>
      <c r="D183" t="s">
        <v>10</v>
      </c>
      <c r="E183">
        <v>2500</v>
      </c>
      <c r="F183" t="s">
        <v>480</v>
      </c>
      <c r="G183" t="s">
        <v>761</v>
      </c>
      <c r="H183" s="2">
        <v>0.875</v>
      </c>
      <c r="I183" t="s">
        <v>762</v>
      </c>
      <c r="J183" s="1">
        <v>0.52900000000000003</v>
      </c>
      <c r="K183">
        <v>-112.5</v>
      </c>
      <c r="L183">
        <v>7</v>
      </c>
      <c r="M183">
        <v>4.05</v>
      </c>
      <c r="N183">
        <v>3.5</v>
      </c>
      <c r="Q183" s="3">
        <v>0.3125</v>
      </c>
      <c r="R183">
        <v>3.1</v>
      </c>
      <c r="S183">
        <v>3.95</v>
      </c>
      <c r="T183">
        <v>0</v>
      </c>
      <c r="U183">
        <v>0</v>
      </c>
      <c r="V183">
        <v>0</v>
      </c>
      <c r="W183">
        <v>100</v>
      </c>
      <c r="Y183">
        <v>36</v>
      </c>
      <c r="Z183">
        <v>0</v>
      </c>
      <c r="AA183">
        <v>0</v>
      </c>
    </row>
    <row r="184" spans="1:30" x14ac:dyDescent="0.2">
      <c r="A184" t="s">
        <v>577</v>
      </c>
      <c r="C184">
        <v>0</v>
      </c>
      <c r="D184" t="s">
        <v>17</v>
      </c>
      <c r="E184">
        <v>2500</v>
      </c>
      <c r="F184" t="s">
        <v>499</v>
      </c>
      <c r="G184" t="s">
        <v>775</v>
      </c>
      <c r="H184" s="2">
        <v>0.79166666666666663</v>
      </c>
      <c r="I184" t="s">
        <v>762</v>
      </c>
      <c r="J184" s="1">
        <v>0.50700000000000001</v>
      </c>
      <c r="K184">
        <v>-103</v>
      </c>
      <c r="L184">
        <v>6.5</v>
      </c>
      <c r="M184">
        <v>3.71</v>
      </c>
      <c r="N184">
        <v>3.25</v>
      </c>
      <c r="Q184" s="3">
        <v>0.6791666666666667</v>
      </c>
      <c r="R184">
        <v>4.4000000000000004</v>
      </c>
      <c r="S184">
        <v>3.26</v>
      </c>
      <c r="T184">
        <v>0</v>
      </c>
      <c r="U184">
        <v>0</v>
      </c>
      <c r="V184">
        <v>0</v>
      </c>
      <c r="W184">
        <v>100</v>
      </c>
      <c r="Y184">
        <v>63</v>
      </c>
      <c r="Z184">
        <v>0</v>
      </c>
      <c r="AA184">
        <v>0</v>
      </c>
    </row>
    <row r="185" spans="1:30" x14ac:dyDescent="0.2">
      <c r="A185" t="s">
        <v>522</v>
      </c>
      <c r="C185">
        <v>0</v>
      </c>
      <c r="D185" t="s">
        <v>10</v>
      </c>
      <c r="E185">
        <v>2500</v>
      </c>
      <c r="F185" t="s">
        <v>499</v>
      </c>
      <c r="G185" t="s">
        <v>775</v>
      </c>
      <c r="H185" s="2">
        <v>0.79166666666666663</v>
      </c>
      <c r="I185" t="s">
        <v>762</v>
      </c>
      <c r="J185" s="1">
        <v>0.50700000000000001</v>
      </c>
      <c r="K185">
        <v>-103</v>
      </c>
      <c r="L185">
        <v>6.5</v>
      </c>
      <c r="M185">
        <v>3.71</v>
      </c>
      <c r="N185">
        <v>3.25</v>
      </c>
      <c r="O185">
        <v>4</v>
      </c>
      <c r="Q185" s="3">
        <v>0.56458333333333333</v>
      </c>
      <c r="R185">
        <v>5.7</v>
      </c>
      <c r="S185">
        <v>4.8499999999999996</v>
      </c>
      <c r="T185">
        <v>17.43</v>
      </c>
      <c r="U185">
        <v>7.73</v>
      </c>
      <c r="V185">
        <v>7.73</v>
      </c>
      <c r="W185">
        <v>100</v>
      </c>
      <c r="Y185">
        <v>57</v>
      </c>
      <c r="Z185">
        <v>3.1</v>
      </c>
      <c r="AA185">
        <v>0</v>
      </c>
      <c r="AB185" s="3">
        <v>0.6118055555555556</v>
      </c>
      <c r="AC185">
        <v>20</v>
      </c>
      <c r="AD185">
        <v>8</v>
      </c>
    </row>
    <row r="186" spans="1:30" x14ac:dyDescent="0.2">
      <c r="A186" t="s">
        <v>112</v>
      </c>
      <c r="C186">
        <v>0</v>
      </c>
      <c r="D186" t="s">
        <v>7</v>
      </c>
      <c r="E186">
        <v>6900</v>
      </c>
      <c r="F186" t="s">
        <v>496</v>
      </c>
      <c r="G186" t="s">
        <v>787</v>
      </c>
      <c r="H186" s="2">
        <v>0.79166666666666663</v>
      </c>
      <c r="I186" t="s">
        <v>766</v>
      </c>
      <c r="J186" s="1">
        <v>0.48199999999999998</v>
      </c>
      <c r="K186">
        <v>107.5</v>
      </c>
      <c r="L186">
        <v>5.5</v>
      </c>
      <c r="M186">
        <v>2.75</v>
      </c>
      <c r="N186">
        <v>3.2</v>
      </c>
      <c r="O186" t="s">
        <v>780</v>
      </c>
      <c r="Q186" s="4">
        <v>2.5</v>
      </c>
      <c r="R186">
        <v>10.5</v>
      </c>
      <c r="S186">
        <v>6.91</v>
      </c>
      <c r="T186">
        <v>24.8</v>
      </c>
      <c r="U186">
        <v>10.98</v>
      </c>
      <c r="V186">
        <v>10.98</v>
      </c>
      <c r="W186">
        <v>100</v>
      </c>
      <c r="Y186">
        <v>67</v>
      </c>
      <c r="Z186">
        <v>1.6</v>
      </c>
      <c r="AA186">
        <v>0</v>
      </c>
      <c r="AB186" s="4">
        <v>2.4333333333333331</v>
      </c>
      <c r="AC186">
        <v>12.6</v>
      </c>
      <c r="AD186">
        <v>1.8</v>
      </c>
    </row>
    <row r="187" spans="1:30" x14ac:dyDescent="0.2">
      <c r="A187" t="s">
        <v>275</v>
      </c>
      <c r="C187">
        <v>0</v>
      </c>
      <c r="D187" t="s">
        <v>7</v>
      </c>
      <c r="E187">
        <v>8400</v>
      </c>
      <c r="F187" t="s">
        <v>480</v>
      </c>
      <c r="G187" t="s">
        <v>761</v>
      </c>
      <c r="H187" s="2">
        <v>0.875</v>
      </c>
      <c r="I187" t="s">
        <v>762</v>
      </c>
      <c r="J187" s="1">
        <v>0.52900000000000003</v>
      </c>
      <c r="K187">
        <v>-112.5</v>
      </c>
      <c r="L187">
        <v>7</v>
      </c>
      <c r="M187">
        <v>4.05</v>
      </c>
      <c r="N187">
        <v>3.5</v>
      </c>
      <c r="O187" t="s">
        <v>780</v>
      </c>
      <c r="Q187" s="4">
        <v>2.3986111111111112</v>
      </c>
      <c r="R187">
        <v>11.9</v>
      </c>
      <c r="S187">
        <v>9.69</v>
      </c>
      <c r="T187">
        <v>30.66</v>
      </c>
      <c r="U187">
        <v>11.28</v>
      </c>
      <c r="V187">
        <v>11.28</v>
      </c>
      <c r="W187">
        <v>100</v>
      </c>
      <c r="Y187">
        <v>59</v>
      </c>
      <c r="Z187">
        <v>1.3</v>
      </c>
      <c r="AA187">
        <v>0</v>
      </c>
      <c r="AB187" s="4">
        <v>2.4715277777777778</v>
      </c>
      <c r="AC187">
        <v>7.4</v>
      </c>
      <c r="AD187">
        <v>0.9</v>
      </c>
    </row>
    <row r="188" spans="1:30" x14ac:dyDescent="0.2">
      <c r="A188" t="s">
        <v>949</v>
      </c>
      <c r="C188">
        <v>0</v>
      </c>
      <c r="D188" t="s">
        <v>17</v>
      </c>
      <c r="E188">
        <v>2500</v>
      </c>
      <c r="F188" t="s">
        <v>501</v>
      </c>
      <c r="G188" t="s">
        <v>783</v>
      </c>
      <c r="H188" s="2">
        <v>0.79166666666666663</v>
      </c>
      <c r="I188" t="s">
        <v>766</v>
      </c>
      <c r="J188" s="1">
        <v>0.52800000000000002</v>
      </c>
      <c r="K188">
        <v>89.5</v>
      </c>
      <c r="L188">
        <v>6</v>
      </c>
      <c r="M188">
        <v>2.82</v>
      </c>
      <c r="N188">
        <v>3</v>
      </c>
      <c r="T188">
        <v>0</v>
      </c>
      <c r="U188">
        <v>0</v>
      </c>
      <c r="V188">
        <v>0</v>
      </c>
      <c r="W188">
        <v>100</v>
      </c>
      <c r="Y188">
        <v>0</v>
      </c>
      <c r="Z188">
        <v>0</v>
      </c>
      <c r="AA188">
        <v>0</v>
      </c>
    </row>
    <row r="189" spans="1:30" x14ac:dyDescent="0.2">
      <c r="A189" t="s">
        <v>8</v>
      </c>
      <c r="C189">
        <v>0</v>
      </c>
      <c r="D189" t="s">
        <v>5</v>
      </c>
      <c r="E189">
        <v>10500</v>
      </c>
      <c r="F189" t="s">
        <v>480</v>
      </c>
      <c r="G189" t="s">
        <v>761</v>
      </c>
      <c r="H189" s="2">
        <v>0.875</v>
      </c>
      <c r="I189" t="s">
        <v>762</v>
      </c>
      <c r="J189" s="1">
        <v>0.52900000000000003</v>
      </c>
      <c r="K189">
        <v>-112.5</v>
      </c>
      <c r="L189">
        <v>7</v>
      </c>
      <c r="M189">
        <v>4.05</v>
      </c>
      <c r="N189">
        <v>3.5</v>
      </c>
      <c r="O189">
        <v>1</v>
      </c>
      <c r="P189">
        <v>1</v>
      </c>
      <c r="Q189" s="3">
        <v>0.95277777777777772</v>
      </c>
      <c r="R189">
        <v>18.399999999999999</v>
      </c>
      <c r="S189">
        <v>12.51</v>
      </c>
      <c r="T189">
        <v>58.65</v>
      </c>
      <c r="U189">
        <v>33.630000000000003</v>
      </c>
      <c r="V189">
        <v>33.630000000000003</v>
      </c>
      <c r="W189">
        <v>100</v>
      </c>
      <c r="Y189">
        <v>66</v>
      </c>
      <c r="Z189">
        <v>3.2</v>
      </c>
      <c r="AA189">
        <v>0</v>
      </c>
      <c r="AB189" s="4">
        <v>1.0902777777777777</v>
      </c>
      <c r="AC189">
        <v>16.5</v>
      </c>
      <c r="AD189">
        <v>1.6</v>
      </c>
    </row>
    <row r="190" spans="1:30" x14ac:dyDescent="0.2">
      <c r="A190" t="s">
        <v>335</v>
      </c>
      <c r="C190">
        <v>0</v>
      </c>
      <c r="D190" t="s">
        <v>10</v>
      </c>
      <c r="E190">
        <v>4500</v>
      </c>
      <c r="F190" t="s">
        <v>500</v>
      </c>
      <c r="G190" t="s">
        <v>785</v>
      </c>
      <c r="H190" s="2">
        <v>0.8125</v>
      </c>
      <c r="I190" t="s">
        <v>766</v>
      </c>
      <c r="J190" s="1">
        <v>0.56000000000000005</v>
      </c>
      <c r="K190">
        <v>78.5</v>
      </c>
      <c r="L190">
        <v>6.5</v>
      </c>
      <c r="M190">
        <v>3.25</v>
      </c>
      <c r="N190">
        <v>3.43</v>
      </c>
      <c r="O190">
        <v>1</v>
      </c>
      <c r="P190">
        <v>2</v>
      </c>
      <c r="Q190" s="3">
        <v>0.70833333333333337</v>
      </c>
      <c r="R190">
        <v>7.3</v>
      </c>
      <c r="S190">
        <v>7.23</v>
      </c>
      <c r="T190">
        <v>23.83</v>
      </c>
      <c r="U190">
        <v>9.3699999999999992</v>
      </c>
      <c r="V190">
        <v>9.3699999999999992</v>
      </c>
      <c r="W190">
        <v>100</v>
      </c>
      <c r="Y190">
        <v>50</v>
      </c>
      <c r="Z190">
        <v>2.1</v>
      </c>
      <c r="AA190">
        <v>0</v>
      </c>
      <c r="AB190" s="3">
        <v>0.67847222222222225</v>
      </c>
      <c r="AC190">
        <v>5</v>
      </c>
      <c r="AD190">
        <v>1.1000000000000001</v>
      </c>
    </row>
    <row r="191" spans="1:30" x14ac:dyDescent="0.2">
      <c r="A191" t="s">
        <v>178</v>
      </c>
      <c r="C191">
        <v>0</v>
      </c>
      <c r="D191" t="s">
        <v>17</v>
      </c>
      <c r="E191">
        <v>2500</v>
      </c>
      <c r="F191" t="s">
        <v>491</v>
      </c>
      <c r="G191" t="s">
        <v>773</v>
      </c>
      <c r="H191" s="2">
        <v>0.79166666666666663</v>
      </c>
      <c r="I191" t="s">
        <v>766</v>
      </c>
      <c r="J191" s="1">
        <v>0.49299999999999999</v>
      </c>
      <c r="K191">
        <v>103</v>
      </c>
      <c r="L191">
        <v>6.5</v>
      </c>
      <c r="M191">
        <v>3.25</v>
      </c>
      <c r="N191">
        <v>3.71</v>
      </c>
      <c r="O191">
        <v>3</v>
      </c>
      <c r="Q191" s="3">
        <v>0.67777777777777781</v>
      </c>
      <c r="R191">
        <v>4.8</v>
      </c>
      <c r="S191">
        <v>4.72</v>
      </c>
      <c r="T191">
        <v>16.8</v>
      </c>
      <c r="U191">
        <v>7.36</v>
      </c>
      <c r="V191">
        <v>7.36</v>
      </c>
      <c r="W191">
        <v>100</v>
      </c>
      <c r="Y191">
        <v>51</v>
      </c>
      <c r="Z191">
        <v>2.9</v>
      </c>
      <c r="AA191">
        <v>0</v>
      </c>
      <c r="AB191" s="3">
        <v>0.81527777777777777</v>
      </c>
      <c r="AC191">
        <v>12.6</v>
      </c>
      <c r="AD191">
        <v>5</v>
      </c>
    </row>
    <row r="192" spans="1:30" x14ac:dyDescent="0.2">
      <c r="A192" t="s">
        <v>330</v>
      </c>
      <c r="C192">
        <v>0</v>
      </c>
      <c r="D192" t="s">
        <v>10</v>
      </c>
      <c r="E192">
        <v>3300</v>
      </c>
      <c r="F192" t="s">
        <v>502</v>
      </c>
      <c r="G192" t="s">
        <v>798</v>
      </c>
      <c r="H192" s="2">
        <v>0.83333333333333337</v>
      </c>
      <c r="I192" t="s">
        <v>766</v>
      </c>
      <c r="J192" s="1">
        <v>0.48699999999999999</v>
      </c>
      <c r="K192">
        <v>105.5</v>
      </c>
      <c r="L192">
        <v>6</v>
      </c>
      <c r="M192">
        <v>3</v>
      </c>
      <c r="N192">
        <v>3.46</v>
      </c>
      <c r="O192">
        <v>2</v>
      </c>
      <c r="P192">
        <v>2</v>
      </c>
      <c r="Q192" s="3">
        <v>0.60416666666666663</v>
      </c>
      <c r="R192">
        <v>5.0999999999999996</v>
      </c>
      <c r="S192">
        <v>5.27</v>
      </c>
      <c r="T192">
        <v>18.14</v>
      </c>
      <c r="U192">
        <v>7.6</v>
      </c>
      <c r="V192">
        <v>7.6</v>
      </c>
      <c r="W192">
        <v>100</v>
      </c>
      <c r="Y192">
        <v>48</v>
      </c>
      <c r="Z192">
        <v>2.2999999999999998</v>
      </c>
      <c r="AA192">
        <v>0</v>
      </c>
      <c r="AB192" s="3">
        <v>0.68194444444444446</v>
      </c>
      <c r="AC192">
        <v>3</v>
      </c>
      <c r="AD192">
        <v>0.9</v>
      </c>
    </row>
    <row r="193" spans="1:30" x14ac:dyDescent="0.2">
      <c r="A193" t="s">
        <v>155</v>
      </c>
      <c r="C193">
        <v>0</v>
      </c>
      <c r="D193" t="s">
        <v>10</v>
      </c>
      <c r="E193">
        <v>3600</v>
      </c>
      <c r="F193" t="s">
        <v>510</v>
      </c>
      <c r="G193" t="s">
        <v>802</v>
      </c>
      <c r="H193" s="2">
        <v>0.91666666666666663</v>
      </c>
      <c r="I193" t="s">
        <v>766</v>
      </c>
      <c r="J193" s="1">
        <v>0.51200000000000001</v>
      </c>
      <c r="K193">
        <v>95.5</v>
      </c>
      <c r="L193">
        <v>6.5</v>
      </c>
      <c r="M193">
        <v>3.01</v>
      </c>
      <c r="N193">
        <v>3.25</v>
      </c>
      <c r="O193">
        <v>1</v>
      </c>
      <c r="P193">
        <v>2</v>
      </c>
      <c r="Q193" s="3">
        <v>0.79305555555555551</v>
      </c>
      <c r="R193">
        <v>7.7</v>
      </c>
      <c r="S193">
        <v>6.04</v>
      </c>
      <c r="T193">
        <v>18.62</v>
      </c>
      <c r="U193">
        <v>6.54</v>
      </c>
      <c r="V193">
        <v>6.54</v>
      </c>
      <c r="W193">
        <v>100</v>
      </c>
      <c r="Y193">
        <v>61</v>
      </c>
      <c r="Z193">
        <v>1.8</v>
      </c>
      <c r="AA193">
        <v>0</v>
      </c>
      <c r="AB193" s="3">
        <v>0.82638888888888884</v>
      </c>
      <c r="AC193">
        <v>8.4</v>
      </c>
      <c r="AD193">
        <v>2.2999999999999998</v>
      </c>
    </row>
    <row r="194" spans="1:30" x14ac:dyDescent="0.2">
      <c r="A194" t="s">
        <v>679</v>
      </c>
      <c r="C194">
        <v>0</v>
      </c>
      <c r="D194" t="s">
        <v>10</v>
      </c>
      <c r="E194">
        <v>2500</v>
      </c>
      <c r="F194" t="s">
        <v>768</v>
      </c>
      <c r="G194" t="s">
        <v>769</v>
      </c>
      <c r="H194" s="2">
        <v>0.79166666666666663</v>
      </c>
      <c r="I194" t="s">
        <v>762</v>
      </c>
      <c r="J194" s="1">
        <v>0.51800000000000002</v>
      </c>
      <c r="K194">
        <v>-107.5</v>
      </c>
      <c r="L194">
        <v>5.5</v>
      </c>
      <c r="M194">
        <v>3.2</v>
      </c>
      <c r="N194">
        <v>2.75</v>
      </c>
      <c r="Q194" s="3">
        <v>0.45347222222222222</v>
      </c>
      <c r="R194">
        <v>4.4000000000000004</v>
      </c>
      <c r="S194">
        <v>3.68</v>
      </c>
      <c r="T194">
        <v>0</v>
      </c>
      <c r="U194">
        <v>0</v>
      </c>
      <c r="V194">
        <v>0</v>
      </c>
      <c r="W194">
        <v>100</v>
      </c>
      <c r="Y194">
        <v>58</v>
      </c>
      <c r="Z194">
        <v>0</v>
      </c>
      <c r="AA194">
        <v>0</v>
      </c>
    </row>
    <row r="195" spans="1:30" x14ac:dyDescent="0.2">
      <c r="A195" t="s">
        <v>954</v>
      </c>
      <c r="C195">
        <v>0</v>
      </c>
      <c r="D195" t="s">
        <v>10</v>
      </c>
      <c r="E195">
        <v>2500</v>
      </c>
      <c r="F195" t="s">
        <v>501</v>
      </c>
      <c r="G195" t="s">
        <v>783</v>
      </c>
      <c r="H195" s="2">
        <v>0.79166666666666663</v>
      </c>
      <c r="I195" t="s">
        <v>766</v>
      </c>
      <c r="J195" s="1">
        <v>0.52800000000000002</v>
      </c>
      <c r="K195">
        <v>89.5</v>
      </c>
      <c r="L195">
        <v>6</v>
      </c>
      <c r="M195">
        <v>2.82</v>
      </c>
      <c r="N195">
        <v>3</v>
      </c>
      <c r="Q195" s="3">
        <v>0.61041666666666672</v>
      </c>
      <c r="R195">
        <v>4.3</v>
      </c>
      <c r="S195">
        <v>3.64</v>
      </c>
      <c r="T195">
        <v>0</v>
      </c>
      <c r="U195">
        <v>0</v>
      </c>
      <c r="V195">
        <v>0</v>
      </c>
      <c r="W195">
        <v>100</v>
      </c>
      <c r="Y195">
        <v>58</v>
      </c>
      <c r="Z195">
        <v>0</v>
      </c>
      <c r="AA195">
        <v>0</v>
      </c>
    </row>
    <row r="196" spans="1:30" x14ac:dyDescent="0.2">
      <c r="A196" t="s">
        <v>914</v>
      </c>
      <c r="C196">
        <v>0</v>
      </c>
      <c r="D196" t="s">
        <v>17</v>
      </c>
      <c r="E196">
        <v>2500</v>
      </c>
      <c r="F196" t="s">
        <v>486</v>
      </c>
      <c r="G196" t="s">
        <v>776</v>
      </c>
      <c r="H196" s="2">
        <v>0.79166666666666663</v>
      </c>
      <c r="I196" t="s">
        <v>762</v>
      </c>
      <c r="J196" s="1">
        <v>0.435</v>
      </c>
      <c r="K196">
        <v>-77</v>
      </c>
      <c r="L196">
        <v>5.5</v>
      </c>
      <c r="M196">
        <v>2.87</v>
      </c>
      <c r="N196">
        <v>2.75</v>
      </c>
      <c r="Q196" s="3">
        <v>0.80277777777777781</v>
      </c>
      <c r="R196">
        <v>6.4</v>
      </c>
      <c r="S196">
        <v>4.01</v>
      </c>
      <c r="T196">
        <v>0</v>
      </c>
      <c r="U196">
        <v>0</v>
      </c>
      <c r="V196">
        <v>0</v>
      </c>
      <c r="W196">
        <v>100</v>
      </c>
      <c r="Y196">
        <v>69</v>
      </c>
      <c r="Z196">
        <v>0</v>
      </c>
      <c r="AA196">
        <v>0</v>
      </c>
    </row>
    <row r="197" spans="1:30" x14ac:dyDescent="0.2">
      <c r="A197" t="s">
        <v>177</v>
      </c>
      <c r="C197">
        <v>0</v>
      </c>
      <c r="D197" t="s">
        <v>10</v>
      </c>
      <c r="E197">
        <v>3400</v>
      </c>
      <c r="F197" t="s">
        <v>794</v>
      </c>
      <c r="G197" t="s">
        <v>795</v>
      </c>
      <c r="H197" s="2">
        <v>0.79166666666666663</v>
      </c>
      <c r="I197" t="s">
        <v>766</v>
      </c>
      <c r="J197" s="1">
        <v>0.56499999999999995</v>
      </c>
      <c r="K197">
        <v>77</v>
      </c>
      <c r="L197">
        <v>5.5</v>
      </c>
      <c r="M197">
        <v>2.75</v>
      </c>
      <c r="N197">
        <v>2.87</v>
      </c>
      <c r="O197">
        <v>1</v>
      </c>
      <c r="P197">
        <v>1</v>
      </c>
      <c r="Q197" s="3">
        <v>0.58472222222222225</v>
      </c>
      <c r="R197">
        <v>7.2</v>
      </c>
      <c r="S197">
        <v>5.26</v>
      </c>
      <c r="T197">
        <v>16.61</v>
      </c>
      <c r="U197">
        <v>6.09</v>
      </c>
      <c r="V197">
        <v>6.09</v>
      </c>
      <c r="W197">
        <v>100</v>
      </c>
      <c r="Y197">
        <v>63</v>
      </c>
      <c r="Z197">
        <v>1.8</v>
      </c>
      <c r="AA197">
        <v>0</v>
      </c>
      <c r="AB197" s="3">
        <v>0.64375000000000004</v>
      </c>
      <c r="AC197">
        <v>5.8</v>
      </c>
      <c r="AD197">
        <v>1.7</v>
      </c>
    </row>
    <row r="198" spans="1:30" x14ac:dyDescent="0.2">
      <c r="A198" t="s">
        <v>717</v>
      </c>
      <c r="C198">
        <v>0</v>
      </c>
      <c r="D198" t="s">
        <v>10</v>
      </c>
      <c r="E198">
        <v>2500</v>
      </c>
      <c r="F198" t="s">
        <v>768</v>
      </c>
      <c r="G198" t="s">
        <v>769</v>
      </c>
      <c r="H198" s="2">
        <v>0.79166666666666663</v>
      </c>
      <c r="I198" t="s">
        <v>762</v>
      </c>
      <c r="J198" s="1">
        <v>0.51800000000000002</v>
      </c>
      <c r="K198">
        <v>-107.5</v>
      </c>
      <c r="L198">
        <v>5.5</v>
      </c>
      <c r="M198">
        <v>3.2</v>
      </c>
      <c r="N198">
        <v>2.75</v>
      </c>
      <c r="Q198" s="3">
        <v>0.24791666666666667</v>
      </c>
      <c r="R198">
        <v>1.6</v>
      </c>
      <c r="S198">
        <v>2.38</v>
      </c>
      <c r="T198">
        <v>0</v>
      </c>
      <c r="U198">
        <v>0</v>
      </c>
      <c r="V198">
        <v>0</v>
      </c>
      <c r="W198">
        <v>100</v>
      </c>
      <c r="Y198">
        <v>26</v>
      </c>
      <c r="Z198">
        <v>0</v>
      </c>
      <c r="AA198">
        <v>0</v>
      </c>
    </row>
    <row r="199" spans="1:30" x14ac:dyDescent="0.2">
      <c r="A199" t="s">
        <v>435</v>
      </c>
      <c r="C199">
        <v>0</v>
      </c>
      <c r="D199" t="s">
        <v>5</v>
      </c>
      <c r="E199">
        <v>2500</v>
      </c>
      <c r="F199" t="s">
        <v>480</v>
      </c>
      <c r="G199" t="s">
        <v>761</v>
      </c>
      <c r="H199" s="2">
        <v>0.875</v>
      </c>
      <c r="I199" t="s">
        <v>762</v>
      </c>
      <c r="J199" s="1">
        <v>0.52900000000000003</v>
      </c>
      <c r="K199">
        <v>-112.5</v>
      </c>
      <c r="L199">
        <v>7</v>
      </c>
      <c r="M199">
        <v>4.05</v>
      </c>
      <c r="N199">
        <v>3.5</v>
      </c>
      <c r="O199">
        <v>4</v>
      </c>
      <c r="Q199" s="3">
        <v>0.38333333333333336</v>
      </c>
      <c r="R199">
        <v>2.7</v>
      </c>
      <c r="S199">
        <v>3.35</v>
      </c>
      <c r="T199">
        <v>10.43</v>
      </c>
      <c r="U199">
        <v>3.73</v>
      </c>
      <c r="V199">
        <v>3.73</v>
      </c>
      <c r="W199">
        <v>100</v>
      </c>
      <c r="Y199">
        <v>38</v>
      </c>
      <c r="Z199">
        <v>1.5</v>
      </c>
      <c r="AA199">
        <v>0</v>
      </c>
      <c r="AB199" s="3">
        <v>0.36458333333333331</v>
      </c>
      <c r="AC199">
        <v>4.0999999999999996</v>
      </c>
      <c r="AD199">
        <v>1.6</v>
      </c>
    </row>
    <row r="200" spans="1:30" x14ac:dyDescent="0.2">
      <c r="A200" t="s">
        <v>25</v>
      </c>
      <c r="C200">
        <v>0</v>
      </c>
      <c r="D200" t="s">
        <v>10</v>
      </c>
      <c r="E200">
        <v>6800</v>
      </c>
      <c r="F200" t="s">
        <v>489</v>
      </c>
      <c r="G200" t="s">
        <v>788</v>
      </c>
      <c r="H200" s="2">
        <v>0.91666666666666663</v>
      </c>
      <c r="I200" t="s">
        <v>762</v>
      </c>
      <c r="J200" s="1">
        <v>0.48799999999999999</v>
      </c>
      <c r="K200">
        <v>-95.5</v>
      </c>
      <c r="L200">
        <v>6.5</v>
      </c>
      <c r="M200">
        <v>3.25</v>
      </c>
      <c r="N200">
        <v>3.01</v>
      </c>
      <c r="O200">
        <v>2</v>
      </c>
      <c r="P200">
        <v>1</v>
      </c>
      <c r="Q200" s="3">
        <v>0.72361111111111109</v>
      </c>
      <c r="R200">
        <v>13.3</v>
      </c>
      <c r="S200">
        <v>9.66</v>
      </c>
      <c r="T200">
        <v>32.36</v>
      </c>
      <c r="U200">
        <v>13.04</v>
      </c>
      <c r="V200">
        <v>13.04</v>
      </c>
      <c r="W200">
        <v>100</v>
      </c>
      <c r="Y200">
        <v>64</v>
      </c>
      <c r="Z200">
        <v>1.9</v>
      </c>
      <c r="AA200">
        <v>0</v>
      </c>
      <c r="AB200" s="3">
        <v>0.83402777777777781</v>
      </c>
      <c r="AC200">
        <v>6</v>
      </c>
      <c r="AD200">
        <v>0.9</v>
      </c>
    </row>
    <row r="201" spans="1:30" x14ac:dyDescent="0.2">
      <c r="A201" t="s">
        <v>621</v>
      </c>
      <c r="C201">
        <v>0</v>
      </c>
      <c r="D201" t="s">
        <v>17</v>
      </c>
      <c r="E201">
        <v>2500</v>
      </c>
      <c r="F201" t="s">
        <v>487</v>
      </c>
      <c r="G201" t="s">
        <v>770</v>
      </c>
      <c r="H201" s="2">
        <v>0.83333333333333337</v>
      </c>
      <c r="I201" t="s">
        <v>762</v>
      </c>
      <c r="J201" s="1">
        <v>0.51300000000000001</v>
      </c>
      <c r="K201">
        <v>-105.5</v>
      </c>
      <c r="L201">
        <v>6</v>
      </c>
      <c r="M201">
        <v>3.46</v>
      </c>
      <c r="N201">
        <v>3</v>
      </c>
      <c r="O201">
        <v>3</v>
      </c>
      <c r="Q201" s="3">
        <v>0.50347222222222221</v>
      </c>
      <c r="R201">
        <v>3.9</v>
      </c>
      <c r="S201">
        <v>3.62</v>
      </c>
      <c r="T201">
        <v>12.74</v>
      </c>
      <c r="U201">
        <v>5.5</v>
      </c>
      <c r="V201">
        <v>5.5</v>
      </c>
      <c r="W201">
        <v>100</v>
      </c>
      <c r="Y201">
        <v>54</v>
      </c>
      <c r="Z201">
        <v>2.2000000000000002</v>
      </c>
      <c r="AA201">
        <v>0</v>
      </c>
      <c r="AB201" s="3">
        <v>0.63124999999999998</v>
      </c>
      <c r="AC201">
        <v>13.4</v>
      </c>
      <c r="AD201">
        <v>5.4</v>
      </c>
    </row>
    <row r="202" spans="1:30" x14ac:dyDescent="0.2">
      <c r="A202" t="s">
        <v>1031</v>
      </c>
      <c r="C202">
        <v>0</v>
      </c>
      <c r="D202" t="s">
        <v>10</v>
      </c>
      <c r="E202">
        <v>2500</v>
      </c>
      <c r="F202" t="s">
        <v>490</v>
      </c>
      <c r="G202" t="s">
        <v>771</v>
      </c>
      <c r="H202" s="2">
        <v>0.91666666666666663</v>
      </c>
      <c r="I202" t="s">
        <v>766</v>
      </c>
      <c r="J202" s="1">
        <v>0.58499999999999996</v>
      </c>
      <c r="K202">
        <v>71</v>
      </c>
      <c r="L202">
        <v>6</v>
      </c>
      <c r="M202">
        <v>3</v>
      </c>
      <c r="N202">
        <v>3.02</v>
      </c>
      <c r="Q202" s="3">
        <v>0.51249999999999996</v>
      </c>
      <c r="R202">
        <v>4.3</v>
      </c>
      <c r="S202">
        <v>4.5199999999999996</v>
      </c>
      <c r="T202">
        <v>0</v>
      </c>
      <c r="U202">
        <v>0</v>
      </c>
      <c r="V202">
        <v>0</v>
      </c>
      <c r="W202">
        <v>100</v>
      </c>
      <c r="Y202">
        <v>47</v>
      </c>
      <c r="Z202">
        <v>0</v>
      </c>
      <c r="AA202">
        <v>0</v>
      </c>
    </row>
    <row r="203" spans="1:30" x14ac:dyDescent="0.2">
      <c r="A203" t="s">
        <v>634</v>
      </c>
      <c r="C203">
        <v>0</v>
      </c>
      <c r="D203" t="s">
        <v>17</v>
      </c>
      <c r="E203">
        <v>2500</v>
      </c>
      <c r="F203" t="s">
        <v>490</v>
      </c>
      <c r="G203" t="s">
        <v>771</v>
      </c>
      <c r="H203" s="2">
        <v>0.91666666666666663</v>
      </c>
      <c r="I203" t="s">
        <v>766</v>
      </c>
      <c r="J203" s="1">
        <v>0.58499999999999996</v>
      </c>
      <c r="K203">
        <v>71</v>
      </c>
      <c r="L203">
        <v>6</v>
      </c>
      <c r="M203">
        <v>3</v>
      </c>
      <c r="N203">
        <v>3.02</v>
      </c>
      <c r="Q203" s="3">
        <v>0.57361111111111107</v>
      </c>
      <c r="R203">
        <v>3.4</v>
      </c>
      <c r="S203">
        <v>3.61</v>
      </c>
      <c r="T203">
        <v>0</v>
      </c>
      <c r="U203">
        <v>0</v>
      </c>
      <c r="V203">
        <v>0</v>
      </c>
      <c r="W203">
        <v>100</v>
      </c>
      <c r="Y203">
        <v>47</v>
      </c>
      <c r="Z203">
        <v>0</v>
      </c>
      <c r="AA203">
        <v>0</v>
      </c>
    </row>
    <row r="204" spans="1:30" x14ac:dyDescent="0.2">
      <c r="A204" t="s">
        <v>252</v>
      </c>
      <c r="C204">
        <v>0</v>
      </c>
      <c r="D204" t="s">
        <v>5</v>
      </c>
      <c r="E204">
        <v>2700</v>
      </c>
      <c r="F204" t="s">
        <v>504</v>
      </c>
      <c r="G204" t="s">
        <v>799</v>
      </c>
      <c r="H204" s="2">
        <v>0.83333333333333337</v>
      </c>
      <c r="I204" t="s">
        <v>766</v>
      </c>
      <c r="J204" s="1">
        <v>0.51300000000000001</v>
      </c>
      <c r="K204">
        <v>95</v>
      </c>
      <c r="L204">
        <v>5.5</v>
      </c>
      <c r="M204">
        <v>2.54</v>
      </c>
      <c r="N204">
        <v>2.75</v>
      </c>
      <c r="O204">
        <v>3</v>
      </c>
      <c r="P204">
        <v>1</v>
      </c>
      <c r="Q204" s="3">
        <v>0.60277777777777775</v>
      </c>
      <c r="R204">
        <v>4.7</v>
      </c>
      <c r="S204">
        <v>4.78</v>
      </c>
      <c r="T204">
        <v>14.09</v>
      </c>
      <c r="U204">
        <v>4.53</v>
      </c>
      <c r="V204">
        <v>4.53</v>
      </c>
      <c r="W204">
        <v>100</v>
      </c>
      <c r="Y204">
        <v>49</v>
      </c>
      <c r="Z204">
        <v>1.7</v>
      </c>
      <c r="AA204">
        <v>0</v>
      </c>
      <c r="AB204" s="3">
        <v>0.56319444444444444</v>
      </c>
      <c r="AC204">
        <v>2.8</v>
      </c>
      <c r="AD204">
        <v>1</v>
      </c>
    </row>
    <row r="205" spans="1:30" x14ac:dyDescent="0.2">
      <c r="A205" t="s">
        <v>1006</v>
      </c>
      <c r="C205">
        <v>0</v>
      </c>
      <c r="D205" t="s">
        <v>17</v>
      </c>
      <c r="E205">
        <v>2500</v>
      </c>
      <c r="F205" t="s">
        <v>480</v>
      </c>
      <c r="G205" t="s">
        <v>761</v>
      </c>
      <c r="H205" s="2">
        <v>0.875</v>
      </c>
      <c r="I205" t="s">
        <v>762</v>
      </c>
      <c r="J205" s="1">
        <v>0.52900000000000003</v>
      </c>
      <c r="K205">
        <v>-112.5</v>
      </c>
      <c r="L205">
        <v>7</v>
      </c>
      <c r="M205">
        <v>4.05</v>
      </c>
      <c r="N205">
        <v>3.5</v>
      </c>
      <c r="T205">
        <v>0</v>
      </c>
      <c r="U205">
        <v>0</v>
      </c>
      <c r="V205">
        <v>0</v>
      </c>
      <c r="W205">
        <v>100</v>
      </c>
      <c r="Y205">
        <v>0</v>
      </c>
      <c r="Z205">
        <v>0</v>
      </c>
      <c r="AA205">
        <v>0</v>
      </c>
    </row>
    <row r="206" spans="1:30" x14ac:dyDescent="0.2">
      <c r="A206" t="s">
        <v>850</v>
      </c>
      <c r="C206">
        <v>0</v>
      </c>
      <c r="D206" t="s">
        <v>7</v>
      </c>
      <c r="E206">
        <v>6900</v>
      </c>
      <c r="F206" t="s">
        <v>509</v>
      </c>
      <c r="G206" t="s">
        <v>791</v>
      </c>
      <c r="H206" s="2">
        <v>0.79166666666666663</v>
      </c>
      <c r="I206" t="s">
        <v>766</v>
      </c>
      <c r="J206" s="1">
        <v>0.51900000000000002</v>
      </c>
      <c r="K206">
        <v>92.5</v>
      </c>
      <c r="L206">
        <v>6.5</v>
      </c>
      <c r="M206">
        <v>3.25</v>
      </c>
      <c r="N206">
        <v>3.62</v>
      </c>
      <c r="O206" t="s">
        <v>818</v>
      </c>
      <c r="Q206" s="4">
        <v>2.4375</v>
      </c>
      <c r="R206">
        <v>11</v>
      </c>
      <c r="S206">
        <v>7.62</v>
      </c>
      <c r="T206">
        <v>0</v>
      </c>
      <c r="U206">
        <v>0</v>
      </c>
      <c r="V206">
        <v>0</v>
      </c>
      <c r="W206">
        <v>100</v>
      </c>
      <c r="Y206">
        <v>65</v>
      </c>
      <c r="Z206">
        <v>0</v>
      </c>
      <c r="AA206">
        <v>0</v>
      </c>
      <c r="AB206" s="3">
        <v>0.82361111111111107</v>
      </c>
      <c r="AC206">
        <v>8.1999999999999993</v>
      </c>
      <c r="AD206">
        <v>1.2</v>
      </c>
    </row>
    <row r="207" spans="1:30" x14ac:dyDescent="0.2">
      <c r="A207" t="s">
        <v>580</v>
      </c>
      <c r="C207">
        <v>0</v>
      </c>
      <c r="D207" t="s">
        <v>10</v>
      </c>
      <c r="E207">
        <v>2800</v>
      </c>
      <c r="F207" t="s">
        <v>507</v>
      </c>
      <c r="G207" t="s">
        <v>796</v>
      </c>
      <c r="H207" s="2">
        <v>0.79166666666666663</v>
      </c>
      <c r="I207" t="s">
        <v>766</v>
      </c>
      <c r="J207" s="1">
        <v>0.49399999999999999</v>
      </c>
      <c r="K207">
        <v>102.5</v>
      </c>
      <c r="L207">
        <v>6</v>
      </c>
      <c r="M207">
        <v>3</v>
      </c>
      <c r="N207">
        <v>3.44</v>
      </c>
      <c r="O207">
        <v>2</v>
      </c>
      <c r="P207">
        <v>2</v>
      </c>
      <c r="Q207" s="3">
        <v>0.51875000000000004</v>
      </c>
      <c r="R207">
        <v>4.7</v>
      </c>
      <c r="S207">
        <v>4.1500000000000004</v>
      </c>
      <c r="T207">
        <v>13.68</v>
      </c>
      <c r="U207">
        <v>5.38</v>
      </c>
      <c r="V207">
        <v>5.38</v>
      </c>
      <c r="W207">
        <v>100</v>
      </c>
      <c r="Y207">
        <v>56</v>
      </c>
      <c r="Z207">
        <v>1.9</v>
      </c>
      <c r="AA207">
        <v>0</v>
      </c>
      <c r="AB207" s="3">
        <v>0.53055555555555556</v>
      </c>
      <c r="AC207">
        <v>4.3</v>
      </c>
      <c r="AD207">
        <v>1.5</v>
      </c>
    </row>
    <row r="208" spans="1:30" x14ac:dyDescent="0.2">
      <c r="A208" t="s">
        <v>994</v>
      </c>
      <c r="C208">
        <v>0</v>
      </c>
      <c r="D208" t="s">
        <v>17</v>
      </c>
      <c r="E208">
        <v>2500</v>
      </c>
      <c r="F208" t="s">
        <v>502</v>
      </c>
      <c r="G208" t="s">
        <v>798</v>
      </c>
      <c r="H208" s="2">
        <v>0.83333333333333337</v>
      </c>
      <c r="I208" t="s">
        <v>766</v>
      </c>
      <c r="J208" s="1">
        <v>0.48699999999999999</v>
      </c>
      <c r="K208">
        <v>105.5</v>
      </c>
      <c r="L208">
        <v>6</v>
      </c>
      <c r="M208">
        <v>3</v>
      </c>
      <c r="N208">
        <v>3.46</v>
      </c>
      <c r="Q208" s="3">
        <v>0.74236111111111114</v>
      </c>
      <c r="R208">
        <v>2.6</v>
      </c>
      <c r="S208">
        <v>0</v>
      </c>
      <c r="T208">
        <v>0</v>
      </c>
      <c r="U208">
        <v>0</v>
      </c>
      <c r="V208">
        <v>0</v>
      </c>
      <c r="W208">
        <v>100</v>
      </c>
      <c r="Y208">
        <v>0</v>
      </c>
      <c r="Z208">
        <v>0</v>
      </c>
      <c r="AA208">
        <v>0</v>
      </c>
    </row>
    <row r="209" spans="1:30" x14ac:dyDescent="0.2">
      <c r="A209" t="s">
        <v>81</v>
      </c>
      <c r="C209">
        <v>0</v>
      </c>
      <c r="D209" t="s">
        <v>7</v>
      </c>
      <c r="E209">
        <v>8200</v>
      </c>
      <c r="F209" t="s">
        <v>493</v>
      </c>
      <c r="G209" t="s">
        <v>789</v>
      </c>
      <c r="H209" s="2">
        <v>0.83333333333333337</v>
      </c>
      <c r="I209" t="s">
        <v>762</v>
      </c>
      <c r="J209" s="1">
        <v>0.48699999999999999</v>
      </c>
      <c r="K209">
        <v>-95</v>
      </c>
      <c r="L209">
        <v>5.5</v>
      </c>
      <c r="M209">
        <v>2.75</v>
      </c>
      <c r="N209">
        <v>2.54</v>
      </c>
      <c r="O209" t="s">
        <v>780</v>
      </c>
      <c r="Q209" s="4">
        <v>2.3576388888888888</v>
      </c>
      <c r="R209">
        <v>11.1</v>
      </c>
      <c r="S209">
        <v>7.51</v>
      </c>
      <c r="T209">
        <v>26.56</v>
      </c>
      <c r="U209">
        <v>11.54</v>
      </c>
      <c r="V209">
        <v>11.54</v>
      </c>
      <c r="W209">
        <v>100</v>
      </c>
      <c r="Y209">
        <v>66</v>
      </c>
      <c r="Z209">
        <v>1.4</v>
      </c>
      <c r="AA209">
        <v>0</v>
      </c>
      <c r="AB209" s="4">
        <v>2.4888888888888889</v>
      </c>
      <c r="AC209">
        <v>0.7</v>
      </c>
      <c r="AD209">
        <v>0.1</v>
      </c>
    </row>
    <row r="210" spans="1:30" x14ac:dyDescent="0.2">
      <c r="A210" t="s">
        <v>257</v>
      </c>
      <c r="C210">
        <v>0</v>
      </c>
      <c r="D210" t="s">
        <v>5</v>
      </c>
      <c r="E210">
        <v>3400</v>
      </c>
      <c r="F210" t="s">
        <v>487</v>
      </c>
      <c r="G210" t="s">
        <v>770</v>
      </c>
      <c r="H210" s="2">
        <v>0.83333333333333337</v>
      </c>
      <c r="I210" t="s">
        <v>762</v>
      </c>
      <c r="J210" s="1">
        <v>0.51300000000000001</v>
      </c>
      <c r="K210">
        <v>-105.5</v>
      </c>
      <c r="L210">
        <v>6</v>
      </c>
      <c r="M210">
        <v>3.46</v>
      </c>
      <c r="N210">
        <v>3</v>
      </c>
      <c r="O210">
        <v>3</v>
      </c>
      <c r="Q210" s="3">
        <v>0.54166666666666663</v>
      </c>
      <c r="R210">
        <v>5</v>
      </c>
      <c r="S210">
        <v>5.61</v>
      </c>
      <c r="T210">
        <v>18.93</v>
      </c>
      <c r="U210">
        <v>7.71</v>
      </c>
      <c r="V210">
        <v>7.71</v>
      </c>
      <c r="W210">
        <v>100</v>
      </c>
      <c r="Y210">
        <v>44</v>
      </c>
      <c r="Z210">
        <v>2.2999999999999998</v>
      </c>
      <c r="AA210">
        <v>0</v>
      </c>
      <c r="AB210" s="3">
        <v>0.58194444444444449</v>
      </c>
      <c r="AC210">
        <v>10</v>
      </c>
      <c r="AD210">
        <v>2.9</v>
      </c>
    </row>
    <row r="211" spans="1:30" x14ac:dyDescent="0.2">
      <c r="A211" t="s">
        <v>938</v>
      </c>
      <c r="C211">
        <v>0</v>
      </c>
      <c r="D211" t="s">
        <v>5</v>
      </c>
      <c r="E211">
        <v>2500</v>
      </c>
      <c r="F211" t="s">
        <v>496</v>
      </c>
      <c r="G211" t="s">
        <v>787</v>
      </c>
      <c r="H211" s="2">
        <v>0.79166666666666663</v>
      </c>
      <c r="I211" t="s">
        <v>766</v>
      </c>
      <c r="J211" s="1">
        <v>0.48199999999999998</v>
      </c>
      <c r="K211">
        <v>107.5</v>
      </c>
      <c r="L211">
        <v>5.5</v>
      </c>
      <c r="M211">
        <v>2.75</v>
      </c>
      <c r="N211">
        <v>3.2</v>
      </c>
      <c r="T211">
        <v>0</v>
      </c>
      <c r="U211">
        <v>0</v>
      </c>
      <c r="V211">
        <v>0</v>
      </c>
      <c r="W211">
        <v>100</v>
      </c>
      <c r="Y211">
        <v>0</v>
      </c>
      <c r="Z211">
        <v>0</v>
      </c>
      <c r="AA211">
        <v>0</v>
      </c>
    </row>
    <row r="212" spans="1:30" x14ac:dyDescent="0.2">
      <c r="A212" t="s">
        <v>327</v>
      </c>
      <c r="C212">
        <v>0</v>
      </c>
      <c r="D212" t="s">
        <v>7</v>
      </c>
      <c r="E212">
        <v>7400</v>
      </c>
      <c r="F212" t="s">
        <v>794</v>
      </c>
      <c r="G212" t="s">
        <v>795</v>
      </c>
      <c r="H212" s="2">
        <v>0.79166666666666663</v>
      </c>
      <c r="I212" t="s">
        <v>766</v>
      </c>
      <c r="J212" s="1">
        <v>0.56499999999999995</v>
      </c>
      <c r="K212">
        <v>77</v>
      </c>
      <c r="L212">
        <v>5.5</v>
      </c>
      <c r="M212">
        <v>2.75</v>
      </c>
      <c r="N212">
        <v>2.87</v>
      </c>
      <c r="O212" t="s">
        <v>780</v>
      </c>
      <c r="Q212" s="4">
        <v>2.4055555555555554</v>
      </c>
      <c r="R212">
        <v>10.5</v>
      </c>
      <c r="S212">
        <v>8.7100000000000009</v>
      </c>
      <c r="T212">
        <v>28.63</v>
      </c>
      <c r="U212">
        <v>11.21</v>
      </c>
      <c r="V212">
        <v>11.21</v>
      </c>
      <c r="W212">
        <v>100</v>
      </c>
      <c r="Y212">
        <v>59</v>
      </c>
      <c r="Z212">
        <v>1.5</v>
      </c>
      <c r="AA212">
        <v>0</v>
      </c>
      <c r="AB212" s="4">
        <v>2.4958333333333331</v>
      </c>
      <c r="AC212">
        <v>9.1</v>
      </c>
      <c r="AD212">
        <v>1.2</v>
      </c>
    </row>
    <row r="213" spans="1:30" x14ac:dyDescent="0.2">
      <c r="A213" t="s">
        <v>46</v>
      </c>
      <c r="C213">
        <v>0</v>
      </c>
      <c r="D213" t="s">
        <v>17</v>
      </c>
      <c r="E213">
        <v>4500</v>
      </c>
      <c r="F213" t="s">
        <v>480</v>
      </c>
      <c r="G213" t="s">
        <v>761</v>
      </c>
      <c r="H213" s="2">
        <v>0.875</v>
      </c>
      <c r="I213" t="s">
        <v>762</v>
      </c>
      <c r="J213" s="1">
        <v>0.52900000000000003</v>
      </c>
      <c r="K213">
        <v>-112.5</v>
      </c>
      <c r="L213">
        <v>7</v>
      </c>
      <c r="M213">
        <v>4.05</v>
      </c>
      <c r="N213">
        <v>3.5</v>
      </c>
      <c r="O213">
        <v>2</v>
      </c>
      <c r="Q213" s="3">
        <v>0.86736111111111114</v>
      </c>
      <c r="R213">
        <v>9.6</v>
      </c>
      <c r="S213">
        <v>5.27</v>
      </c>
      <c r="T213">
        <v>23.2</v>
      </c>
      <c r="U213">
        <v>12.66</v>
      </c>
      <c r="V213">
        <v>12.66</v>
      </c>
      <c r="W213">
        <v>100</v>
      </c>
      <c r="Y213">
        <v>73</v>
      </c>
      <c r="Z213">
        <v>2.8</v>
      </c>
      <c r="AA213">
        <v>0</v>
      </c>
      <c r="AB213" s="3">
        <v>0.93472222222222223</v>
      </c>
      <c r="AC213">
        <v>5.8</v>
      </c>
      <c r="AD213">
        <v>1.3</v>
      </c>
    </row>
    <row r="214" spans="1:30" x14ac:dyDescent="0.2">
      <c r="A214" t="s">
        <v>48</v>
      </c>
      <c r="C214">
        <v>0</v>
      </c>
      <c r="D214" t="s">
        <v>17</v>
      </c>
      <c r="E214">
        <v>6200</v>
      </c>
      <c r="F214" t="s">
        <v>768</v>
      </c>
      <c r="G214" t="s">
        <v>769</v>
      </c>
      <c r="H214" s="2">
        <v>0.79166666666666663</v>
      </c>
      <c r="I214" t="s">
        <v>762</v>
      </c>
      <c r="J214" s="1">
        <v>0.51800000000000002</v>
      </c>
      <c r="K214">
        <v>-107.5</v>
      </c>
      <c r="L214">
        <v>5.5</v>
      </c>
      <c r="M214">
        <v>3.2</v>
      </c>
      <c r="N214">
        <v>2.75</v>
      </c>
      <c r="O214">
        <v>1</v>
      </c>
      <c r="P214">
        <v>1</v>
      </c>
      <c r="Q214" s="3">
        <v>0.92847222222222225</v>
      </c>
      <c r="R214">
        <v>12</v>
      </c>
      <c r="S214">
        <v>9.15</v>
      </c>
      <c r="T214">
        <v>35.42</v>
      </c>
      <c r="U214">
        <v>17.12</v>
      </c>
      <c r="V214">
        <v>17.12</v>
      </c>
      <c r="W214">
        <v>100</v>
      </c>
      <c r="Y214">
        <v>62</v>
      </c>
      <c r="Z214">
        <v>2.8</v>
      </c>
      <c r="AA214">
        <v>0</v>
      </c>
      <c r="AB214" s="3">
        <v>0.98819444444444449</v>
      </c>
      <c r="AC214">
        <v>32</v>
      </c>
      <c r="AD214">
        <v>5.2</v>
      </c>
    </row>
    <row r="215" spans="1:30" x14ac:dyDescent="0.2">
      <c r="A215" t="s">
        <v>674</v>
      </c>
      <c r="C215">
        <v>0</v>
      </c>
      <c r="D215" t="s">
        <v>17</v>
      </c>
      <c r="E215">
        <v>2500</v>
      </c>
      <c r="F215" t="s">
        <v>487</v>
      </c>
      <c r="G215" t="s">
        <v>770</v>
      </c>
      <c r="H215" s="2">
        <v>0.83333333333333337</v>
      </c>
      <c r="I215" t="s">
        <v>762</v>
      </c>
      <c r="J215" s="1">
        <v>0.51300000000000001</v>
      </c>
      <c r="K215">
        <v>-105.5</v>
      </c>
      <c r="L215">
        <v>6</v>
      </c>
      <c r="M215">
        <v>3.46</v>
      </c>
      <c r="N215">
        <v>3</v>
      </c>
      <c r="O215">
        <v>3</v>
      </c>
      <c r="Q215" s="3">
        <v>0.48680555555555555</v>
      </c>
      <c r="R215">
        <v>2.1</v>
      </c>
      <c r="S215">
        <v>1.67</v>
      </c>
      <c r="T215">
        <v>6.86</v>
      </c>
      <c r="U215">
        <v>3.52</v>
      </c>
      <c r="V215">
        <v>3.52</v>
      </c>
      <c r="W215">
        <v>100</v>
      </c>
      <c r="Y215">
        <v>60</v>
      </c>
      <c r="Z215">
        <v>1.4</v>
      </c>
      <c r="AA215">
        <v>0</v>
      </c>
      <c r="AB215" s="3">
        <v>0.52638888888888891</v>
      </c>
      <c r="AC215">
        <v>3</v>
      </c>
      <c r="AD215">
        <v>1.2</v>
      </c>
    </row>
    <row r="216" spans="1:30" x14ac:dyDescent="0.2">
      <c r="A216" t="s">
        <v>637</v>
      </c>
      <c r="C216">
        <v>0</v>
      </c>
      <c r="D216" t="s">
        <v>10</v>
      </c>
      <c r="E216">
        <v>2500</v>
      </c>
      <c r="F216" t="s">
        <v>510</v>
      </c>
      <c r="G216" t="s">
        <v>802</v>
      </c>
      <c r="H216" s="2">
        <v>0.91666666666666663</v>
      </c>
      <c r="I216" t="s">
        <v>766</v>
      </c>
      <c r="J216" s="1">
        <v>0.51200000000000001</v>
      </c>
      <c r="K216">
        <v>95.5</v>
      </c>
      <c r="L216">
        <v>6.5</v>
      </c>
      <c r="M216">
        <v>3.01</v>
      </c>
      <c r="N216">
        <v>3.25</v>
      </c>
      <c r="O216">
        <v>4</v>
      </c>
      <c r="Q216" s="3">
        <v>0.6333333333333333</v>
      </c>
      <c r="R216">
        <v>3.7</v>
      </c>
      <c r="S216">
        <v>4.26</v>
      </c>
      <c r="T216">
        <v>12.55</v>
      </c>
      <c r="U216">
        <v>4.03</v>
      </c>
      <c r="V216">
        <v>4.03</v>
      </c>
      <c r="W216">
        <v>100</v>
      </c>
      <c r="Y216">
        <v>42</v>
      </c>
      <c r="Z216">
        <v>1.6</v>
      </c>
      <c r="AA216">
        <v>0</v>
      </c>
      <c r="AB216" s="3">
        <v>0.64722222222222225</v>
      </c>
      <c r="AC216">
        <v>4.3</v>
      </c>
      <c r="AD216">
        <v>1.7</v>
      </c>
    </row>
    <row r="217" spans="1:30" x14ac:dyDescent="0.2">
      <c r="A217" t="s">
        <v>18</v>
      </c>
      <c r="C217">
        <v>0</v>
      </c>
      <c r="D217" t="s">
        <v>10</v>
      </c>
      <c r="E217">
        <v>9300</v>
      </c>
      <c r="F217" t="s">
        <v>485</v>
      </c>
      <c r="G217" t="s">
        <v>767</v>
      </c>
      <c r="H217" s="2">
        <v>0.79166666666666663</v>
      </c>
      <c r="I217" t="s">
        <v>762</v>
      </c>
      <c r="J217" s="1">
        <v>0.48099999999999998</v>
      </c>
      <c r="K217">
        <v>-92.5</v>
      </c>
      <c r="L217">
        <v>6.5</v>
      </c>
      <c r="M217">
        <v>3.62</v>
      </c>
      <c r="N217">
        <v>3.25</v>
      </c>
      <c r="O217">
        <v>1</v>
      </c>
      <c r="P217">
        <v>1</v>
      </c>
      <c r="Q217" s="3">
        <v>0.83402777777777781</v>
      </c>
      <c r="R217">
        <v>15.5</v>
      </c>
      <c r="S217">
        <v>10.64</v>
      </c>
      <c r="T217">
        <v>43.34</v>
      </c>
      <c r="U217">
        <v>22.06</v>
      </c>
      <c r="V217">
        <v>22.06</v>
      </c>
      <c r="W217">
        <v>100</v>
      </c>
      <c r="Y217">
        <v>66</v>
      </c>
      <c r="Z217">
        <v>2.4</v>
      </c>
      <c r="AA217">
        <v>0</v>
      </c>
      <c r="AB217" s="3">
        <v>0.94444444444444442</v>
      </c>
      <c r="AC217">
        <v>1.5</v>
      </c>
      <c r="AD217">
        <v>0.2</v>
      </c>
    </row>
    <row r="218" spans="1:30" x14ac:dyDescent="0.2">
      <c r="A218" t="s">
        <v>832</v>
      </c>
      <c r="C218">
        <v>0</v>
      </c>
      <c r="D218" t="s">
        <v>7</v>
      </c>
      <c r="E218">
        <v>7800</v>
      </c>
      <c r="F218" t="s">
        <v>494</v>
      </c>
      <c r="G218" t="s">
        <v>782</v>
      </c>
      <c r="H218" s="2">
        <v>0.79166666666666663</v>
      </c>
      <c r="I218" t="s">
        <v>762</v>
      </c>
      <c r="J218" s="1">
        <v>0.47199999999999998</v>
      </c>
      <c r="K218">
        <v>-89.5</v>
      </c>
      <c r="L218">
        <v>6</v>
      </c>
      <c r="M218">
        <v>3</v>
      </c>
      <c r="N218">
        <v>2.82</v>
      </c>
      <c r="O218" t="s">
        <v>818</v>
      </c>
      <c r="Q218" s="4">
        <v>2.4819444444444443</v>
      </c>
      <c r="R218">
        <v>10.4</v>
      </c>
      <c r="S218">
        <v>9.94</v>
      </c>
      <c r="T218">
        <v>0</v>
      </c>
      <c r="U218">
        <v>0</v>
      </c>
      <c r="V218">
        <v>0</v>
      </c>
      <c r="W218">
        <v>100</v>
      </c>
      <c r="Y218">
        <v>52</v>
      </c>
      <c r="Z218">
        <v>0</v>
      </c>
      <c r="AA218">
        <v>0</v>
      </c>
      <c r="AB218" s="3">
        <v>0</v>
      </c>
      <c r="AC218">
        <v>0</v>
      </c>
    </row>
    <row r="219" spans="1:30" x14ac:dyDescent="0.2">
      <c r="A219" t="s">
        <v>991</v>
      </c>
      <c r="C219">
        <v>0</v>
      </c>
      <c r="D219" t="s">
        <v>17</v>
      </c>
      <c r="E219">
        <v>2500</v>
      </c>
      <c r="F219" t="s">
        <v>487</v>
      </c>
      <c r="G219" t="s">
        <v>770</v>
      </c>
      <c r="H219" s="2">
        <v>0.83333333333333337</v>
      </c>
      <c r="I219" t="s">
        <v>762</v>
      </c>
      <c r="J219" s="1">
        <v>0.51300000000000001</v>
      </c>
      <c r="K219">
        <v>-105.5</v>
      </c>
      <c r="L219">
        <v>6</v>
      </c>
      <c r="M219">
        <v>3.46</v>
      </c>
      <c r="N219">
        <v>3</v>
      </c>
      <c r="Q219" s="3">
        <v>0.44791666666666669</v>
      </c>
      <c r="R219">
        <v>1.3</v>
      </c>
      <c r="S219">
        <v>1.3</v>
      </c>
      <c r="T219">
        <v>0</v>
      </c>
      <c r="U219">
        <v>0</v>
      </c>
      <c r="V219">
        <v>0</v>
      </c>
      <c r="W219">
        <v>100</v>
      </c>
      <c r="Y219">
        <v>0</v>
      </c>
      <c r="Z219">
        <v>0</v>
      </c>
      <c r="AA219">
        <v>0</v>
      </c>
    </row>
    <row r="220" spans="1:30" x14ac:dyDescent="0.2">
      <c r="A220" t="s">
        <v>566</v>
      </c>
      <c r="C220">
        <v>0</v>
      </c>
      <c r="D220" t="s">
        <v>10</v>
      </c>
      <c r="E220">
        <v>2500</v>
      </c>
      <c r="F220" t="s">
        <v>480</v>
      </c>
      <c r="G220" t="s">
        <v>761</v>
      </c>
      <c r="H220" s="2">
        <v>0.875</v>
      </c>
      <c r="I220" t="s">
        <v>762</v>
      </c>
      <c r="J220" s="1">
        <v>0.52900000000000003</v>
      </c>
      <c r="K220">
        <v>-112.5</v>
      </c>
      <c r="L220">
        <v>7</v>
      </c>
      <c r="M220">
        <v>4.05</v>
      </c>
      <c r="N220">
        <v>3.5</v>
      </c>
      <c r="Q220" s="3">
        <v>0.44791666666666669</v>
      </c>
      <c r="R220">
        <v>4.3</v>
      </c>
      <c r="S220">
        <v>3.82</v>
      </c>
      <c r="T220">
        <v>0</v>
      </c>
      <c r="U220">
        <v>0</v>
      </c>
      <c r="V220">
        <v>0</v>
      </c>
      <c r="W220">
        <v>100</v>
      </c>
      <c r="Y220">
        <v>56</v>
      </c>
      <c r="Z220">
        <v>0</v>
      </c>
      <c r="AA220">
        <v>0</v>
      </c>
    </row>
    <row r="221" spans="1:30" x14ac:dyDescent="0.2">
      <c r="A221" t="s">
        <v>236</v>
      </c>
      <c r="C221">
        <v>0</v>
      </c>
      <c r="D221" t="s">
        <v>10</v>
      </c>
      <c r="E221">
        <v>3800</v>
      </c>
      <c r="F221" t="s">
        <v>777</v>
      </c>
      <c r="G221" t="s">
        <v>778</v>
      </c>
      <c r="H221" s="2">
        <v>0.79166666666666663</v>
      </c>
      <c r="I221" t="s">
        <v>762</v>
      </c>
      <c r="J221" s="1">
        <v>0.46400000000000002</v>
      </c>
      <c r="K221">
        <v>-86.5</v>
      </c>
      <c r="L221">
        <v>6</v>
      </c>
      <c r="M221">
        <v>3.19</v>
      </c>
      <c r="N221">
        <v>3</v>
      </c>
      <c r="O221">
        <v>3</v>
      </c>
      <c r="P221">
        <v>2</v>
      </c>
      <c r="Q221" s="3">
        <v>0.76666666666666672</v>
      </c>
      <c r="R221">
        <v>7.4</v>
      </c>
      <c r="S221">
        <v>6.08</v>
      </c>
      <c r="T221">
        <v>19.14</v>
      </c>
      <c r="U221">
        <v>6.98</v>
      </c>
      <c r="V221">
        <v>6.98</v>
      </c>
      <c r="W221">
        <v>100</v>
      </c>
      <c r="Y221">
        <v>59</v>
      </c>
      <c r="Z221">
        <v>1.8</v>
      </c>
      <c r="AA221">
        <v>0</v>
      </c>
      <c r="AB221" s="3">
        <v>0.67361111111111116</v>
      </c>
      <c r="AC221">
        <v>8</v>
      </c>
      <c r="AD221">
        <v>2.1</v>
      </c>
    </row>
    <row r="222" spans="1:30" x14ac:dyDescent="0.2">
      <c r="A222" t="s">
        <v>597</v>
      </c>
      <c r="C222">
        <v>0</v>
      </c>
      <c r="D222" t="s">
        <v>17</v>
      </c>
      <c r="E222">
        <v>2500</v>
      </c>
      <c r="F222" t="s">
        <v>768</v>
      </c>
      <c r="G222" t="s">
        <v>769</v>
      </c>
      <c r="H222" s="2">
        <v>0.79166666666666663</v>
      </c>
      <c r="I222" t="s">
        <v>762</v>
      </c>
      <c r="J222" s="1">
        <v>0.51800000000000002</v>
      </c>
      <c r="K222">
        <v>-107.5</v>
      </c>
      <c r="L222">
        <v>5.5</v>
      </c>
      <c r="M222">
        <v>3.2</v>
      </c>
      <c r="N222">
        <v>2.75</v>
      </c>
      <c r="O222">
        <v>3</v>
      </c>
      <c r="Q222" s="3">
        <v>0.61527777777777781</v>
      </c>
      <c r="R222">
        <v>3</v>
      </c>
      <c r="S222">
        <v>2.92</v>
      </c>
      <c r="T222">
        <v>9.1999999999999993</v>
      </c>
      <c r="U222">
        <v>3.36</v>
      </c>
      <c r="V222">
        <v>3.36</v>
      </c>
      <c r="W222">
        <v>100</v>
      </c>
      <c r="Y222">
        <v>51</v>
      </c>
      <c r="Z222">
        <v>1.3</v>
      </c>
      <c r="AA222">
        <v>0</v>
      </c>
      <c r="AB222" s="3">
        <v>0.63402777777777775</v>
      </c>
      <c r="AC222">
        <v>10.5</v>
      </c>
      <c r="AD222">
        <v>4.2</v>
      </c>
    </row>
    <row r="223" spans="1:30" x14ac:dyDescent="0.2">
      <c r="A223" t="s">
        <v>584</v>
      </c>
      <c r="C223">
        <v>0</v>
      </c>
      <c r="D223" t="s">
        <v>17</v>
      </c>
      <c r="E223">
        <v>2500</v>
      </c>
      <c r="F223" t="s">
        <v>500</v>
      </c>
      <c r="G223" t="s">
        <v>785</v>
      </c>
      <c r="H223" s="2">
        <v>0.8125</v>
      </c>
      <c r="I223" t="s">
        <v>766</v>
      </c>
      <c r="J223" s="1">
        <v>0.56000000000000005</v>
      </c>
      <c r="K223">
        <v>78.5</v>
      </c>
      <c r="L223">
        <v>6.5</v>
      </c>
      <c r="M223">
        <v>3.25</v>
      </c>
      <c r="N223">
        <v>3.43</v>
      </c>
      <c r="O223">
        <v>3</v>
      </c>
      <c r="Q223" s="3">
        <v>0.60416666666666663</v>
      </c>
      <c r="R223">
        <v>3.9</v>
      </c>
      <c r="S223">
        <v>3.86</v>
      </c>
      <c r="T223">
        <v>12.53</v>
      </c>
      <c r="U223">
        <v>4.8099999999999996</v>
      </c>
      <c r="V223">
        <v>4.8099999999999996</v>
      </c>
      <c r="W223">
        <v>100</v>
      </c>
      <c r="Y223">
        <v>51</v>
      </c>
      <c r="Z223">
        <v>1.9</v>
      </c>
      <c r="AA223">
        <v>0</v>
      </c>
      <c r="AB223" s="3">
        <v>0.39027777777777778</v>
      </c>
      <c r="AC223">
        <v>11.5</v>
      </c>
      <c r="AD223">
        <v>4.5999999999999996</v>
      </c>
    </row>
    <row r="224" spans="1:30" x14ac:dyDescent="0.2">
      <c r="A224" t="s">
        <v>631</v>
      </c>
      <c r="C224">
        <v>0</v>
      </c>
      <c r="D224" t="s">
        <v>17</v>
      </c>
      <c r="E224">
        <v>2500</v>
      </c>
      <c r="F224" t="s">
        <v>777</v>
      </c>
      <c r="G224" t="s">
        <v>778</v>
      </c>
      <c r="H224" s="2">
        <v>0.79166666666666663</v>
      </c>
      <c r="I224" t="s">
        <v>762</v>
      </c>
      <c r="J224" s="1">
        <v>0.46400000000000002</v>
      </c>
      <c r="K224">
        <v>-86.5</v>
      </c>
      <c r="L224">
        <v>6</v>
      </c>
      <c r="M224">
        <v>3.19</v>
      </c>
      <c r="N224">
        <v>3</v>
      </c>
      <c r="Q224" s="3">
        <v>0.6166666666666667</v>
      </c>
      <c r="R224">
        <v>3.4</v>
      </c>
      <c r="S224">
        <v>3.25</v>
      </c>
      <c r="T224">
        <v>0</v>
      </c>
      <c r="U224">
        <v>0</v>
      </c>
      <c r="V224">
        <v>0</v>
      </c>
      <c r="W224">
        <v>100</v>
      </c>
      <c r="Y224">
        <v>52</v>
      </c>
      <c r="Z224">
        <v>0</v>
      </c>
      <c r="AA224">
        <v>0</v>
      </c>
    </row>
    <row r="225" spans="1:30" x14ac:dyDescent="0.2">
      <c r="A225" t="s">
        <v>360</v>
      </c>
      <c r="C225">
        <v>0</v>
      </c>
      <c r="D225" t="s">
        <v>7</v>
      </c>
      <c r="E225">
        <v>6500</v>
      </c>
      <c r="F225" t="s">
        <v>490</v>
      </c>
      <c r="G225" t="s">
        <v>771</v>
      </c>
      <c r="H225" s="2">
        <v>0.91666666666666663</v>
      </c>
      <c r="I225" t="s">
        <v>766</v>
      </c>
      <c r="J225" s="1">
        <v>0.58499999999999996</v>
      </c>
      <c r="K225">
        <v>71</v>
      </c>
      <c r="L225">
        <v>6</v>
      </c>
      <c r="M225">
        <v>3</v>
      </c>
      <c r="N225">
        <v>3.02</v>
      </c>
      <c r="O225" t="s">
        <v>818</v>
      </c>
      <c r="Q225" s="4">
        <v>2.0416666666666665</v>
      </c>
      <c r="R225">
        <v>11.3</v>
      </c>
      <c r="S225">
        <v>8.01</v>
      </c>
      <c r="T225">
        <v>0</v>
      </c>
      <c r="U225">
        <v>0</v>
      </c>
      <c r="V225">
        <v>0</v>
      </c>
      <c r="W225">
        <v>100</v>
      </c>
      <c r="Y225">
        <v>65</v>
      </c>
      <c r="Z225">
        <v>0</v>
      </c>
      <c r="AA225">
        <v>0</v>
      </c>
    </row>
    <row r="226" spans="1:30" x14ac:dyDescent="0.2">
      <c r="A226" t="s">
        <v>390</v>
      </c>
      <c r="C226">
        <v>0</v>
      </c>
      <c r="D226" t="s">
        <v>10</v>
      </c>
      <c r="E226">
        <v>2900</v>
      </c>
      <c r="F226" t="s">
        <v>509</v>
      </c>
      <c r="G226" t="s">
        <v>791</v>
      </c>
      <c r="H226" s="2">
        <v>0.79166666666666663</v>
      </c>
      <c r="I226" t="s">
        <v>766</v>
      </c>
      <c r="J226" s="1">
        <v>0.51900000000000002</v>
      </c>
      <c r="K226">
        <v>92.5</v>
      </c>
      <c r="L226">
        <v>6.5</v>
      </c>
      <c r="M226">
        <v>3.25</v>
      </c>
      <c r="N226">
        <v>3.62</v>
      </c>
      <c r="O226">
        <v>2</v>
      </c>
      <c r="P226">
        <v>2</v>
      </c>
      <c r="Q226" s="3">
        <v>0.57291666666666663</v>
      </c>
      <c r="R226">
        <v>5.0999999999999996</v>
      </c>
      <c r="S226">
        <v>5.45</v>
      </c>
      <c r="T226">
        <v>16.93</v>
      </c>
      <c r="U226">
        <v>6.03</v>
      </c>
      <c r="V226">
        <v>6.03</v>
      </c>
      <c r="W226">
        <v>100</v>
      </c>
      <c r="Y226">
        <v>47</v>
      </c>
      <c r="Z226">
        <v>2.1</v>
      </c>
      <c r="AA226">
        <v>0</v>
      </c>
      <c r="AB226" s="3">
        <v>0.68472222222222223</v>
      </c>
      <c r="AC226">
        <v>6.5</v>
      </c>
      <c r="AD226">
        <v>2.2000000000000002</v>
      </c>
    </row>
    <row r="227" spans="1:30" x14ac:dyDescent="0.2">
      <c r="A227" t="s">
        <v>1014</v>
      </c>
      <c r="C227">
        <v>0</v>
      </c>
      <c r="D227" t="s">
        <v>17</v>
      </c>
      <c r="E227">
        <v>2500</v>
      </c>
      <c r="F227" t="s">
        <v>510</v>
      </c>
      <c r="G227" t="s">
        <v>802</v>
      </c>
      <c r="H227" s="2">
        <v>0.91666666666666663</v>
      </c>
      <c r="I227" t="s">
        <v>766</v>
      </c>
      <c r="J227" s="1">
        <v>0.51200000000000001</v>
      </c>
      <c r="K227">
        <v>95.5</v>
      </c>
      <c r="L227">
        <v>6.5</v>
      </c>
      <c r="M227">
        <v>3.01</v>
      </c>
      <c r="N227">
        <v>3.25</v>
      </c>
      <c r="Q227" s="3">
        <v>0.55694444444444446</v>
      </c>
      <c r="R227">
        <v>6</v>
      </c>
      <c r="S227">
        <v>3.8</v>
      </c>
      <c r="T227">
        <v>0</v>
      </c>
      <c r="U227">
        <v>0</v>
      </c>
      <c r="V227">
        <v>0</v>
      </c>
      <c r="W227">
        <v>100</v>
      </c>
      <c r="Y227">
        <v>68</v>
      </c>
      <c r="Z227">
        <v>0</v>
      </c>
      <c r="AA227">
        <v>0</v>
      </c>
    </row>
    <row r="228" spans="1:30" x14ac:dyDescent="0.2">
      <c r="A228" t="s">
        <v>26</v>
      </c>
      <c r="C228">
        <v>0</v>
      </c>
      <c r="D228" t="s">
        <v>7</v>
      </c>
      <c r="E228">
        <v>6800</v>
      </c>
      <c r="F228" t="s">
        <v>502</v>
      </c>
      <c r="G228" t="s">
        <v>798</v>
      </c>
      <c r="H228" s="2">
        <v>0.83333333333333337</v>
      </c>
      <c r="I228" t="s">
        <v>766</v>
      </c>
      <c r="J228" s="1">
        <v>0.48699999999999999</v>
      </c>
      <c r="K228">
        <v>105.5</v>
      </c>
      <c r="L228">
        <v>6</v>
      </c>
      <c r="M228">
        <v>3</v>
      </c>
      <c r="N228">
        <v>3.46</v>
      </c>
      <c r="O228" t="s">
        <v>780</v>
      </c>
      <c r="Q228" s="4">
        <v>2.2388888888888889</v>
      </c>
      <c r="R228">
        <v>11.8</v>
      </c>
      <c r="S228">
        <v>9.18</v>
      </c>
      <c r="T228">
        <v>30.48</v>
      </c>
      <c r="U228">
        <v>12.12</v>
      </c>
      <c r="V228">
        <v>12.12</v>
      </c>
      <c r="W228">
        <v>100</v>
      </c>
      <c r="Y228">
        <v>61</v>
      </c>
      <c r="Z228">
        <v>1.8</v>
      </c>
      <c r="AA228">
        <v>0</v>
      </c>
      <c r="AB228" s="4">
        <v>2.495138888888889</v>
      </c>
      <c r="AC228">
        <v>2.1</v>
      </c>
      <c r="AD228">
        <v>0.3</v>
      </c>
    </row>
    <row r="229" spans="1:30" x14ac:dyDescent="0.2">
      <c r="A229" t="s">
        <v>889</v>
      </c>
      <c r="C229">
        <v>0</v>
      </c>
      <c r="D229" t="s">
        <v>17</v>
      </c>
      <c r="E229">
        <v>3400</v>
      </c>
      <c r="F229" t="s">
        <v>478</v>
      </c>
      <c r="G229" t="s">
        <v>763</v>
      </c>
      <c r="H229" s="2">
        <v>0.79166666666666663</v>
      </c>
      <c r="I229" t="s">
        <v>762</v>
      </c>
      <c r="J229" s="1">
        <v>0.44900000000000001</v>
      </c>
      <c r="K229">
        <v>-81.5</v>
      </c>
      <c r="L229">
        <v>6.5</v>
      </c>
      <c r="M229">
        <v>3.25</v>
      </c>
      <c r="N229">
        <v>3.17</v>
      </c>
      <c r="Q229" s="3">
        <v>0.92986111111111114</v>
      </c>
      <c r="R229">
        <v>7</v>
      </c>
      <c r="S229">
        <v>4.38</v>
      </c>
      <c r="T229">
        <v>0</v>
      </c>
      <c r="U229">
        <v>0</v>
      </c>
      <c r="V229">
        <v>0</v>
      </c>
      <c r="W229">
        <v>100</v>
      </c>
      <c r="Y229">
        <v>69</v>
      </c>
      <c r="Z229">
        <v>0</v>
      </c>
      <c r="AA229">
        <v>0</v>
      </c>
    </row>
    <row r="230" spans="1:30" x14ac:dyDescent="0.2">
      <c r="A230" t="s">
        <v>651</v>
      </c>
      <c r="C230">
        <v>0</v>
      </c>
      <c r="D230" t="s">
        <v>17</v>
      </c>
      <c r="E230">
        <v>2500</v>
      </c>
      <c r="F230" t="s">
        <v>507</v>
      </c>
      <c r="G230" t="s">
        <v>796</v>
      </c>
      <c r="H230" s="2">
        <v>0.79166666666666663</v>
      </c>
      <c r="I230" t="s">
        <v>766</v>
      </c>
      <c r="J230" s="1">
        <v>0.49399999999999999</v>
      </c>
      <c r="K230">
        <v>102.5</v>
      </c>
      <c r="L230">
        <v>6</v>
      </c>
      <c r="M230">
        <v>3</v>
      </c>
      <c r="N230">
        <v>3.44</v>
      </c>
      <c r="Q230" s="3">
        <v>0.64444444444444449</v>
      </c>
      <c r="R230">
        <v>3.1</v>
      </c>
      <c r="S230">
        <v>1.96</v>
      </c>
      <c r="T230">
        <v>0</v>
      </c>
      <c r="U230">
        <v>0</v>
      </c>
      <c r="V230">
        <v>0</v>
      </c>
      <c r="W230">
        <v>100</v>
      </c>
      <c r="Y230">
        <v>68</v>
      </c>
      <c r="Z230">
        <v>0</v>
      </c>
      <c r="AA230">
        <v>0</v>
      </c>
    </row>
    <row r="231" spans="1:30" x14ac:dyDescent="0.2">
      <c r="A231" t="s">
        <v>983</v>
      </c>
      <c r="C231">
        <v>0</v>
      </c>
      <c r="D231" t="s">
        <v>17</v>
      </c>
      <c r="E231">
        <v>2500</v>
      </c>
      <c r="F231" t="s">
        <v>493</v>
      </c>
      <c r="G231" t="s">
        <v>789</v>
      </c>
      <c r="H231" s="2">
        <v>0.83333333333333337</v>
      </c>
      <c r="I231" t="s">
        <v>762</v>
      </c>
      <c r="J231" s="1">
        <v>0.48699999999999999</v>
      </c>
      <c r="K231">
        <v>-95</v>
      </c>
      <c r="L231">
        <v>5.5</v>
      </c>
      <c r="M231">
        <v>2.75</v>
      </c>
      <c r="N231">
        <v>2.54</v>
      </c>
      <c r="Q231" s="3">
        <v>0.64375000000000004</v>
      </c>
      <c r="R231">
        <v>2.5</v>
      </c>
      <c r="S231">
        <v>2.13</v>
      </c>
      <c r="T231">
        <v>0</v>
      </c>
      <c r="U231">
        <v>0</v>
      </c>
      <c r="V231">
        <v>0</v>
      </c>
      <c r="W231">
        <v>100</v>
      </c>
      <c r="Y231">
        <v>57</v>
      </c>
      <c r="Z231">
        <v>0</v>
      </c>
      <c r="AA231">
        <v>0</v>
      </c>
    </row>
    <row r="232" spans="1:30" x14ac:dyDescent="0.2">
      <c r="A232" t="s">
        <v>463</v>
      </c>
      <c r="C232">
        <v>0</v>
      </c>
      <c r="D232" t="s">
        <v>17</v>
      </c>
      <c r="E232">
        <v>3300</v>
      </c>
      <c r="F232" t="s">
        <v>764</v>
      </c>
      <c r="G232" t="s">
        <v>765</v>
      </c>
      <c r="H232" s="2">
        <v>0.875</v>
      </c>
      <c r="I232" t="s">
        <v>766</v>
      </c>
      <c r="J232" s="1">
        <v>0.47099999999999997</v>
      </c>
      <c r="K232">
        <v>112.5</v>
      </c>
      <c r="L232">
        <v>7</v>
      </c>
      <c r="M232">
        <v>3.5</v>
      </c>
      <c r="N232">
        <v>4.05</v>
      </c>
      <c r="O232">
        <v>1</v>
      </c>
      <c r="P232">
        <v>2</v>
      </c>
      <c r="Q232" s="3">
        <v>0.89027777777777772</v>
      </c>
      <c r="R232">
        <v>5.3</v>
      </c>
      <c r="S232">
        <v>3.85</v>
      </c>
      <c r="T232">
        <v>12.88</v>
      </c>
      <c r="U232">
        <v>5.18</v>
      </c>
      <c r="V232">
        <v>5.18</v>
      </c>
      <c r="W232">
        <v>100</v>
      </c>
      <c r="Y232">
        <v>64</v>
      </c>
      <c r="Z232">
        <v>1.6</v>
      </c>
      <c r="AA232">
        <v>0</v>
      </c>
      <c r="AB232" s="3">
        <v>0.92500000000000004</v>
      </c>
      <c r="AC232">
        <v>2.6</v>
      </c>
      <c r="AD232">
        <v>0.8</v>
      </c>
    </row>
    <row r="233" spans="1:30" x14ac:dyDescent="0.2">
      <c r="A233" t="s">
        <v>974</v>
      </c>
      <c r="C233">
        <v>0</v>
      </c>
      <c r="D233" t="s">
        <v>17</v>
      </c>
      <c r="E233">
        <v>2500</v>
      </c>
      <c r="F233" t="s">
        <v>498</v>
      </c>
      <c r="G233" t="s">
        <v>779</v>
      </c>
      <c r="H233" s="2">
        <v>0.79166666666666663</v>
      </c>
      <c r="I233" t="s">
        <v>762</v>
      </c>
      <c r="J233" s="1">
        <v>0.50600000000000001</v>
      </c>
      <c r="K233">
        <v>-102.5</v>
      </c>
      <c r="L233">
        <v>6</v>
      </c>
      <c r="M233">
        <v>3.44</v>
      </c>
      <c r="N233">
        <v>3</v>
      </c>
      <c r="Q233" s="3">
        <v>0.80694444444444446</v>
      </c>
      <c r="R233">
        <v>9.9</v>
      </c>
      <c r="S233">
        <v>0</v>
      </c>
      <c r="T233">
        <v>0</v>
      </c>
      <c r="U233">
        <v>0</v>
      </c>
      <c r="V233">
        <v>0</v>
      </c>
      <c r="W233">
        <v>100</v>
      </c>
      <c r="Y233">
        <v>0</v>
      </c>
      <c r="Z233">
        <v>0</v>
      </c>
      <c r="AA233">
        <v>0</v>
      </c>
    </row>
    <row r="234" spans="1:30" x14ac:dyDescent="0.2">
      <c r="A234" t="s">
        <v>300</v>
      </c>
      <c r="C234">
        <v>0</v>
      </c>
      <c r="D234" t="s">
        <v>5</v>
      </c>
      <c r="E234">
        <v>2700</v>
      </c>
      <c r="F234" t="s">
        <v>768</v>
      </c>
      <c r="G234" t="s">
        <v>769</v>
      </c>
      <c r="H234" s="2">
        <v>0.79166666666666663</v>
      </c>
      <c r="I234" t="s">
        <v>762</v>
      </c>
      <c r="J234" s="1">
        <v>0.51800000000000002</v>
      </c>
      <c r="K234">
        <v>-107.5</v>
      </c>
      <c r="L234">
        <v>5.5</v>
      </c>
      <c r="M234">
        <v>3.2</v>
      </c>
      <c r="N234">
        <v>2.75</v>
      </c>
      <c r="O234">
        <v>2</v>
      </c>
      <c r="P234">
        <v>2</v>
      </c>
      <c r="Q234" s="3">
        <v>0.52013888888888893</v>
      </c>
      <c r="R234">
        <v>4.2</v>
      </c>
      <c r="S234">
        <v>5.13</v>
      </c>
      <c r="T234">
        <v>15.39</v>
      </c>
      <c r="U234">
        <v>5.13</v>
      </c>
      <c r="V234">
        <v>5.13</v>
      </c>
      <c r="W234">
        <v>100</v>
      </c>
      <c r="Y234">
        <v>39</v>
      </c>
      <c r="Z234">
        <v>1.9</v>
      </c>
      <c r="AA234">
        <v>0</v>
      </c>
      <c r="AB234" s="3">
        <v>0.47916666666666669</v>
      </c>
      <c r="AC234">
        <v>13</v>
      </c>
      <c r="AD234">
        <v>4.8</v>
      </c>
    </row>
    <row r="235" spans="1:30" x14ac:dyDescent="0.2">
      <c r="A235" t="s">
        <v>649</v>
      </c>
      <c r="C235">
        <v>0</v>
      </c>
      <c r="D235" t="s">
        <v>5</v>
      </c>
      <c r="E235">
        <v>2500</v>
      </c>
      <c r="F235" t="s">
        <v>491</v>
      </c>
      <c r="G235" t="s">
        <v>773</v>
      </c>
      <c r="H235" s="2">
        <v>0.79166666666666663</v>
      </c>
      <c r="I235" t="s">
        <v>766</v>
      </c>
      <c r="J235" s="1">
        <v>0.49299999999999999</v>
      </c>
      <c r="K235">
        <v>103</v>
      </c>
      <c r="L235">
        <v>6.5</v>
      </c>
      <c r="M235">
        <v>3.25</v>
      </c>
      <c r="N235">
        <v>3.71</v>
      </c>
      <c r="Q235" s="3">
        <v>0.40972222222222221</v>
      </c>
      <c r="R235">
        <v>2.6</v>
      </c>
      <c r="S235">
        <v>2.21</v>
      </c>
      <c r="T235">
        <v>0</v>
      </c>
      <c r="U235">
        <v>0</v>
      </c>
      <c r="V235">
        <v>0</v>
      </c>
      <c r="W235">
        <v>100</v>
      </c>
      <c r="Y235">
        <v>58</v>
      </c>
      <c r="Z235">
        <v>0</v>
      </c>
      <c r="AA235">
        <v>0</v>
      </c>
    </row>
    <row r="236" spans="1:30" x14ac:dyDescent="0.2">
      <c r="A236" t="s">
        <v>984</v>
      </c>
      <c r="C236">
        <v>0</v>
      </c>
      <c r="D236" t="s">
        <v>17</v>
      </c>
      <c r="E236">
        <v>2500</v>
      </c>
      <c r="F236" t="s">
        <v>493</v>
      </c>
      <c r="G236" t="s">
        <v>789</v>
      </c>
      <c r="H236" s="2">
        <v>0.83333333333333337</v>
      </c>
      <c r="I236" t="s">
        <v>762</v>
      </c>
      <c r="J236" s="1">
        <v>0.48699999999999999</v>
      </c>
      <c r="K236">
        <v>-95</v>
      </c>
      <c r="L236">
        <v>5.5</v>
      </c>
      <c r="M236">
        <v>2.75</v>
      </c>
      <c r="N236">
        <v>2.54</v>
      </c>
      <c r="Q236" s="3">
        <v>0.5444444444444444</v>
      </c>
      <c r="R236">
        <v>2.2999999999999998</v>
      </c>
      <c r="S236">
        <v>3.59</v>
      </c>
      <c r="T236">
        <v>0</v>
      </c>
      <c r="U236">
        <v>0</v>
      </c>
      <c r="V236">
        <v>0</v>
      </c>
      <c r="W236">
        <v>100</v>
      </c>
      <c r="Y236">
        <v>22</v>
      </c>
      <c r="Z236">
        <v>0</v>
      </c>
      <c r="AA236">
        <v>0</v>
      </c>
    </row>
    <row r="237" spans="1:30" x14ac:dyDescent="0.2">
      <c r="A237" t="s">
        <v>75</v>
      </c>
      <c r="C237">
        <v>0</v>
      </c>
      <c r="D237" t="s">
        <v>17</v>
      </c>
      <c r="E237">
        <v>5100</v>
      </c>
      <c r="F237" t="s">
        <v>777</v>
      </c>
      <c r="G237" t="s">
        <v>778</v>
      </c>
      <c r="H237" s="2">
        <v>0.79166666666666663</v>
      </c>
      <c r="I237" t="s">
        <v>762</v>
      </c>
      <c r="J237" s="1">
        <v>0.46400000000000002</v>
      </c>
      <c r="K237">
        <v>-86.5</v>
      </c>
      <c r="L237">
        <v>6</v>
      </c>
      <c r="M237">
        <v>3.19</v>
      </c>
      <c r="N237">
        <v>3</v>
      </c>
      <c r="O237">
        <v>2</v>
      </c>
      <c r="P237">
        <v>1</v>
      </c>
      <c r="Q237" s="3">
        <v>0.8979166666666667</v>
      </c>
      <c r="R237">
        <v>8.6</v>
      </c>
      <c r="S237">
        <v>7.15</v>
      </c>
      <c r="T237">
        <v>23.89</v>
      </c>
      <c r="U237">
        <v>9.59</v>
      </c>
      <c r="V237">
        <v>9.59</v>
      </c>
      <c r="W237">
        <v>100</v>
      </c>
      <c r="Y237">
        <v>58</v>
      </c>
      <c r="Z237">
        <v>1.9</v>
      </c>
      <c r="AA237">
        <v>0</v>
      </c>
      <c r="AB237" s="3">
        <v>0.86319444444444449</v>
      </c>
      <c r="AC237">
        <v>19</v>
      </c>
      <c r="AD237">
        <v>3.7</v>
      </c>
    </row>
    <row r="238" spans="1:30" x14ac:dyDescent="0.2">
      <c r="A238" t="s">
        <v>265</v>
      </c>
      <c r="C238">
        <v>0</v>
      </c>
      <c r="D238" t="s">
        <v>17</v>
      </c>
      <c r="E238">
        <v>3400</v>
      </c>
      <c r="F238" t="s">
        <v>794</v>
      </c>
      <c r="G238" t="s">
        <v>795</v>
      </c>
      <c r="H238" s="2">
        <v>0.79166666666666663</v>
      </c>
      <c r="I238" t="s">
        <v>766</v>
      </c>
      <c r="J238" s="1">
        <v>0.56499999999999995</v>
      </c>
      <c r="K238">
        <v>77</v>
      </c>
      <c r="L238">
        <v>5.5</v>
      </c>
      <c r="M238">
        <v>2.75</v>
      </c>
      <c r="N238">
        <v>2.87</v>
      </c>
      <c r="O238">
        <v>1</v>
      </c>
      <c r="P238">
        <v>2</v>
      </c>
      <c r="Q238" s="3">
        <v>0.95763888888888893</v>
      </c>
      <c r="R238">
        <v>6</v>
      </c>
      <c r="S238">
        <v>4.71</v>
      </c>
      <c r="T238">
        <v>15.23</v>
      </c>
      <c r="U238">
        <v>5.81</v>
      </c>
      <c r="V238">
        <v>5.81</v>
      </c>
      <c r="W238">
        <v>100</v>
      </c>
      <c r="Y238">
        <v>61</v>
      </c>
      <c r="Z238">
        <v>1.7</v>
      </c>
      <c r="AA238">
        <v>0</v>
      </c>
      <c r="AB238" s="3">
        <v>0.95</v>
      </c>
      <c r="AC238">
        <v>2.8</v>
      </c>
      <c r="AD238">
        <v>0.8</v>
      </c>
    </row>
    <row r="239" spans="1:30" x14ac:dyDescent="0.2">
      <c r="A239" t="s">
        <v>547</v>
      </c>
      <c r="C239">
        <v>0</v>
      </c>
      <c r="D239" t="s">
        <v>17</v>
      </c>
      <c r="E239">
        <v>2500</v>
      </c>
      <c r="F239" t="s">
        <v>489</v>
      </c>
      <c r="G239" t="s">
        <v>788</v>
      </c>
      <c r="H239" s="2">
        <v>0.91666666666666663</v>
      </c>
      <c r="I239" t="s">
        <v>762</v>
      </c>
      <c r="J239" s="1">
        <v>0.48799999999999999</v>
      </c>
      <c r="K239">
        <v>-95.5</v>
      </c>
      <c r="L239">
        <v>6.5</v>
      </c>
      <c r="M239">
        <v>3.25</v>
      </c>
      <c r="N239">
        <v>3.01</v>
      </c>
      <c r="O239">
        <v>2</v>
      </c>
      <c r="Q239" s="3">
        <v>0.73333333333333328</v>
      </c>
      <c r="R239">
        <v>4.8</v>
      </c>
      <c r="S239">
        <v>3.38</v>
      </c>
      <c r="T239">
        <v>11.52</v>
      </c>
      <c r="U239">
        <v>4.76</v>
      </c>
      <c r="V239">
        <v>4.76</v>
      </c>
      <c r="W239">
        <v>100</v>
      </c>
      <c r="Y239">
        <v>65</v>
      </c>
      <c r="Z239">
        <v>1.9</v>
      </c>
      <c r="AA239">
        <v>0</v>
      </c>
      <c r="AB239" s="3">
        <v>0.59236111111111112</v>
      </c>
      <c r="AC239">
        <v>2.8</v>
      </c>
      <c r="AD239">
        <v>1.1000000000000001</v>
      </c>
    </row>
    <row r="240" spans="1:30" x14ac:dyDescent="0.2">
      <c r="A240" t="s">
        <v>372</v>
      </c>
      <c r="C240">
        <v>0</v>
      </c>
      <c r="D240" t="s">
        <v>10</v>
      </c>
      <c r="E240">
        <v>3400</v>
      </c>
      <c r="F240" t="s">
        <v>510</v>
      </c>
      <c r="G240" t="s">
        <v>802</v>
      </c>
      <c r="H240" s="2">
        <v>0.91666666666666663</v>
      </c>
      <c r="I240" t="s">
        <v>766</v>
      </c>
      <c r="J240" s="1">
        <v>0.51200000000000001</v>
      </c>
      <c r="K240">
        <v>95.5</v>
      </c>
      <c r="L240">
        <v>6.5</v>
      </c>
      <c r="M240">
        <v>3.01</v>
      </c>
      <c r="N240">
        <v>3.25</v>
      </c>
      <c r="O240">
        <v>3</v>
      </c>
      <c r="Q240" s="3">
        <v>0.57638888888888884</v>
      </c>
      <c r="R240">
        <v>5.0999999999999996</v>
      </c>
      <c r="S240">
        <v>4.9400000000000004</v>
      </c>
      <c r="T240">
        <v>15.34</v>
      </c>
      <c r="U240">
        <v>5.46</v>
      </c>
      <c r="V240">
        <v>5.46</v>
      </c>
      <c r="W240">
        <v>100</v>
      </c>
      <c r="Y240">
        <v>52</v>
      </c>
      <c r="Z240">
        <v>1.6</v>
      </c>
      <c r="AA240">
        <v>0</v>
      </c>
      <c r="AB240" s="3">
        <v>0.6020833333333333</v>
      </c>
      <c r="AC240">
        <v>10</v>
      </c>
      <c r="AD240">
        <v>2.9</v>
      </c>
    </row>
    <row r="241" spans="1:30" x14ac:dyDescent="0.2">
      <c r="A241" t="s">
        <v>998</v>
      </c>
      <c r="C241">
        <v>0</v>
      </c>
      <c r="D241" t="s">
        <v>10</v>
      </c>
      <c r="E241">
        <v>2500</v>
      </c>
      <c r="F241" t="s">
        <v>502</v>
      </c>
      <c r="G241" t="s">
        <v>798</v>
      </c>
      <c r="H241" s="2">
        <v>0.83333333333333337</v>
      </c>
      <c r="I241" t="s">
        <v>766</v>
      </c>
      <c r="J241" s="1">
        <v>0.48699999999999999</v>
      </c>
      <c r="K241">
        <v>105.5</v>
      </c>
      <c r="L241">
        <v>6</v>
      </c>
      <c r="M241">
        <v>3</v>
      </c>
      <c r="N241">
        <v>3.46</v>
      </c>
      <c r="Q241" s="3">
        <v>0.37222222222222223</v>
      </c>
      <c r="R241">
        <v>3.7</v>
      </c>
      <c r="S241">
        <v>1.69</v>
      </c>
      <c r="T241">
        <v>0</v>
      </c>
      <c r="U241">
        <v>0</v>
      </c>
      <c r="V241">
        <v>0</v>
      </c>
      <c r="W241">
        <v>100</v>
      </c>
      <c r="Y241">
        <v>77</v>
      </c>
      <c r="Z241">
        <v>0</v>
      </c>
      <c r="AA241">
        <v>0</v>
      </c>
    </row>
    <row r="242" spans="1:30" x14ac:dyDescent="0.2">
      <c r="A242" t="s">
        <v>852</v>
      </c>
      <c r="C242">
        <v>0</v>
      </c>
      <c r="D242" t="s">
        <v>7</v>
      </c>
      <c r="E242">
        <v>6800</v>
      </c>
      <c r="F242" t="s">
        <v>502</v>
      </c>
      <c r="G242" t="s">
        <v>798</v>
      </c>
      <c r="H242" s="2">
        <v>0.83333333333333337</v>
      </c>
      <c r="I242" t="s">
        <v>766</v>
      </c>
      <c r="J242" s="1">
        <v>0.48699999999999999</v>
      </c>
      <c r="K242">
        <v>105.5</v>
      </c>
      <c r="L242">
        <v>6</v>
      </c>
      <c r="M242">
        <v>3</v>
      </c>
      <c r="N242">
        <v>3.46</v>
      </c>
      <c r="O242" t="s">
        <v>818</v>
      </c>
      <c r="Q242" s="4">
        <v>2.3374999999999999</v>
      </c>
      <c r="R242">
        <v>9.8000000000000007</v>
      </c>
      <c r="S242">
        <v>9.91</v>
      </c>
      <c r="T242">
        <v>0</v>
      </c>
      <c r="U242">
        <v>0</v>
      </c>
      <c r="V242">
        <v>0</v>
      </c>
      <c r="W242">
        <v>100</v>
      </c>
      <c r="Y242">
        <v>49</v>
      </c>
      <c r="Z242">
        <v>0</v>
      </c>
      <c r="AA242">
        <v>0</v>
      </c>
      <c r="AB242" s="3">
        <v>0</v>
      </c>
      <c r="AC242">
        <v>0</v>
      </c>
    </row>
    <row r="243" spans="1:30" x14ac:dyDescent="0.2">
      <c r="A243" t="s">
        <v>1023</v>
      </c>
      <c r="C243">
        <v>0</v>
      </c>
      <c r="D243" t="s">
        <v>17</v>
      </c>
      <c r="E243">
        <v>2500</v>
      </c>
      <c r="F243" t="s">
        <v>483</v>
      </c>
      <c r="G243" t="s">
        <v>772</v>
      </c>
      <c r="H243" s="2">
        <v>0.91666666666666663</v>
      </c>
      <c r="I243" t="s">
        <v>762</v>
      </c>
      <c r="J243" s="1">
        <v>0.46500000000000002</v>
      </c>
      <c r="K243">
        <v>-87</v>
      </c>
      <c r="L243">
        <v>6</v>
      </c>
      <c r="M243">
        <v>3.14</v>
      </c>
      <c r="N243">
        <v>3</v>
      </c>
      <c r="Q243" s="3">
        <v>0.59930555555555554</v>
      </c>
      <c r="R243">
        <v>4.5999999999999996</v>
      </c>
      <c r="S243">
        <v>1.71</v>
      </c>
      <c r="T243">
        <v>0</v>
      </c>
      <c r="U243">
        <v>0</v>
      </c>
      <c r="V243">
        <v>0</v>
      </c>
      <c r="W243">
        <v>100</v>
      </c>
      <c r="Y243">
        <v>81</v>
      </c>
      <c r="Z243">
        <v>0</v>
      </c>
      <c r="AA243">
        <v>0</v>
      </c>
    </row>
    <row r="244" spans="1:30" x14ac:dyDescent="0.2">
      <c r="A244" t="s">
        <v>373</v>
      </c>
      <c r="C244">
        <v>0</v>
      </c>
      <c r="D244" t="s">
        <v>17</v>
      </c>
      <c r="E244">
        <v>2700</v>
      </c>
      <c r="F244" t="s">
        <v>496</v>
      </c>
      <c r="G244" t="s">
        <v>787</v>
      </c>
      <c r="H244" s="2">
        <v>0.79166666666666663</v>
      </c>
      <c r="I244" t="s">
        <v>766</v>
      </c>
      <c r="J244" s="1">
        <v>0.48199999999999998</v>
      </c>
      <c r="K244">
        <v>107.5</v>
      </c>
      <c r="L244">
        <v>5.5</v>
      </c>
      <c r="M244">
        <v>2.75</v>
      </c>
      <c r="N244">
        <v>3.2</v>
      </c>
      <c r="O244">
        <v>1</v>
      </c>
      <c r="Q244" s="3">
        <v>0.88472222222222219</v>
      </c>
      <c r="R244">
        <v>5.8</v>
      </c>
      <c r="S244">
        <v>4.18</v>
      </c>
      <c r="T244">
        <v>13.89</v>
      </c>
      <c r="U244">
        <v>5.53</v>
      </c>
      <c r="V244">
        <v>5.53</v>
      </c>
      <c r="W244">
        <v>100</v>
      </c>
      <c r="Y244">
        <v>64</v>
      </c>
      <c r="Z244">
        <v>2</v>
      </c>
      <c r="AA244">
        <v>0</v>
      </c>
      <c r="AB244" s="3">
        <v>0.83263888888888893</v>
      </c>
      <c r="AC244">
        <v>1.3</v>
      </c>
      <c r="AD244">
        <v>0.5</v>
      </c>
    </row>
    <row r="245" spans="1:30" x14ac:dyDescent="0.2">
      <c r="A245" t="s">
        <v>844</v>
      </c>
      <c r="C245">
        <v>0</v>
      </c>
      <c r="D245" t="s">
        <v>10</v>
      </c>
      <c r="E245">
        <v>7300</v>
      </c>
      <c r="F245" t="s">
        <v>507</v>
      </c>
      <c r="G245" t="s">
        <v>796</v>
      </c>
      <c r="H245" s="2">
        <v>0.79166666666666663</v>
      </c>
      <c r="I245" t="s">
        <v>766</v>
      </c>
      <c r="J245" s="1">
        <v>0.49399999999999999</v>
      </c>
      <c r="K245">
        <v>102.5</v>
      </c>
      <c r="L245">
        <v>6</v>
      </c>
      <c r="M245">
        <v>3</v>
      </c>
      <c r="N245">
        <v>3.44</v>
      </c>
      <c r="Q245" s="3">
        <v>0.72152777777777777</v>
      </c>
      <c r="R245">
        <v>12.2</v>
      </c>
      <c r="S245">
        <v>9.02</v>
      </c>
      <c r="T245">
        <v>0</v>
      </c>
      <c r="U245">
        <v>0</v>
      </c>
      <c r="V245">
        <v>0</v>
      </c>
      <c r="W245">
        <v>100</v>
      </c>
      <c r="Y245">
        <v>63</v>
      </c>
      <c r="Z245">
        <v>0</v>
      </c>
      <c r="AA245">
        <v>0</v>
      </c>
    </row>
    <row r="246" spans="1:30" x14ac:dyDescent="0.2">
      <c r="A246" t="s">
        <v>881</v>
      </c>
      <c r="C246">
        <v>0</v>
      </c>
      <c r="D246" t="s">
        <v>10</v>
      </c>
      <c r="E246">
        <v>4200</v>
      </c>
      <c r="F246" t="s">
        <v>504</v>
      </c>
      <c r="G246" t="s">
        <v>799</v>
      </c>
      <c r="H246" s="2">
        <v>0.83333333333333337</v>
      </c>
      <c r="I246" t="s">
        <v>766</v>
      </c>
      <c r="J246" s="1">
        <v>0.51300000000000001</v>
      </c>
      <c r="K246">
        <v>95</v>
      </c>
      <c r="L246">
        <v>5.5</v>
      </c>
      <c r="M246">
        <v>2.54</v>
      </c>
      <c r="N246">
        <v>2.75</v>
      </c>
      <c r="Q246" s="3">
        <v>0.73541666666666672</v>
      </c>
      <c r="R246">
        <v>8.5</v>
      </c>
      <c r="S246">
        <v>6.74</v>
      </c>
      <c r="T246">
        <v>0</v>
      </c>
      <c r="U246">
        <v>0</v>
      </c>
      <c r="V246">
        <v>0</v>
      </c>
      <c r="W246">
        <v>100</v>
      </c>
      <c r="Y246">
        <v>60</v>
      </c>
      <c r="Z246">
        <v>0</v>
      </c>
      <c r="AA246">
        <v>0</v>
      </c>
    </row>
    <row r="247" spans="1:30" x14ac:dyDescent="0.2">
      <c r="A247" t="s">
        <v>38</v>
      </c>
      <c r="C247">
        <v>0</v>
      </c>
      <c r="D247" t="s">
        <v>5</v>
      </c>
      <c r="E247">
        <v>6100</v>
      </c>
      <c r="F247" t="s">
        <v>492</v>
      </c>
      <c r="G247" t="s">
        <v>774</v>
      </c>
      <c r="H247" s="2">
        <v>0.8125</v>
      </c>
      <c r="I247" t="s">
        <v>762</v>
      </c>
      <c r="J247" s="1">
        <v>0.44</v>
      </c>
      <c r="K247">
        <v>-78.5</v>
      </c>
      <c r="L247">
        <v>6.5</v>
      </c>
      <c r="M247">
        <v>3.43</v>
      </c>
      <c r="N247">
        <v>3.25</v>
      </c>
      <c r="O247">
        <v>1</v>
      </c>
      <c r="P247">
        <v>1</v>
      </c>
      <c r="Q247" s="3">
        <v>0.84097222222222223</v>
      </c>
      <c r="R247">
        <v>11.9</v>
      </c>
      <c r="S247">
        <v>7.65</v>
      </c>
      <c r="T247">
        <v>28.55</v>
      </c>
      <c r="U247">
        <v>13.25</v>
      </c>
      <c r="V247">
        <v>13.25</v>
      </c>
      <c r="W247">
        <v>100</v>
      </c>
      <c r="Y247">
        <v>68</v>
      </c>
      <c r="Z247">
        <v>2.2000000000000002</v>
      </c>
      <c r="AA247">
        <v>0</v>
      </c>
      <c r="AB247" s="4">
        <v>1.0263888888888888</v>
      </c>
      <c r="AC247">
        <v>6.5</v>
      </c>
      <c r="AD247">
        <v>1.1000000000000001</v>
      </c>
    </row>
    <row r="248" spans="1:30" x14ac:dyDescent="0.2">
      <c r="A248" t="s">
        <v>699</v>
      </c>
      <c r="C248">
        <v>0</v>
      </c>
      <c r="D248" t="s">
        <v>17</v>
      </c>
      <c r="E248">
        <v>2500</v>
      </c>
      <c r="F248" t="s">
        <v>500</v>
      </c>
      <c r="G248" t="s">
        <v>785</v>
      </c>
      <c r="H248" s="2">
        <v>0.8125</v>
      </c>
      <c r="I248" t="s">
        <v>766</v>
      </c>
      <c r="J248" s="1">
        <v>0.56000000000000005</v>
      </c>
      <c r="K248">
        <v>78.5</v>
      </c>
      <c r="L248">
        <v>6.5</v>
      </c>
      <c r="M248">
        <v>3.25</v>
      </c>
      <c r="N248">
        <v>3.43</v>
      </c>
      <c r="O248">
        <v>3</v>
      </c>
      <c r="Q248" s="3">
        <v>0.39305555555555555</v>
      </c>
      <c r="R248">
        <v>1.6</v>
      </c>
      <c r="S248">
        <v>1.89</v>
      </c>
      <c r="T248">
        <v>6.71</v>
      </c>
      <c r="U248">
        <v>2.93</v>
      </c>
      <c r="V248">
        <v>2.93</v>
      </c>
      <c r="W248">
        <v>100</v>
      </c>
      <c r="Y248">
        <v>41</v>
      </c>
      <c r="Z248">
        <v>1.2</v>
      </c>
      <c r="AA248">
        <v>0</v>
      </c>
    </row>
    <row r="249" spans="1:30" x14ac:dyDescent="0.2">
      <c r="A249" t="s">
        <v>541</v>
      </c>
      <c r="C249">
        <v>0</v>
      </c>
      <c r="D249" t="s">
        <v>17</v>
      </c>
      <c r="E249">
        <v>2900</v>
      </c>
      <c r="F249" t="s">
        <v>496</v>
      </c>
      <c r="G249" t="s">
        <v>787</v>
      </c>
      <c r="H249" s="2">
        <v>0.79166666666666663</v>
      </c>
      <c r="I249" t="s">
        <v>766</v>
      </c>
      <c r="J249" s="1">
        <v>0.48199999999999998</v>
      </c>
      <c r="K249">
        <v>107.5</v>
      </c>
      <c r="L249">
        <v>5.5</v>
      </c>
      <c r="M249">
        <v>2.75</v>
      </c>
      <c r="N249">
        <v>3.2</v>
      </c>
      <c r="O249">
        <v>2</v>
      </c>
      <c r="Q249" s="3">
        <v>0.88680555555555551</v>
      </c>
      <c r="R249">
        <v>6</v>
      </c>
      <c r="S249">
        <v>4.07</v>
      </c>
      <c r="T249">
        <v>14.28</v>
      </c>
      <c r="U249">
        <v>6.14</v>
      </c>
      <c r="V249">
        <v>6.14</v>
      </c>
      <c r="W249">
        <v>100</v>
      </c>
      <c r="Y249">
        <v>66</v>
      </c>
      <c r="Z249">
        <v>2.1</v>
      </c>
      <c r="AA249">
        <v>0</v>
      </c>
      <c r="AB249" s="3">
        <v>0.8930555555555556</v>
      </c>
      <c r="AC249">
        <v>6.5</v>
      </c>
      <c r="AD249">
        <v>2.2000000000000002</v>
      </c>
    </row>
    <row r="250" spans="1:30" x14ac:dyDescent="0.2">
      <c r="A250" t="s">
        <v>281</v>
      </c>
      <c r="C250">
        <v>0</v>
      </c>
      <c r="D250" t="s">
        <v>5</v>
      </c>
      <c r="E250">
        <v>5900</v>
      </c>
      <c r="F250" t="s">
        <v>500</v>
      </c>
      <c r="G250" t="s">
        <v>785</v>
      </c>
      <c r="H250" s="2">
        <v>0.8125</v>
      </c>
      <c r="I250" t="s">
        <v>766</v>
      </c>
      <c r="J250" s="1">
        <v>0.56000000000000005</v>
      </c>
      <c r="K250">
        <v>78.5</v>
      </c>
      <c r="L250">
        <v>6.5</v>
      </c>
      <c r="M250">
        <v>3.25</v>
      </c>
      <c r="N250">
        <v>3.43</v>
      </c>
      <c r="O250">
        <v>1</v>
      </c>
      <c r="P250">
        <v>1</v>
      </c>
      <c r="Q250" s="3">
        <v>0.77083333333333337</v>
      </c>
      <c r="R250">
        <v>9.1999999999999993</v>
      </c>
      <c r="S250">
        <v>8.44</v>
      </c>
      <c r="T250">
        <v>28.28</v>
      </c>
      <c r="U250">
        <v>11.4</v>
      </c>
      <c r="V250">
        <v>11.4</v>
      </c>
      <c r="W250">
        <v>100</v>
      </c>
      <c r="Y250">
        <v>54</v>
      </c>
      <c r="Z250">
        <v>1.9</v>
      </c>
      <c r="AA250">
        <v>0</v>
      </c>
      <c r="AB250" s="3">
        <v>0.77152777777777781</v>
      </c>
      <c r="AC250">
        <v>17.8</v>
      </c>
      <c r="AD250">
        <v>3</v>
      </c>
    </row>
    <row r="251" spans="1:30" x14ac:dyDescent="0.2">
      <c r="A251" t="s">
        <v>314</v>
      </c>
      <c r="C251">
        <v>0</v>
      </c>
      <c r="D251" t="s">
        <v>10</v>
      </c>
      <c r="E251">
        <v>2700</v>
      </c>
      <c r="F251" t="s">
        <v>490</v>
      </c>
      <c r="G251" t="s">
        <v>771</v>
      </c>
      <c r="H251" s="2">
        <v>0.91666666666666663</v>
      </c>
      <c r="I251" t="s">
        <v>766</v>
      </c>
      <c r="J251" s="1">
        <v>0.58499999999999996</v>
      </c>
      <c r="K251">
        <v>71</v>
      </c>
      <c r="L251">
        <v>6</v>
      </c>
      <c r="M251">
        <v>3</v>
      </c>
      <c r="N251">
        <v>3.02</v>
      </c>
      <c r="O251">
        <v>4</v>
      </c>
      <c r="P251">
        <v>2</v>
      </c>
      <c r="Q251" s="3">
        <v>0.56944444444444442</v>
      </c>
      <c r="R251">
        <v>5.5</v>
      </c>
      <c r="S251">
        <v>4.04</v>
      </c>
      <c r="T251">
        <v>14.75</v>
      </c>
      <c r="U251">
        <v>6.67</v>
      </c>
      <c r="V251">
        <v>6.67</v>
      </c>
      <c r="W251">
        <v>100</v>
      </c>
      <c r="Y251">
        <v>63</v>
      </c>
      <c r="Z251">
        <v>2.5</v>
      </c>
      <c r="AA251">
        <v>0</v>
      </c>
      <c r="AB251" s="3">
        <v>0.40555555555555556</v>
      </c>
      <c r="AC251">
        <v>0</v>
      </c>
    </row>
    <row r="252" spans="1:30" x14ac:dyDescent="0.2">
      <c r="A252" t="s">
        <v>228</v>
      </c>
      <c r="C252">
        <v>0</v>
      </c>
      <c r="D252" t="s">
        <v>10</v>
      </c>
      <c r="E252">
        <v>4200</v>
      </c>
      <c r="F252" t="s">
        <v>505</v>
      </c>
      <c r="G252" t="s">
        <v>793</v>
      </c>
      <c r="H252" s="2">
        <v>0.91666666666666663</v>
      </c>
      <c r="I252" t="s">
        <v>762</v>
      </c>
      <c r="J252" s="1">
        <v>0.41499999999999998</v>
      </c>
      <c r="K252">
        <v>-71</v>
      </c>
      <c r="L252">
        <v>6</v>
      </c>
      <c r="M252">
        <v>3.02</v>
      </c>
      <c r="N252">
        <v>3</v>
      </c>
      <c r="O252">
        <v>2</v>
      </c>
      <c r="P252">
        <v>2</v>
      </c>
      <c r="Q252" s="3">
        <v>0.67986111111111114</v>
      </c>
      <c r="R252">
        <v>8.4</v>
      </c>
      <c r="S252">
        <v>6.82</v>
      </c>
      <c r="T252">
        <v>24.47</v>
      </c>
      <c r="U252">
        <v>10.83</v>
      </c>
      <c r="V252">
        <v>10.83</v>
      </c>
      <c r="W252">
        <v>100</v>
      </c>
      <c r="Y252">
        <v>59</v>
      </c>
      <c r="Z252">
        <v>2.6</v>
      </c>
      <c r="AA252">
        <v>0</v>
      </c>
      <c r="AB252" s="3">
        <v>0.77847222222222223</v>
      </c>
      <c r="AC252">
        <v>7.3</v>
      </c>
      <c r="AD252">
        <v>1.7</v>
      </c>
    </row>
    <row r="253" spans="1:30" x14ac:dyDescent="0.2">
      <c r="A253" t="s">
        <v>362</v>
      </c>
      <c r="C253">
        <v>0</v>
      </c>
      <c r="D253" t="s">
        <v>10</v>
      </c>
      <c r="E253">
        <v>3000</v>
      </c>
      <c r="F253" t="s">
        <v>493</v>
      </c>
      <c r="G253" t="s">
        <v>789</v>
      </c>
      <c r="H253" s="2">
        <v>0.83333333333333337</v>
      </c>
      <c r="I253" t="s">
        <v>762</v>
      </c>
      <c r="J253" s="1">
        <v>0.48699999999999999</v>
      </c>
      <c r="K253">
        <v>-95</v>
      </c>
      <c r="L253">
        <v>5.5</v>
      </c>
      <c r="M253">
        <v>2.75</v>
      </c>
      <c r="N253">
        <v>2.54</v>
      </c>
      <c r="O253">
        <v>3</v>
      </c>
      <c r="Q253" s="3">
        <v>0.70277777777777772</v>
      </c>
      <c r="R253">
        <v>7</v>
      </c>
      <c r="S253">
        <v>6.8</v>
      </c>
      <c r="T253">
        <v>20.13</v>
      </c>
      <c r="U253">
        <v>6.53</v>
      </c>
      <c r="V253">
        <v>6.53</v>
      </c>
      <c r="W253">
        <v>100</v>
      </c>
      <c r="Y253">
        <v>51</v>
      </c>
      <c r="Z253">
        <v>2.2000000000000002</v>
      </c>
      <c r="AA253">
        <v>0</v>
      </c>
      <c r="AB253" s="3">
        <v>0.55763888888888891</v>
      </c>
      <c r="AC253">
        <v>5</v>
      </c>
      <c r="AD253">
        <v>1.7</v>
      </c>
    </row>
    <row r="254" spans="1:30" x14ac:dyDescent="0.2">
      <c r="A254" t="s">
        <v>49</v>
      </c>
      <c r="C254">
        <v>0</v>
      </c>
      <c r="D254" t="s">
        <v>10</v>
      </c>
      <c r="E254">
        <v>3300</v>
      </c>
      <c r="F254" t="s">
        <v>499</v>
      </c>
      <c r="G254" t="s">
        <v>775</v>
      </c>
      <c r="H254" s="2">
        <v>0.79166666666666663</v>
      </c>
      <c r="I254" t="s">
        <v>762</v>
      </c>
      <c r="J254" s="1">
        <v>0.50700000000000001</v>
      </c>
      <c r="K254">
        <v>-103</v>
      </c>
      <c r="L254">
        <v>6.5</v>
      </c>
      <c r="M254">
        <v>3.71</v>
      </c>
      <c r="N254">
        <v>3.25</v>
      </c>
      <c r="O254">
        <v>2</v>
      </c>
      <c r="P254">
        <v>1</v>
      </c>
      <c r="Q254" s="3">
        <v>0.53819444444444442</v>
      </c>
      <c r="R254">
        <v>6.8</v>
      </c>
      <c r="S254">
        <v>4.25</v>
      </c>
      <c r="T254">
        <v>18.89</v>
      </c>
      <c r="U254">
        <v>10.39</v>
      </c>
      <c r="V254">
        <v>10.39</v>
      </c>
      <c r="W254">
        <v>100</v>
      </c>
      <c r="Y254">
        <v>69</v>
      </c>
      <c r="Z254">
        <v>3.1</v>
      </c>
      <c r="AA254">
        <v>0</v>
      </c>
      <c r="AB254" s="3">
        <v>0.66180555555555554</v>
      </c>
      <c r="AC254">
        <v>19</v>
      </c>
      <c r="AD254">
        <v>5.8</v>
      </c>
    </row>
    <row r="255" spans="1:30" x14ac:dyDescent="0.2">
      <c r="A255" t="s">
        <v>873</v>
      </c>
      <c r="C255">
        <v>0</v>
      </c>
      <c r="D255" t="s">
        <v>5</v>
      </c>
      <c r="E255">
        <v>4800</v>
      </c>
      <c r="F255" t="s">
        <v>485</v>
      </c>
      <c r="G255" t="s">
        <v>767</v>
      </c>
      <c r="H255" s="2">
        <v>0.79166666666666663</v>
      </c>
      <c r="I255" t="s">
        <v>762</v>
      </c>
      <c r="J255" s="1">
        <v>0.48099999999999998</v>
      </c>
      <c r="K255">
        <v>-92.5</v>
      </c>
      <c r="L255">
        <v>6.5</v>
      </c>
      <c r="M255">
        <v>3.62</v>
      </c>
      <c r="N255">
        <v>3.25</v>
      </c>
      <c r="Q255" s="3">
        <v>0.72569444444444442</v>
      </c>
      <c r="R255">
        <v>9.1</v>
      </c>
      <c r="S255">
        <v>6.77</v>
      </c>
      <c r="T255">
        <v>0</v>
      </c>
      <c r="U255">
        <v>0</v>
      </c>
      <c r="V255">
        <v>0</v>
      </c>
      <c r="W255">
        <v>100</v>
      </c>
      <c r="Y255">
        <v>63</v>
      </c>
      <c r="Z255">
        <v>0</v>
      </c>
      <c r="AA255">
        <v>0</v>
      </c>
    </row>
    <row r="256" spans="1:30" x14ac:dyDescent="0.2">
      <c r="A256" t="s">
        <v>806</v>
      </c>
      <c r="C256">
        <v>0</v>
      </c>
      <c r="D256" t="s">
        <v>17</v>
      </c>
      <c r="E256">
        <v>2900</v>
      </c>
      <c r="F256" t="s">
        <v>510</v>
      </c>
      <c r="G256" t="s">
        <v>802</v>
      </c>
      <c r="H256" s="2">
        <v>0.91666666666666663</v>
      </c>
      <c r="I256" t="s">
        <v>766</v>
      </c>
      <c r="J256" s="1">
        <v>0.51200000000000001</v>
      </c>
      <c r="K256">
        <v>95.5</v>
      </c>
      <c r="L256">
        <v>6.5</v>
      </c>
      <c r="M256">
        <v>3.01</v>
      </c>
      <c r="N256">
        <v>3.25</v>
      </c>
      <c r="O256">
        <v>1</v>
      </c>
      <c r="T256">
        <v>9.17</v>
      </c>
      <c r="U256">
        <v>9.17</v>
      </c>
      <c r="V256">
        <v>9.17</v>
      </c>
      <c r="W256">
        <v>100</v>
      </c>
      <c r="Y256">
        <v>0</v>
      </c>
      <c r="Z256">
        <v>3.2</v>
      </c>
      <c r="AA256">
        <v>0</v>
      </c>
    </row>
    <row r="257" spans="1:30" x14ac:dyDescent="0.2">
      <c r="A257" t="s">
        <v>22</v>
      </c>
      <c r="C257">
        <v>0</v>
      </c>
      <c r="D257" t="s">
        <v>5</v>
      </c>
      <c r="E257">
        <v>5600</v>
      </c>
      <c r="F257" t="s">
        <v>510</v>
      </c>
      <c r="G257" t="s">
        <v>802</v>
      </c>
      <c r="H257" s="2">
        <v>0.91666666666666663</v>
      </c>
      <c r="I257" t="s">
        <v>766</v>
      </c>
      <c r="J257" s="1">
        <v>0.51200000000000001</v>
      </c>
      <c r="K257">
        <v>95.5</v>
      </c>
      <c r="L257">
        <v>6.5</v>
      </c>
      <c r="M257">
        <v>3.01</v>
      </c>
      <c r="N257">
        <v>3.25</v>
      </c>
      <c r="O257">
        <v>1</v>
      </c>
      <c r="P257">
        <v>1</v>
      </c>
      <c r="Q257" s="3">
        <v>0.61250000000000004</v>
      </c>
      <c r="R257">
        <v>4.7</v>
      </c>
      <c r="S257">
        <v>4.8099999999999996</v>
      </c>
      <c r="T257">
        <v>15.07</v>
      </c>
      <c r="U257">
        <v>5.45</v>
      </c>
      <c r="V257">
        <v>5.45</v>
      </c>
      <c r="W257">
        <v>100</v>
      </c>
      <c r="Y257">
        <v>49</v>
      </c>
      <c r="Z257">
        <v>1</v>
      </c>
      <c r="AA257">
        <v>0</v>
      </c>
      <c r="AB257" s="3">
        <v>0.73402777777777772</v>
      </c>
      <c r="AC257">
        <v>1.5</v>
      </c>
      <c r="AD257">
        <v>0.3</v>
      </c>
    </row>
    <row r="258" spans="1:30" x14ac:dyDescent="0.2">
      <c r="A258" t="s">
        <v>644</v>
      </c>
      <c r="C258">
        <v>0</v>
      </c>
      <c r="D258" t="s">
        <v>17</v>
      </c>
      <c r="E258">
        <v>2500</v>
      </c>
      <c r="F258" t="s">
        <v>496</v>
      </c>
      <c r="G258" t="s">
        <v>787</v>
      </c>
      <c r="H258" s="2">
        <v>0.79166666666666663</v>
      </c>
      <c r="I258" t="s">
        <v>766</v>
      </c>
      <c r="J258" s="1">
        <v>0.48199999999999998</v>
      </c>
      <c r="K258">
        <v>107.5</v>
      </c>
      <c r="L258">
        <v>5.5</v>
      </c>
      <c r="M258">
        <v>2.75</v>
      </c>
      <c r="N258">
        <v>3.2</v>
      </c>
      <c r="O258">
        <v>2</v>
      </c>
      <c r="Q258" s="3">
        <v>0.67986111111111114</v>
      </c>
      <c r="R258">
        <v>3.1</v>
      </c>
      <c r="S258">
        <v>2.59</v>
      </c>
      <c r="T258">
        <v>10.58</v>
      </c>
      <c r="U258">
        <v>5.4</v>
      </c>
      <c r="V258">
        <v>5.4</v>
      </c>
      <c r="W258">
        <v>100</v>
      </c>
      <c r="Y258">
        <v>58</v>
      </c>
      <c r="Z258">
        <v>2.2000000000000002</v>
      </c>
      <c r="AA258">
        <v>0</v>
      </c>
      <c r="AB258" s="3">
        <v>0.81944444444444442</v>
      </c>
      <c r="AC258">
        <v>13.3</v>
      </c>
      <c r="AD258">
        <v>5.3</v>
      </c>
    </row>
    <row r="259" spans="1:30" x14ac:dyDescent="0.2">
      <c r="A259" t="s">
        <v>671</v>
      </c>
      <c r="C259">
        <v>0</v>
      </c>
      <c r="D259" t="s">
        <v>10</v>
      </c>
      <c r="E259">
        <v>2500</v>
      </c>
      <c r="F259" t="s">
        <v>492</v>
      </c>
      <c r="G259" t="s">
        <v>774</v>
      </c>
      <c r="H259" s="2">
        <v>0.8125</v>
      </c>
      <c r="I259" t="s">
        <v>762</v>
      </c>
      <c r="J259" s="1">
        <v>0.44</v>
      </c>
      <c r="K259">
        <v>-78.5</v>
      </c>
      <c r="L259">
        <v>6.5</v>
      </c>
      <c r="M259">
        <v>3.43</v>
      </c>
      <c r="N259">
        <v>3.25</v>
      </c>
      <c r="O259">
        <v>4</v>
      </c>
      <c r="Q259" s="3">
        <v>0.45624999999999999</v>
      </c>
      <c r="R259">
        <v>2.8</v>
      </c>
      <c r="S259">
        <v>3.28</v>
      </c>
      <c r="T259">
        <v>10.71</v>
      </c>
      <c r="U259">
        <v>4.1500000000000004</v>
      </c>
      <c r="V259">
        <v>4.1500000000000004</v>
      </c>
      <c r="W259">
        <v>100</v>
      </c>
      <c r="Y259">
        <v>41</v>
      </c>
      <c r="Z259">
        <v>1.7</v>
      </c>
      <c r="AA259">
        <v>0</v>
      </c>
      <c r="AB259" s="3">
        <v>0.47847222222222224</v>
      </c>
      <c r="AC259">
        <v>0</v>
      </c>
    </row>
    <row r="260" spans="1:30" x14ac:dyDescent="0.2">
      <c r="A260" t="s">
        <v>569</v>
      </c>
      <c r="C260">
        <v>0</v>
      </c>
      <c r="D260" t="s">
        <v>17</v>
      </c>
      <c r="E260">
        <v>2500</v>
      </c>
      <c r="F260" t="s">
        <v>509</v>
      </c>
      <c r="G260" t="s">
        <v>791</v>
      </c>
      <c r="H260" s="2">
        <v>0.79166666666666663</v>
      </c>
      <c r="I260" t="s">
        <v>766</v>
      </c>
      <c r="J260" s="1">
        <v>0.51900000000000002</v>
      </c>
      <c r="K260">
        <v>92.5</v>
      </c>
      <c r="L260">
        <v>6.5</v>
      </c>
      <c r="M260">
        <v>3.25</v>
      </c>
      <c r="N260">
        <v>3.62</v>
      </c>
      <c r="O260">
        <v>3</v>
      </c>
      <c r="Q260" s="3">
        <v>0.70416666666666672</v>
      </c>
      <c r="R260">
        <v>3.9</v>
      </c>
      <c r="S260">
        <v>3.97</v>
      </c>
      <c r="T260">
        <v>12.72</v>
      </c>
      <c r="U260">
        <v>4.78</v>
      </c>
      <c r="V260">
        <v>4.78</v>
      </c>
      <c r="W260">
        <v>100</v>
      </c>
      <c r="Y260">
        <v>49</v>
      </c>
      <c r="Z260">
        <v>1.9</v>
      </c>
      <c r="AA260">
        <v>0</v>
      </c>
    </row>
    <row r="261" spans="1:30" x14ac:dyDescent="0.2">
      <c r="A261" t="s">
        <v>108</v>
      </c>
      <c r="C261">
        <v>0</v>
      </c>
      <c r="D261" t="s">
        <v>10</v>
      </c>
      <c r="E261">
        <v>4400</v>
      </c>
      <c r="F261" t="s">
        <v>494</v>
      </c>
      <c r="G261" t="s">
        <v>782</v>
      </c>
      <c r="H261" s="2">
        <v>0.79166666666666663</v>
      </c>
      <c r="I261" t="s">
        <v>762</v>
      </c>
      <c r="J261" s="1">
        <v>0.47199999999999998</v>
      </c>
      <c r="K261">
        <v>-89.5</v>
      </c>
      <c r="L261">
        <v>6</v>
      </c>
      <c r="M261">
        <v>3</v>
      </c>
      <c r="N261">
        <v>2.82</v>
      </c>
      <c r="O261">
        <v>1</v>
      </c>
      <c r="P261">
        <v>2</v>
      </c>
      <c r="Q261" s="3">
        <v>0.69513888888888886</v>
      </c>
      <c r="R261">
        <v>8</v>
      </c>
      <c r="S261">
        <v>7.02</v>
      </c>
      <c r="T261">
        <v>22.32</v>
      </c>
      <c r="U261">
        <v>8.2799999999999994</v>
      </c>
      <c r="V261">
        <v>8.2799999999999994</v>
      </c>
      <c r="W261">
        <v>100</v>
      </c>
      <c r="Y261">
        <v>56</v>
      </c>
      <c r="Z261">
        <v>1.9</v>
      </c>
      <c r="AA261">
        <v>0</v>
      </c>
      <c r="AB261" s="3">
        <v>0.77569444444444446</v>
      </c>
      <c r="AC261">
        <v>2.8</v>
      </c>
      <c r="AD261">
        <v>0.6</v>
      </c>
    </row>
    <row r="262" spans="1:30" x14ac:dyDescent="0.2">
      <c r="A262" t="s">
        <v>932</v>
      </c>
      <c r="C262">
        <v>0</v>
      </c>
      <c r="D262" t="s">
        <v>17</v>
      </c>
      <c r="E262">
        <v>2500</v>
      </c>
      <c r="F262" t="s">
        <v>768</v>
      </c>
      <c r="G262" t="s">
        <v>769</v>
      </c>
      <c r="H262" s="2">
        <v>0.79166666666666663</v>
      </c>
      <c r="I262" t="s">
        <v>762</v>
      </c>
      <c r="J262" s="1">
        <v>0.51800000000000002</v>
      </c>
      <c r="K262">
        <v>-107.5</v>
      </c>
      <c r="L262">
        <v>5.5</v>
      </c>
      <c r="M262">
        <v>3.2</v>
      </c>
      <c r="N262">
        <v>2.75</v>
      </c>
      <c r="Q262" s="3">
        <v>0.72777777777777775</v>
      </c>
      <c r="R262">
        <v>4.0999999999999996</v>
      </c>
      <c r="S262">
        <v>4.2</v>
      </c>
      <c r="T262">
        <v>0</v>
      </c>
      <c r="U262">
        <v>0</v>
      </c>
      <c r="V262">
        <v>0</v>
      </c>
      <c r="W262">
        <v>100</v>
      </c>
      <c r="Y262">
        <v>49</v>
      </c>
      <c r="Z262">
        <v>0</v>
      </c>
      <c r="AA262">
        <v>0</v>
      </c>
    </row>
    <row r="263" spans="1:30" x14ac:dyDescent="0.2">
      <c r="A263" t="s">
        <v>439</v>
      </c>
      <c r="C263">
        <v>0</v>
      </c>
      <c r="D263" t="s">
        <v>10</v>
      </c>
      <c r="E263">
        <v>2600</v>
      </c>
      <c r="F263" t="s">
        <v>492</v>
      </c>
      <c r="G263" t="s">
        <v>774</v>
      </c>
      <c r="H263" s="2">
        <v>0.8125</v>
      </c>
      <c r="I263" t="s">
        <v>762</v>
      </c>
      <c r="J263" s="1">
        <v>0.44</v>
      </c>
      <c r="K263">
        <v>-78.5</v>
      </c>
      <c r="L263">
        <v>6.5</v>
      </c>
      <c r="M263">
        <v>3.43</v>
      </c>
      <c r="N263">
        <v>3.25</v>
      </c>
      <c r="O263">
        <v>3</v>
      </c>
      <c r="Q263" s="3">
        <v>0.65347222222222223</v>
      </c>
      <c r="R263">
        <v>6</v>
      </c>
      <c r="S263">
        <v>5.98</v>
      </c>
      <c r="T263">
        <v>18.600000000000001</v>
      </c>
      <c r="U263">
        <v>6.64</v>
      </c>
      <c r="V263">
        <v>6.64</v>
      </c>
      <c r="W263">
        <v>100</v>
      </c>
      <c r="Y263">
        <v>50</v>
      </c>
      <c r="Z263">
        <v>2.6</v>
      </c>
      <c r="AA263">
        <v>0</v>
      </c>
      <c r="AB263" s="3">
        <v>0.42569444444444443</v>
      </c>
      <c r="AC263">
        <v>0</v>
      </c>
    </row>
    <row r="264" spans="1:30" x14ac:dyDescent="0.2">
      <c r="A264" t="s">
        <v>851</v>
      </c>
      <c r="C264">
        <v>0</v>
      </c>
      <c r="D264" t="s">
        <v>7</v>
      </c>
      <c r="E264">
        <v>6900</v>
      </c>
      <c r="F264" t="s">
        <v>496</v>
      </c>
      <c r="G264" t="s">
        <v>787</v>
      </c>
      <c r="H264" s="2">
        <v>0.79166666666666663</v>
      </c>
      <c r="I264" t="s">
        <v>766</v>
      </c>
      <c r="J264" s="1">
        <v>0.48199999999999998</v>
      </c>
      <c r="K264">
        <v>107.5</v>
      </c>
      <c r="L264">
        <v>5.5</v>
      </c>
      <c r="M264">
        <v>2.75</v>
      </c>
      <c r="N264">
        <v>3.2</v>
      </c>
      <c r="O264" t="s">
        <v>818</v>
      </c>
      <c r="Q264" s="4">
        <v>2.3055555555555554</v>
      </c>
      <c r="R264">
        <v>8.6999999999999993</v>
      </c>
      <c r="S264">
        <v>10.28</v>
      </c>
      <c r="T264">
        <v>0</v>
      </c>
      <c r="U264">
        <v>0</v>
      </c>
      <c r="V264">
        <v>0</v>
      </c>
      <c r="W264">
        <v>100</v>
      </c>
      <c r="Y264">
        <v>41</v>
      </c>
      <c r="Z264">
        <v>0</v>
      </c>
      <c r="AA264">
        <v>0</v>
      </c>
      <c r="AB264" s="3">
        <v>0</v>
      </c>
      <c r="AC264">
        <v>0</v>
      </c>
    </row>
    <row r="265" spans="1:30" x14ac:dyDescent="0.2">
      <c r="A265" t="s">
        <v>977</v>
      </c>
      <c r="C265">
        <v>0</v>
      </c>
      <c r="D265" t="s">
        <v>10</v>
      </c>
      <c r="E265">
        <v>2500</v>
      </c>
      <c r="F265" t="s">
        <v>498</v>
      </c>
      <c r="G265" t="s">
        <v>779</v>
      </c>
      <c r="H265" s="2">
        <v>0.79166666666666663</v>
      </c>
      <c r="I265" t="s">
        <v>762</v>
      </c>
      <c r="J265" s="1">
        <v>0.50600000000000001</v>
      </c>
      <c r="K265">
        <v>-102.5</v>
      </c>
      <c r="L265">
        <v>6</v>
      </c>
      <c r="M265">
        <v>3.44</v>
      </c>
      <c r="N265">
        <v>3</v>
      </c>
      <c r="Q265" s="3">
        <v>0.48680555555555555</v>
      </c>
      <c r="R265">
        <v>4.7</v>
      </c>
      <c r="S265">
        <v>5.01</v>
      </c>
      <c r="T265">
        <v>0</v>
      </c>
      <c r="U265">
        <v>0</v>
      </c>
      <c r="V265">
        <v>0</v>
      </c>
      <c r="W265">
        <v>100</v>
      </c>
      <c r="Y265">
        <v>47</v>
      </c>
      <c r="Z265">
        <v>0</v>
      </c>
      <c r="AA265">
        <v>0</v>
      </c>
    </row>
    <row r="266" spans="1:30" x14ac:dyDescent="0.2">
      <c r="A266" t="s">
        <v>378</v>
      </c>
      <c r="C266">
        <v>0</v>
      </c>
      <c r="D266" t="s">
        <v>17</v>
      </c>
      <c r="E266">
        <v>2700</v>
      </c>
      <c r="F266" t="s">
        <v>768</v>
      </c>
      <c r="G266" t="s">
        <v>769</v>
      </c>
      <c r="H266" s="2">
        <v>0.79166666666666663</v>
      </c>
      <c r="I266" t="s">
        <v>762</v>
      </c>
      <c r="J266" s="1">
        <v>0.51800000000000002</v>
      </c>
      <c r="K266">
        <v>-107.5</v>
      </c>
      <c r="L266">
        <v>5.5</v>
      </c>
      <c r="M266">
        <v>3.2</v>
      </c>
      <c r="N266">
        <v>2.75</v>
      </c>
      <c r="O266">
        <v>2</v>
      </c>
      <c r="Q266" s="3">
        <v>0.76041666666666663</v>
      </c>
      <c r="R266">
        <v>5.5</v>
      </c>
      <c r="S266">
        <v>3.74</v>
      </c>
      <c r="T266">
        <v>13.7</v>
      </c>
      <c r="U266">
        <v>6.22</v>
      </c>
      <c r="V266">
        <v>6.22</v>
      </c>
      <c r="W266">
        <v>100</v>
      </c>
      <c r="Y266">
        <v>66</v>
      </c>
      <c r="Z266">
        <v>2.2999999999999998</v>
      </c>
      <c r="AA266">
        <v>0</v>
      </c>
      <c r="AB266" s="3">
        <v>0.74444444444444446</v>
      </c>
      <c r="AC266">
        <v>5.6</v>
      </c>
      <c r="AD266">
        <v>2.1</v>
      </c>
    </row>
    <row r="267" spans="1:30" x14ac:dyDescent="0.2">
      <c r="A267" t="s">
        <v>980</v>
      </c>
      <c r="C267">
        <v>0</v>
      </c>
      <c r="D267" t="s">
        <v>17</v>
      </c>
      <c r="E267">
        <v>2500</v>
      </c>
      <c r="F267" t="s">
        <v>492</v>
      </c>
      <c r="G267" t="s">
        <v>774</v>
      </c>
      <c r="H267" s="2">
        <v>0.8125</v>
      </c>
      <c r="I267" t="s">
        <v>762</v>
      </c>
      <c r="J267" s="1">
        <v>0.44</v>
      </c>
      <c r="K267">
        <v>-78.5</v>
      </c>
      <c r="L267">
        <v>6.5</v>
      </c>
      <c r="M267">
        <v>3.43</v>
      </c>
      <c r="N267">
        <v>3.25</v>
      </c>
      <c r="Q267" s="3">
        <v>0.6118055555555556</v>
      </c>
      <c r="R267">
        <v>3.5</v>
      </c>
      <c r="S267">
        <v>0.85</v>
      </c>
      <c r="T267">
        <v>0</v>
      </c>
      <c r="U267">
        <v>0</v>
      </c>
      <c r="V267">
        <v>0</v>
      </c>
      <c r="W267">
        <v>100</v>
      </c>
      <c r="Y267">
        <v>0</v>
      </c>
      <c r="Z267">
        <v>0</v>
      </c>
      <c r="AA267">
        <v>0</v>
      </c>
    </row>
    <row r="268" spans="1:30" x14ac:dyDescent="0.2">
      <c r="A268" t="s">
        <v>403</v>
      </c>
      <c r="C268">
        <v>0</v>
      </c>
      <c r="D268" t="s">
        <v>5</v>
      </c>
      <c r="E268">
        <v>2900</v>
      </c>
      <c r="F268" t="s">
        <v>506</v>
      </c>
      <c r="G268" t="s">
        <v>786</v>
      </c>
      <c r="H268" s="2">
        <v>0.79166666666666663</v>
      </c>
      <c r="I268" t="s">
        <v>766</v>
      </c>
      <c r="J268" s="1">
        <v>0.53600000000000003</v>
      </c>
      <c r="K268">
        <v>86.5</v>
      </c>
      <c r="L268">
        <v>6</v>
      </c>
      <c r="M268">
        <v>3</v>
      </c>
      <c r="N268">
        <v>3.19</v>
      </c>
      <c r="O268">
        <v>2</v>
      </c>
      <c r="P268">
        <v>2</v>
      </c>
      <c r="Q268" s="3">
        <v>0.68680555555555556</v>
      </c>
      <c r="R268">
        <v>6.2</v>
      </c>
      <c r="S268">
        <v>6.16</v>
      </c>
      <c r="T268">
        <v>20.14</v>
      </c>
      <c r="U268">
        <v>7.82</v>
      </c>
      <c r="V268">
        <v>7.82</v>
      </c>
      <c r="W268">
        <v>100</v>
      </c>
      <c r="Y268">
        <v>50</v>
      </c>
      <c r="Z268">
        <v>2.7</v>
      </c>
      <c r="AA268">
        <v>0</v>
      </c>
      <c r="AB268" s="3">
        <v>0.66527777777777775</v>
      </c>
      <c r="AC268">
        <v>1.5</v>
      </c>
      <c r="AD268">
        <v>0.5</v>
      </c>
    </row>
    <row r="269" spans="1:30" x14ac:dyDescent="0.2">
      <c r="A269" t="s">
        <v>63</v>
      </c>
      <c r="C269">
        <v>0</v>
      </c>
      <c r="D269" t="s">
        <v>17</v>
      </c>
      <c r="E269">
        <v>4800</v>
      </c>
      <c r="F269" t="s">
        <v>499</v>
      </c>
      <c r="G269" t="s">
        <v>775</v>
      </c>
      <c r="H269" s="2">
        <v>0.79166666666666663</v>
      </c>
      <c r="I269" t="s">
        <v>762</v>
      </c>
      <c r="J269" s="1">
        <v>0.50700000000000001</v>
      </c>
      <c r="K269">
        <v>-103</v>
      </c>
      <c r="L269">
        <v>6.5</v>
      </c>
      <c r="M269">
        <v>3.71</v>
      </c>
      <c r="N269">
        <v>3.25</v>
      </c>
      <c r="O269">
        <v>1</v>
      </c>
      <c r="P269">
        <v>1</v>
      </c>
      <c r="Q269" s="3">
        <v>0.98055555555555551</v>
      </c>
      <c r="R269">
        <v>8.6</v>
      </c>
      <c r="S269">
        <v>6.46</v>
      </c>
      <c r="T269">
        <v>24.73</v>
      </c>
      <c r="U269">
        <v>11.81</v>
      </c>
      <c r="V269">
        <v>11.81</v>
      </c>
      <c r="W269">
        <v>100</v>
      </c>
      <c r="Y269">
        <v>62</v>
      </c>
      <c r="Z269">
        <v>2.5</v>
      </c>
      <c r="AA269">
        <v>0</v>
      </c>
      <c r="AB269" s="3">
        <v>0.90277777777777779</v>
      </c>
      <c r="AC269">
        <v>4.3</v>
      </c>
      <c r="AD269">
        <v>0.9</v>
      </c>
    </row>
    <row r="270" spans="1:30" x14ac:dyDescent="0.2">
      <c r="A270" t="s">
        <v>126</v>
      </c>
      <c r="C270">
        <v>0</v>
      </c>
      <c r="D270" t="s">
        <v>17</v>
      </c>
      <c r="E270">
        <v>3400</v>
      </c>
      <c r="F270" t="s">
        <v>488</v>
      </c>
      <c r="G270" t="s">
        <v>781</v>
      </c>
      <c r="H270" s="2">
        <v>0.91666666666666663</v>
      </c>
      <c r="I270" t="s">
        <v>766</v>
      </c>
      <c r="J270" s="1">
        <v>0.53500000000000003</v>
      </c>
      <c r="K270">
        <v>87</v>
      </c>
      <c r="L270">
        <v>6</v>
      </c>
      <c r="M270">
        <v>3</v>
      </c>
      <c r="N270">
        <v>3.14</v>
      </c>
      <c r="O270">
        <v>1</v>
      </c>
      <c r="P270">
        <v>2</v>
      </c>
      <c r="Q270" s="3">
        <v>0.98472222222222228</v>
      </c>
      <c r="R270">
        <v>7.6</v>
      </c>
      <c r="S270">
        <v>6</v>
      </c>
      <c r="T270">
        <v>21.18</v>
      </c>
      <c r="U270">
        <v>9.18</v>
      </c>
      <c r="V270">
        <v>9.18</v>
      </c>
      <c r="W270">
        <v>100</v>
      </c>
      <c r="Y270">
        <v>61</v>
      </c>
      <c r="Z270">
        <v>2.7</v>
      </c>
      <c r="AA270">
        <v>0</v>
      </c>
      <c r="AB270" s="3">
        <v>0.99375000000000002</v>
      </c>
      <c r="AC270">
        <v>11.4</v>
      </c>
      <c r="AD270">
        <v>3.4</v>
      </c>
    </row>
    <row r="271" spans="1:30" x14ac:dyDescent="0.2">
      <c r="A271" t="s">
        <v>654</v>
      </c>
      <c r="C271">
        <v>0</v>
      </c>
      <c r="D271" t="s">
        <v>10</v>
      </c>
      <c r="E271">
        <v>2500</v>
      </c>
      <c r="F271" t="s">
        <v>764</v>
      </c>
      <c r="G271" t="s">
        <v>765</v>
      </c>
      <c r="H271" s="2">
        <v>0.875</v>
      </c>
      <c r="I271" t="s">
        <v>766</v>
      </c>
      <c r="J271" s="1">
        <v>0.47099999999999997</v>
      </c>
      <c r="K271">
        <v>112.5</v>
      </c>
      <c r="L271">
        <v>7</v>
      </c>
      <c r="M271">
        <v>3.5</v>
      </c>
      <c r="N271">
        <v>4.05</v>
      </c>
      <c r="Q271" s="3">
        <v>0.52569444444444446</v>
      </c>
      <c r="R271">
        <v>7.8</v>
      </c>
      <c r="S271">
        <v>15.18</v>
      </c>
      <c r="T271">
        <v>0</v>
      </c>
      <c r="U271">
        <v>0</v>
      </c>
      <c r="V271">
        <v>0</v>
      </c>
      <c r="W271">
        <v>100</v>
      </c>
      <c r="Y271">
        <v>3</v>
      </c>
      <c r="Z271">
        <v>0</v>
      </c>
      <c r="AA271">
        <v>0</v>
      </c>
    </row>
    <row r="272" spans="1:30" x14ac:dyDescent="0.2">
      <c r="A272" t="s">
        <v>965</v>
      </c>
      <c r="C272">
        <v>0</v>
      </c>
      <c r="D272" t="s">
        <v>17</v>
      </c>
      <c r="E272">
        <v>2500</v>
      </c>
      <c r="F272" t="s">
        <v>491</v>
      </c>
      <c r="G272" t="s">
        <v>773</v>
      </c>
      <c r="H272" s="2">
        <v>0.79166666666666663</v>
      </c>
      <c r="I272" t="s">
        <v>766</v>
      </c>
      <c r="J272" s="1">
        <v>0.49299999999999999</v>
      </c>
      <c r="K272">
        <v>103</v>
      </c>
      <c r="L272">
        <v>6.5</v>
      </c>
      <c r="M272">
        <v>3.25</v>
      </c>
      <c r="N272">
        <v>3.71</v>
      </c>
      <c r="Q272" s="3">
        <v>0.75486111111111109</v>
      </c>
      <c r="R272">
        <v>3.2</v>
      </c>
      <c r="S272">
        <v>1.37</v>
      </c>
      <c r="T272">
        <v>0</v>
      </c>
      <c r="U272">
        <v>0</v>
      </c>
      <c r="V272">
        <v>0</v>
      </c>
      <c r="W272">
        <v>100</v>
      </c>
      <c r="Y272">
        <v>79</v>
      </c>
      <c r="Z272">
        <v>0</v>
      </c>
      <c r="AA272">
        <v>0</v>
      </c>
    </row>
    <row r="273" spans="1:30" x14ac:dyDescent="0.2">
      <c r="A273" t="s">
        <v>515</v>
      </c>
      <c r="C273">
        <v>0</v>
      </c>
      <c r="D273" t="s">
        <v>10</v>
      </c>
      <c r="E273">
        <v>3500</v>
      </c>
      <c r="F273" t="s">
        <v>500</v>
      </c>
      <c r="G273" t="s">
        <v>785</v>
      </c>
      <c r="H273" s="2">
        <v>0.8125</v>
      </c>
      <c r="I273" t="s">
        <v>766</v>
      </c>
      <c r="J273" s="1">
        <v>0.56000000000000005</v>
      </c>
      <c r="K273">
        <v>78.5</v>
      </c>
      <c r="L273">
        <v>6.5</v>
      </c>
      <c r="M273">
        <v>3.25</v>
      </c>
      <c r="N273">
        <v>3.43</v>
      </c>
      <c r="O273">
        <v>3</v>
      </c>
      <c r="P273">
        <v>2</v>
      </c>
      <c r="Q273" s="3">
        <v>0.53125</v>
      </c>
      <c r="R273">
        <v>6.8</v>
      </c>
      <c r="S273">
        <v>7.75</v>
      </c>
      <c r="T273">
        <v>23.3</v>
      </c>
      <c r="U273">
        <v>7.8</v>
      </c>
      <c r="V273">
        <v>7.8</v>
      </c>
      <c r="W273">
        <v>100</v>
      </c>
      <c r="Y273">
        <v>43</v>
      </c>
      <c r="Z273">
        <v>2.2000000000000002</v>
      </c>
      <c r="AA273">
        <v>0</v>
      </c>
      <c r="AB273" s="3">
        <v>0.36666666666666664</v>
      </c>
      <c r="AC273">
        <v>0</v>
      </c>
    </row>
    <row r="274" spans="1:30" x14ac:dyDescent="0.2">
      <c r="A274" t="s">
        <v>51</v>
      </c>
      <c r="C274">
        <v>0</v>
      </c>
      <c r="D274" t="s">
        <v>17</v>
      </c>
      <c r="E274">
        <v>7500</v>
      </c>
      <c r="F274" t="s">
        <v>480</v>
      </c>
      <c r="G274" t="s">
        <v>761</v>
      </c>
      <c r="H274" s="2">
        <v>0.875</v>
      </c>
      <c r="I274" t="s">
        <v>762</v>
      </c>
      <c r="J274" s="1">
        <v>0.52900000000000003</v>
      </c>
      <c r="K274">
        <v>-112.5</v>
      </c>
      <c r="L274">
        <v>7</v>
      </c>
      <c r="M274">
        <v>4.05</v>
      </c>
      <c r="N274">
        <v>3.5</v>
      </c>
      <c r="O274">
        <v>1</v>
      </c>
      <c r="P274">
        <v>1</v>
      </c>
      <c r="Q274" s="4">
        <v>1.0222222222222221</v>
      </c>
      <c r="R274">
        <v>13</v>
      </c>
      <c r="S274">
        <v>9.92</v>
      </c>
      <c r="T274">
        <v>41.44</v>
      </c>
      <c r="U274">
        <v>21.6</v>
      </c>
      <c r="V274">
        <v>21.6</v>
      </c>
      <c r="W274">
        <v>100</v>
      </c>
      <c r="Y274">
        <v>62</v>
      </c>
      <c r="Z274">
        <v>2.9</v>
      </c>
      <c r="AA274">
        <v>0</v>
      </c>
      <c r="AB274" s="4">
        <v>1.0458333333333334</v>
      </c>
      <c r="AC274">
        <v>32</v>
      </c>
      <c r="AD274">
        <v>4.3</v>
      </c>
    </row>
    <row r="275" spans="1:30" x14ac:dyDescent="0.2">
      <c r="A275" t="s">
        <v>109</v>
      </c>
      <c r="C275">
        <v>0</v>
      </c>
      <c r="D275" t="s">
        <v>5</v>
      </c>
      <c r="E275">
        <v>3600</v>
      </c>
      <c r="F275" t="s">
        <v>493</v>
      </c>
      <c r="G275" t="s">
        <v>789</v>
      </c>
      <c r="H275" s="2">
        <v>0.83333333333333337</v>
      </c>
      <c r="I275" t="s">
        <v>762</v>
      </c>
      <c r="J275" s="1">
        <v>0.48699999999999999</v>
      </c>
      <c r="K275">
        <v>-95</v>
      </c>
      <c r="L275">
        <v>5.5</v>
      </c>
      <c r="M275">
        <v>2.75</v>
      </c>
      <c r="N275">
        <v>2.54</v>
      </c>
      <c r="O275">
        <v>1</v>
      </c>
      <c r="P275">
        <v>2</v>
      </c>
      <c r="Q275" s="3">
        <v>0.71388888888888891</v>
      </c>
      <c r="R275">
        <v>7.6</v>
      </c>
      <c r="S275">
        <v>7.67</v>
      </c>
      <c r="T275">
        <v>21.74</v>
      </c>
      <c r="U275">
        <v>6.4</v>
      </c>
      <c r="V275">
        <v>6.4</v>
      </c>
      <c r="W275">
        <v>100</v>
      </c>
      <c r="Y275">
        <v>50</v>
      </c>
      <c r="Z275">
        <v>1.8</v>
      </c>
      <c r="AA275">
        <v>0</v>
      </c>
      <c r="AB275" s="3">
        <v>0.77847222222222223</v>
      </c>
      <c r="AC275">
        <v>1.5</v>
      </c>
      <c r="AD275">
        <v>0.4</v>
      </c>
    </row>
    <row r="276" spans="1:30" x14ac:dyDescent="0.2">
      <c r="A276" t="s">
        <v>149</v>
      </c>
      <c r="C276">
        <v>0</v>
      </c>
      <c r="D276" t="s">
        <v>10</v>
      </c>
      <c r="E276">
        <v>4600</v>
      </c>
      <c r="F276" t="s">
        <v>510</v>
      </c>
      <c r="G276" t="s">
        <v>802</v>
      </c>
      <c r="H276" s="2">
        <v>0.91666666666666663</v>
      </c>
      <c r="I276" t="s">
        <v>766</v>
      </c>
      <c r="J276" s="1">
        <v>0.51200000000000001</v>
      </c>
      <c r="K276">
        <v>95.5</v>
      </c>
      <c r="L276">
        <v>6.5</v>
      </c>
      <c r="M276">
        <v>3.01</v>
      </c>
      <c r="N276">
        <v>3.25</v>
      </c>
      <c r="O276">
        <v>1</v>
      </c>
      <c r="P276">
        <v>2</v>
      </c>
      <c r="Q276" s="3">
        <v>0.69722222222222219</v>
      </c>
      <c r="R276">
        <v>7</v>
      </c>
      <c r="S276">
        <v>5.68</v>
      </c>
      <c r="T276">
        <v>18.239999999999998</v>
      </c>
      <c r="U276">
        <v>6.88</v>
      </c>
      <c r="V276">
        <v>6.88</v>
      </c>
      <c r="W276">
        <v>100</v>
      </c>
      <c r="Y276">
        <v>59</v>
      </c>
      <c r="Z276">
        <v>1.5</v>
      </c>
      <c r="AA276">
        <v>0</v>
      </c>
      <c r="AB276" s="3">
        <v>0.66319444444444442</v>
      </c>
      <c r="AC276">
        <v>5.8</v>
      </c>
      <c r="AD276">
        <v>1.3</v>
      </c>
    </row>
    <row r="277" spans="1:30" x14ac:dyDescent="0.2">
      <c r="A277" t="s">
        <v>27</v>
      </c>
      <c r="C277">
        <v>0</v>
      </c>
      <c r="D277" t="s">
        <v>10</v>
      </c>
      <c r="E277">
        <v>5600</v>
      </c>
      <c r="F277" t="s">
        <v>499</v>
      </c>
      <c r="G277" t="s">
        <v>775</v>
      </c>
      <c r="H277" s="2">
        <v>0.79166666666666663</v>
      </c>
      <c r="I277" t="s">
        <v>762</v>
      </c>
      <c r="J277" s="1">
        <v>0.50700000000000001</v>
      </c>
      <c r="K277">
        <v>-103</v>
      </c>
      <c r="L277">
        <v>6.5</v>
      </c>
      <c r="M277">
        <v>3.71</v>
      </c>
      <c r="N277">
        <v>3.25</v>
      </c>
      <c r="O277">
        <v>2</v>
      </c>
      <c r="P277">
        <v>1</v>
      </c>
      <c r="Q277" s="3">
        <v>0.73402777777777772</v>
      </c>
      <c r="R277">
        <v>11.9</v>
      </c>
      <c r="S277">
        <v>7.01</v>
      </c>
      <c r="T277">
        <v>30.09</v>
      </c>
      <c r="U277">
        <v>16.07</v>
      </c>
      <c r="V277">
        <v>16.07</v>
      </c>
      <c r="W277">
        <v>100</v>
      </c>
      <c r="Y277">
        <v>71</v>
      </c>
      <c r="Z277">
        <v>2.9</v>
      </c>
      <c r="AA277">
        <v>0</v>
      </c>
      <c r="AB277" s="3">
        <v>0.70694444444444449</v>
      </c>
      <c r="AC277">
        <v>8</v>
      </c>
      <c r="AD277">
        <v>1.4</v>
      </c>
    </row>
    <row r="278" spans="1:30" x14ac:dyDescent="0.2">
      <c r="A278" t="s">
        <v>238</v>
      </c>
      <c r="C278">
        <v>0</v>
      </c>
      <c r="D278" t="s">
        <v>10</v>
      </c>
      <c r="E278">
        <v>2700</v>
      </c>
      <c r="F278" t="s">
        <v>777</v>
      </c>
      <c r="G278" t="s">
        <v>778</v>
      </c>
      <c r="H278" s="2">
        <v>0.79166666666666663</v>
      </c>
      <c r="I278" t="s">
        <v>762</v>
      </c>
      <c r="J278" s="1">
        <v>0.46400000000000002</v>
      </c>
      <c r="K278">
        <v>-86.5</v>
      </c>
      <c r="L278">
        <v>6</v>
      </c>
      <c r="M278">
        <v>3.19</v>
      </c>
      <c r="N278">
        <v>3</v>
      </c>
      <c r="O278">
        <v>1</v>
      </c>
      <c r="P278">
        <v>2</v>
      </c>
      <c r="Q278" s="3">
        <v>0.44027777777777777</v>
      </c>
      <c r="R278">
        <v>1.6</v>
      </c>
      <c r="S278">
        <v>1.53</v>
      </c>
      <c r="T278">
        <v>6.05</v>
      </c>
      <c r="U278">
        <v>2.99</v>
      </c>
      <c r="V278">
        <v>2.99</v>
      </c>
      <c r="W278">
        <v>100</v>
      </c>
      <c r="Y278">
        <v>52</v>
      </c>
      <c r="Z278">
        <v>1.1000000000000001</v>
      </c>
      <c r="AA278">
        <v>0</v>
      </c>
      <c r="AB278" s="3">
        <v>0.5493055555555556</v>
      </c>
      <c r="AC278">
        <v>1.5</v>
      </c>
      <c r="AD278">
        <v>0.6</v>
      </c>
    </row>
    <row r="279" spans="1:30" x14ac:dyDescent="0.2">
      <c r="A279" t="s">
        <v>653</v>
      </c>
      <c r="C279">
        <v>0</v>
      </c>
      <c r="D279" t="s">
        <v>5</v>
      </c>
      <c r="E279">
        <v>2500</v>
      </c>
      <c r="F279" t="s">
        <v>506</v>
      </c>
      <c r="G279" t="s">
        <v>786</v>
      </c>
      <c r="H279" s="2">
        <v>0.79166666666666663</v>
      </c>
      <c r="I279" t="s">
        <v>766</v>
      </c>
      <c r="J279" s="1">
        <v>0.53600000000000003</v>
      </c>
      <c r="K279">
        <v>86.5</v>
      </c>
      <c r="L279">
        <v>6</v>
      </c>
      <c r="M279">
        <v>3</v>
      </c>
      <c r="N279">
        <v>3.19</v>
      </c>
      <c r="Q279" s="3">
        <v>0.50555555555555554</v>
      </c>
      <c r="R279">
        <v>3.5</v>
      </c>
      <c r="S279">
        <v>3.29</v>
      </c>
      <c r="T279">
        <v>0</v>
      </c>
      <c r="U279">
        <v>0</v>
      </c>
      <c r="V279">
        <v>0</v>
      </c>
      <c r="W279">
        <v>100</v>
      </c>
      <c r="Y279">
        <v>53</v>
      </c>
      <c r="Z279">
        <v>0</v>
      </c>
      <c r="AA279">
        <v>0</v>
      </c>
    </row>
    <row r="280" spans="1:30" x14ac:dyDescent="0.2">
      <c r="A280" t="s">
        <v>219</v>
      </c>
      <c r="C280">
        <v>0</v>
      </c>
      <c r="D280" t="s">
        <v>5</v>
      </c>
      <c r="E280">
        <v>4500</v>
      </c>
      <c r="F280" t="s">
        <v>510</v>
      </c>
      <c r="G280" t="s">
        <v>802</v>
      </c>
      <c r="H280" s="2">
        <v>0.91666666666666663</v>
      </c>
      <c r="I280" t="s">
        <v>766</v>
      </c>
      <c r="J280" s="1">
        <v>0.51200000000000001</v>
      </c>
      <c r="K280">
        <v>95.5</v>
      </c>
      <c r="L280">
        <v>6.5</v>
      </c>
      <c r="M280">
        <v>3.01</v>
      </c>
      <c r="N280">
        <v>3.25</v>
      </c>
      <c r="O280">
        <v>4</v>
      </c>
      <c r="P280">
        <v>2</v>
      </c>
      <c r="Q280" s="3">
        <v>0.64444444444444449</v>
      </c>
      <c r="R280">
        <v>6.5</v>
      </c>
      <c r="S280">
        <v>8.34</v>
      </c>
      <c r="T280">
        <v>24.38</v>
      </c>
      <c r="U280">
        <v>7.7</v>
      </c>
      <c r="V280">
        <v>7.7</v>
      </c>
      <c r="W280">
        <v>100</v>
      </c>
      <c r="Y280">
        <v>36</v>
      </c>
      <c r="Z280">
        <v>1.7</v>
      </c>
      <c r="AA280">
        <v>0</v>
      </c>
      <c r="AB280" s="3">
        <v>0.62430555555555556</v>
      </c>
      <c r="AC280">
        <v>1.5</v>
      </c>
      <c r="AD280">
        <v>0.3</v>
      </c>
    </row>
    <row r="281" spans="1:30" x14ac:dyDescent="0.2">
      <c r="A281" t="s">
        <v>205</v>
      </c>
      <c r="C281">
        <v>0</v>
      </c>
      <c r="D281" t="s">
        <v>10</v>
      </c>
      <c r="E281">
        <v>7100</v>
      </c>
      <c r="F281" t="s">
        <v>506</v>
      </c>
      <c r="G281" t="s">
        <v>786</v>
      </c>
      <c r="H281" s="2">
        <v>0.79166666666666663</v>
      </c>
      <c r="I281" t="s">
        <v>766</v>
      </c>
      <c r="J281" s="1">
        <v>0.53600000000000003</v>
      </c>
      <c r="K281">
        <v>86.5</v>
      </c>
      <c r="L281">
        <v>6</v>
      </c>
      <c r="M281">
        <v>3</v>
      </c>
      <c r="N281">
        <v>3.19</v>
      </c>
      <c r="O281">
        <v>1</v>
      </c>
      <c r="P281">
        <v>1</v>
      </c>
      <c r="Q281" s="3">
        <v>0.78194444444444444</v>
      </c>
      <c r="R281">
        <v>10.7</v>
      </c>
      <c r="S281">
        <v>8.65</v>
      </c>
      <c r="T281">
        <v>29.45</v>
      </c>
      <c r="U281">
        <v>12.15</v>
      </c>
      <c r="V281">
        <v>12.15</v>
      </c>
      <c r="W281">
        <v>100</v>
      </c>
      <c r="Y281">
        <v>60</v>
      </c>
      <c r="Z281">
        <v>1.7</v>
      </c>
      <c r="AA281">
        <v>0</v>
      </c>
      <c r="AB281" s="3">
        <v>0.80972222222222223</v>
      </c>
      <c r="AC281">
        <v>15.8</v>
      </c>
      <c r="AD281">
        <v>2.2000000000000002</v>
      </c>
    </row>
    <row r="282" spans="1:30" x14ac:dyDescent="0.2">
      <c r="A282" t="s">
        <v>13</v>
      </c>
      <c r="C282">
        <v>0</v>
      </c>
      <c r="D282" t="s">
        <v>7</v>
      </c>
      <c r="E282">
        <v>8600</v>
      </c>
      <c r="F282" t="s">
        <v>487</v>
      </c>
      <c r="G282" t="s">
        <v>770</v>
      </c>
      <c r="H282" s="2">
        <v>0.83333333333333337</v>
      </c>
      <c r="I282" t="s">
        <v>762</v>
      </c>
      <c r="J282" s="1">
        <v>0.51300000000000001</v>
      </c>
      <c r="K282">
        <v>-105.5</v>
      </c>
      <c r="L282">
        <v>6</v>
      </c>
      <c r="M282">
        <v>3.46</v>
      </c>
      <c r="N282">
        <v>3</v>
      </c>
      <c r="O282" t="s">
        <v>780</v>
      </c>
      <c r="Q282" s="4">
        <v>2.4618055555555554</v>
      </c>
      <c r="R282">
        <v>12.9</v>
      </c>
      <c r="S282">
        <v>7.31</v>
      </c>
      <c r="T282">
        <v>27.91</v>
      </c>
      <c r="U282">
        <v>13.29</v>
      </c>
      <c r="V282">
        <v>13.29</v>
      </c>
      <c r="W282">
        <v>100</v>
      </c>
      <c r="Y282">
        <v>72</v>
      </c>
      <c r="Z282">
        <v>1.5</v>
      </c>
      <c r="AA282">
        <v>0</v>
      </c>
      <c r="AB282" s="4">
        <v>2.5</v>
      </c>
      <c r="AC282">
        <v>22.8</v>
      </c>
      <c r="AD282">
        <v>2.7</v>
      </c>
    </row>
    <row r="283" spans="1:30" x14ac:dyDescent="0.2">
      <c r="A283" t="s">
        <v>874</v>
      </c>
      <c r="C283">
        <v>0</v>
      </c>
      <c r="D283" t="s">
        <v>5</v>
      </c>
      <c r="E283">
        <v>4800</v>
      </c>
      <c r="F283" t="s">
        <v>499</v>
      </c>
      <c r="G283" t="s">
        <v>775</v>
      </c>
      <c r="H283" s="2">
        <v>0.79166666666666663</v>
      </c>
      <c r="I283" t="s">
        <v>762</v>
      </c>
      <c r="J283" s="1">
        <v>0.50700000000000001</v>
      </c>
      <c r="K283">
        <v>-103</v>
      </c>
      <c r="L283">
        <v>6.5</v>
      </c>
      <c r="M283">
        <v>3.71</v>
      </c>
      <c r="N283">
        <v>3.25</v>
      </c>
      <c r="Q283" s="3">
        <v>0.54791666666666672</v>
      </c>
      <c r="R283">
        <v>5.7</v>
      </c>
      <c r="S283">
        <v>4.8899999999999997</v>
      </c>
      <c r="T283">
        <v>0</v>
      </c>
      <c r="U283">
        <v>0</v>
      </c>
      <c r="V283">
        <v>0</v>
      </c>
      <c r="W283">
        <v>100</v>
      </c>
      <c r="Y283">
        <v>57</v>
      </c>
      <c r="Z283">
        <v>0</v>
      </c>
      <c r="AA283">
        <v>0</v>
      </c>
    </row>
    <row r="284" spans="1:30" x14ac:dyDescent="0.2">
      <c r="A284" t="s">
        <v>59</v>
      </c>
      <c r="C284">
        <v>0</v>
      </c>
      <c r="D284" t="s">
        <v>17</v>
      </c>
      <c r="E284">
        <v>4300</v>
      </c>
      <c r="F284" t="s">
        <v>510</v>
      </c>
      <c r="G284" t="s">
        <v>802</v>
      </c>
      <c r="H284" s="2">
        <v>0.91666666666666663</v>
      </c>
      <c r="I284" t="s">
        <v>766</v>
      </c>
      <c r="J284" s="1">
        <v>0.51200000000000001</v>
      </c>
      <c r="K284">
        <v>95.5</v>
      </c>
      <c r="L284">
        <v>6.5</v>
      </c>
      <c r="M284">
        <v>3.01</v>
      </c>
      <c r="N284">
        <v>3.25</v>
      </c>
      <c r="O284">
        <v>1</v>
      </c>
      <c r="P284">
        <v>1</v>
      </c>
      <c r="Q284" s="4">
        <v>1.0138888888888888</v>
      </c>
      <c r="R284">
        <v>7.5</v>
      </c>
      <c r="S284">
        <v>4.3</v>
      </c>
      <c r="T284">
        <v>16.690000000000001</v>
      </c>
      <c r="U284">
        <v>8.09</v>
      </c>
      <c r="V284">
        <v>8.09</v>
      </c>
      <c r="W284">
        <v>100</v>
      </c>
      <c r="Y284">
        <v>71</v>
      </c>
      <c r="Z284">
        <v>1.9</v>
      </c>
      <c r="AA284">
        <v>0</v>
      </c>
      <c r="AB284" s="4">
        <v>1.125</v>
      </c>
      <c r="AC284">
        <v>4.3</v>
      </c>
      <c r="AD284">
        <v>1</v>
      </c>
    </row>
    <row r="285" spans="1:30" x14ac:dyDescent="0.2">
      <c r="A285" t="s">
        <v>687</v>
      </c>
      <c r="C285">
        <v>0</v>
      </c>
      <c r="D285" t="s">
        <v>10</v>
      </c>
      <c r="E285">
        <v>2500</v>
      </c>
      <c r="F285" t="s">
        <v>497</v>
      </c>
      <c r="G285" t="s">
        <v>784</v>
      </c>
      <c r="H285" s="2">
        <v>0.79166666666666663</v>
      </c>
      <c r="I285" t="s">
        <v>766</v>
      </c>
      <c r="J285" s="1">
        <v>0.55100000000000005</v>
      </c>
      <c r="K285">
        <v>81.5</v>
      </c>
      <c r="L285">
        <v>6.5</v>
      </c>
      <c r="M285">
        <v>3.17</v>
      </c>
      <c r="N285">
        <v>3.25</v>
      </c>
      <c r="Q285" s="3">
        <v>0.41944444444444445</v>
      </c>
      <c r="R285">
        <v>2.9</v>
      </c>
      <c r="S285">
        <v>3.01</v>
      </c>
      <c r="T285">
        <v>0</v>
      </c>
      <c r="U285">
        <v>0</v>
      </c>
      <c r="V285">
        <v>0</v>
      </c>
      <c r="W285">
        <v>100</v>
      </c>
      <c r="Y285">
        <v>48</v>
      </c>
      <c r="Z285">
        <v>0</v>
      </c>
      <c r="AA285">
        <v>0</v>
      </c>
    </row>
    <row r="286" spans="1:30" x14ac:dyDescent="0.2">
      <c r="A286" t="s">
        <v>127</v>
      </c>
      <c r="C286">
        <v>0</v>
      </c>
      <c r="D286" t="s">
        <v>10</v>
      </c>
      <c r="E286">
        <v>3700</v>
      </c>
      <c r="F286" t="s">
        <v>491</v>
      </c>
      <c r="G286" t="s">
        <v>773</v>
      </c>
      <c r="H286" s="2">
        <v>0.79166666666666663</v>
      </c>
      <c r="I286" t="s">
        <v>766</v>
      </c>
      <c r="J286" s="1">
        <v>0.49299999999999999</v>
      </c>
      <c r="K286">
        <v>103</v>
      </c>
      <c r="L286">
        <v>6.5</v>
      </c>
      <c r="M286">
        <v>3.25</v>
      </c>
      <c r="N286">
        <v>3.71</v>
      </c>
      <c r="O286">
        <v>1</v>
      </c>
      <c r="P286">
        <v>2</v>
      </c>
      <c r="Q286" s="3">
        <v>0.76875000000000004</v>
      </c>
      <c r="R286">
        <v>7.9</v>
      </c>
      <c r="S286">
        <v>5.72</v>
      </c>
      <c r="T286">
        <v>20.11</v>
      </c>
      <c r="U286">
        <v>8.67</v>
      </c>
      <c r="V286">
        <v>8.67</v>
      </c>
      <c r="W286">
        <v>100</v>
      </c>
      <c r="Y286">
        <v>64</v>
      </c>
      <c r="Z286">
        <v>2.2999999999999998</v>
      </c>
      <c r="AA286">
        <v>0</v>
      </c>
      <c r="AB286" s="3">
        <v>0.73472222222222228</v>
      </c>
      <c r="AC286">
        <v>11.5</v>
      </c>
      <c r="AD286">
        <v>3.1</v>
      </c>
    </row>
    <row r="287" spans="1:30" x14ac:dyDescent="0.2">
      <c r="A287" t="s">
        <v>898</v>
      </c>
      <c r="C287">
        <v>0</v>
      </c>
      <c r="D287" t="s">
        <v>10</v>
      </c>
      <c r="E287">
        <v>3000</v>
      </c>
      <c r="F287" t="s">
        <v>489</v>
      </c>
      <c r="G287" t="s">
        <v>788</v>
      </c>
      <c r="H287" s="2">
        <v>0.91666666666666663</v>
      </c>
      <c r="I287" t="s">
        <v>762</v>
      </c>
      <c r="J287" s="1">
        <v>0.48799999999999999</v>
      </c>
      <c r="K287">
        <v>-95.5</v>
      </c>
      <c r="L287">
        <v>6.5</v>
      </c>
      <c r="M287">
        <v>3.25</v>
      </c>
      <c r="N287">
        <v>3.01</v>
      </c>
      <c r="Q287" s="3">
        <v>0.51875000000000004</v>
      </c>
      <c r="R287">
        <v>4.8</v>
      </c>
      <c r="S287">
        <v>4.24</v>
      </c>
      <c r="T287">
        <v>0</v>
      </c>
      <c r="U287">
        <v>0</v>
      </c>
      <c r="V287">
        <v>0</v>
      </c>
      <c r="W287">
        <v>100</v>
      </c>
      <c r="Y287">
        <v>56</v>
      </c>
      <c r="Z287">
        <v>0</v>
      </c>
      <c r="AA287">
        <v>0</v>
      </c>
    </row>
    <row r="288" spans="1:30" x14ac:dyDescent="0.2">
      <c r="A288" t="s">
        <v>30</v>
      </c>
      <c r="C288">
        <v>0</v>
      </c>
      <c r="D288" t="s">
        <v>5</v>
      </c>
      <c r="E288">
        <v>3000</v>
      </c>
      <c r="F288" t="s">
        <v>485</v>
      </c>
      <c r="G288" t="s">
        <v>767</v>
      </c>
      <c r="H288" s="2">
        <v>0.79166666666666663</v>
      </c>
      <c r="I288" t="s">
        <v>762</v>
      </c>
      <c r="J288" s="1">
        <v>0.48099999999999998</v>
      </c>
      <c r="K288">
        <v>-92.5</v>
      </c>
      <c r="L288">
        <v>6.5</v>
      </c>
      <c r="M288">
        <v>3.62</v>
      </c>
      <c r="N288">
        <v>3.25</v>
      </c>
      <c r="O288">
        <v>2</v>
      </c>
      <c r="P288">
        <v>2</v>
      </c>
      <c r="Q288" s="3">
        <v>0.61111111111111116</v>
      </c>
      <c r="R288">
        <v>6.2</v>
      </c>
      <c r="S288">
        <v>6.97</v>
      </c>
      <c r="T288">
        <v>23.81</v>
      </c>
      <c r="U288">
        <v>9.8699999999999992</v>
      </c>
      <c r="V288">
        <v>9.8699999999999992</v>
      </c>
      <c r="W288">
        <v>100</v>
      </c>
      <c r="Y288">
        <v>44</v>
      </c>
      <c r="Z288">
        <v>3.3</v>
      </c>
      <c r="AA288">
        <v>0</v>
      </c>
      <c r="AB288" s="3">
        <v>0.625</v>
      </c>
      <c r="AC288">
        <v>26</v>
      </c>
      <c r="AD288">
        <v>8.6999999999999993</v>
      </c>
    </row>
    <row r="289" spans="1:30" x14ac:dyDescent="0.2">
      <c r="A289" t="s">
        <v>350</v>
      </c>
      <c r="C289">
        <v>0</v>
      </c>
      <c r="D289" t="s">
        <v>5</v>
      </c>
      <c r="E289">
        <v>2900</v>
      </c>
      <c r="F289" t="s">
        <v>505</v>
      </c>
      <c r="G289" t="s">
        <v>793</v>
      </c>
      <c r="H289" s="2">
        <v>0.91666666666666663</v>
      </c>
      <c r="I289" t="s">
        <v>762</v>
      </c>
      <c r="J289" s="1">
        <v>0.41499999999999998</v>
      </c>
      <c r="K289">
        <v>-71</v>
      </c>
      <c r="L289">
        <v>6</v>
      </c>
      <c r="M289">
        <v>3.02</v>
      </c>
      <c r="N289">
        <v>3</v>
      </c>
      <c r="T289">
        <v>0</v>
      </c>
      <c r="U289">
        <v>0</v>
      </c>
      <c r="V289">
        <v>0</v>
      </c>
      <c r="W289">
        <v>100</v>
      </c>
      <c r="Y289">
        <v>0</v>
      </c>
      <c r="Z289">
        <v>0</v>
      </c>
      <c r="AA289">
        <v>0</v>
      </c>
    </row>
    <row r="290" spans="1:30" x14ac:dyDescent="0.2">
      <c r="A290" t="s">
        <v>822</v>
      </c>
      <c r="C290">
        <v>0</v>
      </c>
      <c r="D290" t="s">
        <v>7</v>
      </c>
      <c r="E290">
        <v>8200</v>
      </c>
      <c r="F290" t="s">
        <v>498</v>
      </c>
      <c r="G290" t="s">
        <v>779</v>
      </c>
      <c r="H290" s="2">
        <v>0.79166666666666663</v>
      </c>
      <c r="I290" t="s">
        <v>762</v>
      </c>
      <c r="J290" s="1">
        <v>0.50600000000000001</v>
      </c>
      <c r="K290">
        <v>-102.5</v>
      </c>
      <c r="L290">
        <v>6</v>
      </c>
      <c r="M290">
        <v>3.44</v>
      </c>
      <c r="N290">
        <v>3</v>
      </c>
      <c r="O290" t="s">
        <v>818</v>
      </c>
      <c r="Q290" s="4">
        <v>2.5062500000000001</v>
      </c>
      <c r="R290">
        <v>6.1</v>
      </c>
      <c r="S290">
        <v>7.72</v>
      </c>
      <c r="T290">
        <v>0</v>
      </c>
      <c r="U290">
        <v>0</v>
      </c>
      <c r="V290">
        <v>0</v>
      </c>
      <c r="W290">
        <v>100</v>
      </c>
      <c r="Y290">
        <v>37</v>
      </c>
      <c r="Z290">
        <v>0</v>
      </c>
      <c r="AA290">
        <v>0</v>
      </c>
      <c r="AB290" s="3">
        <v>0</v>
      </c>
      <c r="AC290">
        <v>0</v>
      </c>
    </row>
    <row r="291" spans="1:30" x14ac:dyDescent="0.2">
      <c r="A291" t="s">
        <v>291</v>
      </c>
      <c r="C291">
        <v>0</v>
      </c>
      <c r="D291" t="s">
        <v>10</v>
      </c>
      <c r="E291">
        <v>2800</v>
      </c>
      <c r="F291" t="s">
        <v>501</v>
      </c>
      <c r="G291" t="s">
        <v>783</v>
      </c>
      <c r="H291" s="2">
        <v>0.79166666666666663</v>
      </c>
      <c r="I291" t="s">
        <v>766</v>
      </c>
      <c r="J291" s="1">
        <v>0.52800000000000002</v>
      </c>
      <c r="K291">
        <v>89.5</v>
      </c>
      <c r="L291">
        <v>6</v>
      </c>
      <c r="M291">
        <v>2.82</v>
      </c>
      <c r="N291">
        <v>3</v>
      </c>
      <c r="Q291" s="3">
        <v>0.61388888888888893</v>
      </c>
      <c r="R291">
        <v>4.7</v>
      </c>
      <c r="S291">
        <v>4.5999999999999996</v>
      </c>
      <c r="T291">
        <v>0</v>
      </c>
      <c r="U291">
        <v>0</v>
      </c>
      <c r="V291">
        <v>0</v>
      </c>
      <c r="W291">
        <v>100</v>
      </c>
      <c r="Y291">
        <v>51</v>
      </c>
      <c r="Z291">
        <v>0</v>
      </c>
      <c r="AA291">
        <v>0</v>
      </c>
      <c r="AB291" s="3">
        <v>0.76527777777777772</v>
      </c>
      <c r="AC291">
        <v>10.5</v>
      </c>
      <c r="AD291">
        <v>3.8</v>
      </c>
    </row>
    <row r="292" spans="1:30" x14ac:dyDescent="0.2">
      <c r="A292" t="s">
        <v>869</v>
      </c>
      <c r="C292">
        <v>0</v>
      </c>
      <c r="D292" t="s">
        <v>10</v>
      </c>
      <c r="E292">
        <v>5200</v>
      </c>
      <c r="F292" t="s">
        <v>478</v>
      </c>
      <c r="G292" t="s">
        <v>763</v>
      </c>
      <c r="H292" s="2">
        <v>0.79166666666666663</v>
      </c>
      <c r="I292" t="s">
        <v>762</v>
      </c>
      <c r="J292" s="1">
        <v>0.44900000000000001</v>
      </c>
      <c r="K292">
        <v>-81.5</v>
      </c>
      <c r="L292">
        <v>6.5</v>
      </c>
      <c r="M292">
        <v>3.25</v>
      </c>
      <c r="N292">
        <v>3.17</v>
      </c>
      <c r="Q292" s="3">
        <v>0.66041666666666665</v>
      </c>
      <c r="R292">
        <v>7.6</v>
      </c>
      <c r="S292">
        <v>6.78</v>
      </c>
      <c r="T292">
        <v>0</v>
      </c>
      <c r="U292">
        <v>0</v>
      </c>
      <c r="V292">
        <v>0</v>
      </c>
      <c r="W292">
        <v>100</v>
      </c>
      <c r="Y292">
        <v>55</v>
      </c>
      <c r="Z292">
        <v>0</v>
      </c>
      <c r="AA292">
        <v>0</v>
      </c>
    </row>
    <row r="293" spans="1:30" x14ac:dyDescent="0.2">
      <c r="A293" t="s">
        <v>286</v>
      </c>
      <c r="C293">
        <v>0</v>
      </c>
      <c r="D293" t="s">
        <v>10</v>
      </c>
      <c r="E293">
        <v>4600</v>
      </c>
      <c r="F293" t="s">
        <v>496</v>
      </c>
      <c r="G293" t="s">
        <v>787</v>
      </c>
      <c r="H293" s="2">
        <v>0.79166666666666663</v>
      </c>
      <c r="I293" t="s">
        <v>766</v>
      </c>
      <c r="J293" s="1">
        <v>0.48199999999999998</v>
      </c>
      <c r="K293">
        <v>107.5</v>
      </c>
      <c r="L293">
        <v>5.5</v>
      </c>
      <c r="M293">
        <v>2.75</v>
      </c>
      <c r="N293">
        <v>3.2</v>
      </c>
      <c r="O293">
        <v>1</v>
      </c>
      <c r="P293">
        <v>1</v>
      </c>
      <c r="Q293" s="3">
        <v>0.77638888888888891</v>
      </c>
      <c r="R293">
        <v>9.3000000000000007</v>
      </c>
      <c r="S293">
        <v>7.8</v>
      </c>
      <c r="T293">
        <v>24.62</v>
      </c>
      <c r="U293">
        <v>9.02</v>
      </c>
      <c r="V293">
        <v>9.02</v>
      </c>
      <c r="W293">
        <v>100</v>
      </c>
      <c r="Y293">
        <v>58</v>
      </c>
      <c r="Z293">
        <v>2</v>
      </c>
      <c r="AA293">
        <v>0</v>
      </c>
      <c r="AB293" s="3">
        <v>0.83750000000000002</v>
      </c>
      <c r="AC293">
        <v>0</v>
      </c>
    </row>
    <row r="294" spans="1:30" x14ac:dyDescent="0.2">
      <c r="A294" t="s">
        <v>402</v>
      </c>
      <c r="C294">
        <v>0</v>
      </c>
      <c r="D294" t="s">
        <v>10</v>
      </c>
      <c r="E294">
        <v>2900</v>
      </c>
      <c r="F294" t="s">
        <v>768</v>
      </c>
      <c r="G294" t="s">
        <v>769</v>
      </c>
      <c r="H294" s="2">
        <v>0.79166666666666663</v>
      </c>
      <c r="I294" t="s">
        <v>762</v>
      </c>
      <c r="J294" s="1">
        <v>0.51800000000000002</v>
      </c>
      <c r="K294">
        <v>-107.5</v>
      </c>
      <c r="L294">
        <v>5.5</v>
      </c>
      <c r="M294">
        <v>3.2</v>
      </c>
      <c r="N294">
        <v>2.75</v>
      </c>
      <c r="O294">
        <v>2</v>
      </c>
      <c r="P294">
        <v>2</v>
      </c>
      <c r="Q294" s="3">
        <v>0.50624999999999998</v>
      </c>
      <c r="R294">
        <v>3.9</v>
      </c>
      <c r="S294">
        <v>4.55</v>
      </c>
      <c r="T294">
        <v>14.09</v>
      </c>
      <c r="U294">
        <v>4.99</v>
      </c>
      <c r="V294">
        <v>4.99</v>
      </c>
      <c r="W294">
        <v>100</v>
      </c>
      <c r="Y294">
        <v>42</v>
      </c>
      <c r="Z294">
        <v>1.7</v>
      </c>
      <c r="AA294">
        <v>0</v>
      </c>
      <c r="AB294" s="3">
        <v>0.44444444444444442</v>
      </c>
      <c r="AC294">
        <v>1.5</v>
      </c>
      <c r="AD294">
        <v>0.5</v>
      </c>
    </row>
    <row r="295" spans="1:30" x14ac:dyDescent="0.2">
      <c r="A295" t="s">
        <v>922</v>
      </c>
      <c r="C295">
        <v>0</v>
      </c>
      <c r="D295" t="s">
        <v>17</v>
      </c>
      <c r="E295">
        <v>2500</v>
      </c>
      <c r="F295" t="s">
        <v>497</v>
      </c>
      <c r="G295" t="s">
        <v>784</v>
      </c>
      <c r="H295" s="2">
        <v>0.79166666666666663</v>
      </c>
      <c r="I295" t="s">
        <v>766</v>
      </c>
      <c r="J295" s="1">
        <v>0.55100000000000005</v>
      </c>
      <c r="K295">
        <v>81.5</v>
      </c>
      <c r="L295">
        <v>6.5</v>
      </c>
      <c r="M295">
        <v>3.17</v>
      </c>
      <c r="N295">
        <v>3.25</v>
      </c>
      <c r="T295">
        <v>0</v>
      </c>
      <c r="U295">
        <v>0</v>
      </c>
      <c r="V295">
        <v>0</v>
      </c>
      <c r="W295">
        <v>100</v>
      </c>
      <c r="Y295">
        <v>0</v>
      </c>
      <c r="Z295">
        <v>0</v>
      </c>
      <c r="AA295">
        <v>0</v>
      </c>
    </row>
    <row r="296" spans="1:30" x14ac:dyDescent="0.2">
      <c r="A296" t="s">
        <v>722</v>
      </c>
      <c r="C296">
        <v>0</v>
      </c>
      <c r="D296" t="s">
        <v>10</v>
      </c>
      <c r="E296">
        <v>2500</v>
      </c>
      <c r="F296" t="s">
        <v>509</v>
      </c>
      <c r="G296" t="s">
        <v>791</v>
      </c>
      <c r="H296" s="2">
        <v>0.79166666666666663</v>
      </c>
      <c r="I296" t="s">
        <v>766</v>
      </c>
      <c r="J296" s="1">
        <v>0.51900000000000002</v>
      </c>
      <c r="K296">
        <v>92.5</v>
      </c>
      <c r="L296">
        <v>6.5</v>
      </c>
      <c r="M296">
        <v>3.25</v>
      </c>
      <c r="N296">
        <v>3.62</v>
      </c>
      <c r="O296">
        <v>4</v>
      </c>
      <c r="Q296" s="3">
        <v>0.42986111111111114</v>
      </c>
      <c r="R296">
        <v>2</v>
      </c>
      <c r="S296">
        <v>2.66</v>
      </c>
      <c r="T296">
        <v>8.02</v>
      </c>
      <c r="U296">
        <v>2.7</v>
      </c>
      <c r="V296">
        <v>2.7</v>
      </c>
      <c r="W296">
        <v>100</v>
      </c>
      <c r="Y296">
        <v>34</v>
      </c>
      <c r="Z296">
        <v>1.1000000000000001</v>
      </c>
      <c r="AA296">
        <v>0</v>
      </c>
      <c r="AB296" s="3">
        <v>0.53472222222222221</v>
      </c>
      <c r="AC296">
        <v>8.4</v>
      </c>
      <c r="AD296">
        <v>3.4</v>
      </c>
    </row>
    <row r="297" spans="1:30" x14ac:dyDescent="0.2">
      <c r="A297" t="s">
        <v>438</v>
      </c>
      <c r="C297">
        <v>0</v>
      </c>
      <c r="D297" t="s">
        <v>10</v>
      </c>
      <c r="E297">
        <v>2600</v>
      </c>
      <c r="F297" t="s">
        <v>478</v>
      </c>
      <c r="G297" t="s">
        <v>763</v>
      </c>
      <c r="H297" s="2">
        <v>0.79166666666666663</v>
      </c>
      <c r="I297" t="s">
        <v>762</v>
      </c>
      <c r="J297" s="1">
        <v>0.44900000000000001</v>
      </c>
      <c r="K297">
        <v>-81.5</v>
      </c>
      <c r="L297">
        <v>6.5</v>
      </c>
      <c r="M297">
        <v>3.25</v>
      </c>
      <c r="N297">
        <v>3.17</v>
      </c>
      <c r="O297">
        <v>4</v>
      </c>
      <c r="Q297" s="3">
        <v>0.43541666666666667</v>
      </c>
      <c r="R297">
        <v>4.0999999999999996</v>
      </c>
      <c r="S297">
        <v>4.99</v>
      </c>
      <c r="T297">
        <v>15.36</v>
      </c>
      <c r="U297">
        <v>5.38</v>
      </c>
      <c r="V297">
        <v>5.38</v>
      </c>
      <c r="W297">
        <v>100</v>
      </c>
      <c r="Y297">
        <v>39</v>
      </c>
      <c r="Z297">
        <v>2.1</v>
      </c>
      <c r="AA297">
        <v>0</v>
      </c>
      <c r="AB297" s="3">
        <v>0.48402777777777778</v>
      </c>
      <c r="AC297">
        <v>1.5</v>
      </c>
      <c r="AD297">
        <v>0.6</v>
      </c>
    </row>
    <row r="298" spans="1:30" x14ac:dyDescent="0.2">
      <c r="A298" t="s">
        <v>1013</v>
      </c>
      <c r="C298">
        <v>0</v>
      </c>
      <c r="D298" t="s">
        <v>17</v>
      </c>
      <c r="E298">
        <v>2500</v>
      </c>
      <c r="F298" t="s">
        <v>510</v>
      </c>
      <c r="G298" t="s">
        <v>802</v>
      </c>
      <c r="H298" s="2">
        <v>0.91666666666666663</v>
      </c>
      <c r="I298" t="s">
        <v>766</v>
      </c>
      <c r="J298" s="1">
        <v>0.51200000000000001</v>
      </c>
      <c r="K298">
        <v>95.5</v>
      </c>
      <c r="L298">
        <v>6.5</v>
      </c>
      <c r="M298">
        <v>3.01</v>
      </c>
      <c r="N298">
        <v>3.25</v>
      </c>
      <c r="T298">
        <v>0</v>
      </c>
      <c r="U298">
        <v>0</v>
      </c>
      <c r="V298">
        <v>0</v>
      </c>
      <c r="W298">
        <v>100</v>
      </c>
      <c r="Y298">
        <v>0</v>
      </c>
      <c r="Z298">
        <v>0</v>
      </c>
      <c r="AA298">
        <v>0</v>
      </c>
    </row>
    <row r="299" spans="1:30" x14ac:dyDescent="0.2">
      <c r="A299" t="s">
        <v>270</v>
      </c>
      <c r="C299">
        <v>0</v>
      </c>
      <c r="D299" t="s">
        <v>17</v>
      </c>
      <c r="E299">
        <v>3500</v>
      </c>
      <c r="F299" t="s">
        <v>493</v>
      </c>
      <c r="G299" t="s">
        <v>789</v>
      </c>
      <c r="H299" s="2">
        <v>0.83333333333333337</v>
      </c>
      <c r="I299" t="s">
        <v>762</v>
      </c>
      <c r="J299" s="1">
        <v>0.48699999999999999</v>
      </c>
      <c r="K299">
        <v>-95</v>
      </c>
      <c r="L299">
        <v>5.5</v>
      </c>
      <c r="M299">
        <v>2.75</v>
      </c>
      <c r="N299">
        <v>2.54</v>
      </c>
      <c r="O299">
        <v>1</v>
      </c>
      <c r="P299">
        <v>2</v>
      </c>
      <c r="Q299" s="3">
        <v>0.93402777777777779</v>
      </c>
      <c r="R299">
        <v>5.4</v>
      </c>
      <c r="S299">
        <v>4.2699999999999996</v>
      </c>
      <c r="T299">
        <v>13.2</v>
      </c>
      <c r="U299">
        <v>4.66</v>
      </c>
      <c r="V299">
        <v>4.66</v>
      </c>
      <c r="W299">
        <v>100</v>
      </c>
      <c r="Y299">
        <v>60</v>
      </c>
      <c r="Z299">
        <v>1.3</v>
      </c>
      <c r="AA299">
        <v>0</v>
      </c>
      <c r="AB299" s="4">
        <v>1.1236111111111111</v>
      </c>
      <c r="AC299">
        <v>9.1</v>
      </c>
      <c r="AD299">
        <v>2.6</v>
      </c>
    </row>
    <row r="300" spans="1:30" x14ac:dyDescent="0.2">
      <c r="A300" t="s">
        <v>603</v>
      </c>
      <c r="C300">
        <v>0</v>
      </c>
      <c r="D300" t="s">
        <v>10</v>
      </c>
      <c r="E300">
        <v>2500</v>
      </c>
      <c r="F300" t="s">
        <v>496</v>
      </c>
      <c r="G300" t="s">
        <v>787</v>
      </c>
      <c r="H300" s="2">
        <v>0.79166666666666663</v>
      </c>
      <c r="I300" t="s">
        <v>766</v>
      </c>
      <c r="J300" s="1">
        <v>0.48199999999999998</v>
      </c>
      <c r="K300">
        <v>107.5</v>
      </c>
      <c r="L300">
        <v>5.5</v>
      </c>
      <c r="M300">
        <v>2.75</v>
      </c>
      <c r="N300">
        <v>3.2</v>
      </c>
      <c r="Q300" s="3">
        <v>0.53819444444444442</v>
      </c>
      <c r="R300">
        <v>4.2</v>
      </c>
      <c r="S300">
        <v>3.71</v>
      </c>
      <c r="T300">
        <v>0</v>
      </c>
      <c r="U300">
        <v>0</v>
      </c>
      <c r="V300">
        <v>0</v>
      </c>
      <c r="W300">
        <v>100</v>
      </c>
      <c r="Y300">
        <v>56</v>
      </c>
      <c r="Z300">
        <v>0</v>
      </c>
      <c r="AA300">
        <v>0</v>
      </c>
    </row>
    <row r="301" spans="1:30" x14ac:dyDescent="0.2">
      <c r="A301" t="s">
        <v>94</v>
      </c>
      <c r="C301">
        <v>0</v>
      </c>
      <c r="D301" t="s">
        <v>17</v>
      </c>
      <c r="E301">
        <v>3400</v>
      </c>
      <c r="F301" t="s">
        <v>485</v>
      </c>
      <c r="G301" t="s">
        <v>767</v>
      </c>
      <c r="H301" s="2">
        <v>0.79166666666666663</v>
      </c>
      <c r="I301" t="s">
        <v>762</v>
      </c>
      <c r="J301" s="1">
        <v>0.48099999999999998</v>
      </c>
      <c r="K301">
        <v>-92.5</v>
      </c>
      <c r="L301">
        <v>6.5</v>
      </c>
      <c r="M301">
        <v>3.62</v>
      </c>
      <c r="N301">
        <v>3.25</v>
      </c>
      <c r="O301">
        <v>2</v>
      </c>
      <c r="P301">
        <v>2</v>
      </c>
      <c r="Q301" s="3">
        <v>0.91736111111111107</v>
      </c>
      <c r="R301">
        <v>8.1</v>
      </c>
      <c r="S301">
        <v>5.94</v>
      </c>
      <c r="T301">
        <v>23.44</v>
      </c>
      <c r="U301">
        <v>11.56</v>
      </c>
      <c r="V301">
        <v>11.56</v>
      </c>
      <c r="W301">
        <v>100</v>
      </c>
      <c r="Y301">
        <v>63</v>
      </c>
      <c r="Z301">
        <v>3.4</v>
      </c>
      <c r="AA301">
        <v>0</v>
      </c>
      <c r="AB301" s="3">
        <v>0.83611111111111114</v>
      </c>
      <c r="AC301">
        <v>6.9</v>
      </c>
      <c r="AD301">
        <v>2</v>
      </c>
    </row>
    <row r="302" spans="1:30" x14ac:dyDescent="0.2">
      <c r="A302" t="s">
        <v>554</v>
      </c>
      <c r="C302">
        <v>0</v>
      </c>
      <c r="D302" t="s">
        <v>17</v>
      </c>
      <c r="E302">
        <v>2500</v>
      </c>
      <c r="F302" t="s">
        <v>499</v>
      </c>
      <c r="G302" t="s">
        <v>775</v>
      </c>
      <c r="H302" s="2">
        <v>0.79166666666666663</v>
      </c>
      <c r="I302" t="s">
        <v>762</v>
      </c>
      <c r="J302" s="1">
        <v>0.50700000000000001</v>
      </c>
      <c r="K302">
        <v>-103</v>
      </c>
      <c r="L302">
        <v>6.5</v>
      </c>
      <c r="M302">
        <v>3.71</v>
      </c>
      <c r="N302">
        <v>3.25</v>
      </c>
      <c r="Q302" s="3">
        <v>0.67847222222222225</v>
      </c>
      <c r="R302">
        <v>6</v>
      </c>
      <c r="S302">
        <v>5.12</v>
      </c>
      <c r="T302">
        <v>0</v>
      </c>
      <c r="U302">
        <v>0</v>
      </c>
      <c r="V302">
        <v>0</v>
      </c>
      <c r="W302">
        <v>100</v>
      </c>
      <c r="Y302">
        <v>57</v>
      </c>
      <c r="Z302">
        <v>0</v>
      </c>
      <c r="AA302">
        <v>0</v>
      </c>
    </row>
    <row r="303" spans="1:30" x14ac:dyDescent="0.2">
      <c r="A303" t="s">
        <v>934</v>
      </c>
      <c r="C303">
        <v>0</v>
      </c>
      <c r="D303" t="s">
        <v>17</v>
      </c>
      <c r="E303">
        <v>2500</v>
      </c>
      <c r="F303" t="s">
        <v>496</v>
      </c>
      <c r="G303" t="s">
        <v>787</v>
      </c>
      <c r="H303" s="2">
        <v>0.79166666666666663</v>
      </c>
      <c r="I303" t="s">
        <v>766</v>
      </c>
      <c r="J303" s="1">
        <v>0.48199999999999998</v>
      </c>
      <c r="K303">
        <v>107.5</v>
      </c>
      <c r="L303">
        <v>5.5</v>
      </c>
      <c r="M303">
        <v>2.75</v>
      </c>
      <c r="N303">
        <v>3.2</v>
      </c>
      <c r="Q303" s="3">
        <v>0.59722222222222221</v>
      </c>
      <c r="R303">
        <v>4.7</v>
      </c>
      <c r="S303">
        <v>5</v>
      </c>
      <c r="T303">
        <v>0</v>
      </c>
      <c r="U303">
        <v>0</v>
      </c>
      <c r="V303">
        <v>0</v>
      </c>
      <c r="W303">
        <v>100</v>
      </c>
      <c r="Y303">
        <v>47</v>
      </c>
      <c r="Z303">
        <v>0</v>
      </c>
      <c r="AA303">
        <v>0</v>
      </c>
    </row>
    <row r="304" spans="1:30" x14ac:dyDescent="0.2">
      <c r="A304" t="s">
        <v>411</v>
      </c>
      <c r="C304">
        <v>0</v>
      </c>
      <c r="D304" t="s">
        <v>5</v>
      </c>
      <c r="E304">
        <v>2500</v>
      </c>
      <c r="F304" t="s">
        <v>500</v>
      </c>
      <c r="G304" t="s">
        <v>785</v>
      </c>
      <c r="H304" s="2">
        <v>0.8125</v>
      </c>
      <c r="I304" t="s">
        <v>766</v>
      </c>
      <c r="J304" s="1">
        <v>0.56000000000000005</v>
      </c>
      <c r="K304">
        <v>78.5</v>
      </c>
      <c r="L304">
        <v>6.5</v>
      </c>
      <c r="M304">
        <v>3.25</v>
      </c>
      <c r="N304">
        <v>3.43</v>
      </c>
      <c r="O304">
        <v>4</v>
      </c>
      <c r="Q304" s="3">
        <v>0.36805555555555558</v>
      </c>
      <c r="R304">
        <v>2.4</v>
      </c>
      <c r="S304">
        <v>3.31</v>
      </c>
      <c r="T304">
        <v>9.19</v>
      </c>
      <c r="U304">
        <v>2.57</v>
      </c>
      <c r="V304">
        <v>2.57</v>
      </c>
      <c r="W304">
        <v>100</v>
      </c>
      <c r="Y304">
        <v>31</v>
      </c>
      <c r="Z304">
        <v>1</v>
      </c>
      <c r="AA304">
        <v>0</v>
      </c>
      <c r="AB304" s="3">
        <v>0.28333333333333333</v>
      </c>
      <c r="AC304">
        <v>1.3</v>
      </c>
      <c r="AD304">
        <v>0.5</v>
      </c>
    </row>
    <row r="305" spans="1:30" x14ac:dyDescent="0.2">
      <c r="A305" t="s">
        <v>432</v>
      </c>
      <c r="C305">
        <v>0</v>
      </c>
      <c r="D305" t="s">
        <v>17</v>
      </c>
      <c r="E305">
        <v>2500</v>
      </c>
      <c r="F305" t="s">
        <v>485</v>
      </c>
      <c r="G305" t="s">
        <v>767</v>
      </c>
      <c r="H305" s="2">
        <v>0.79166666666666663</v>
      </c>
      <c r="I305" t="s">
        <v>762</v>
      </c>
      <c r="J305" s="1">
        <v>0.48099999999999998</v>
      </c>
      <c r="K305">
        <v>-92.5</v>
      </c>
      <c r="L305">
        <v>6.5</v>
      </c>
      <c r="M305">
        <v>3.62</v>
      </c>
      <c r="N305">
        <v>3.25</v>
      </c>
      <c r="Q305" s="3">
        <v>0.75277777777777777</v>
      </c>
      <c r="R305">
        <v>3.9</v>
      </c>
      <c r="S305">
        <v>3.32</v>
      </c>
      <c r="T305">
        <v>0</v>
      </c>
      <c r="U305">
        <v>0</v>
      </c>
      <c r="V305">
        <v>0</v>
      </c>
      <c r="W305">
        <v>100</v>
      </c>
      <c r="Y305">
        <v>57</v>
      </c>
      <c r="Z305">
        <v>0</v>
      </c>
      <c r="AA305">
        <v>0</v>
      </c>
    </row>
    <row r="306" spans="1:30" x14ac:dyDescent="0.2">
      <c r="A306" t="s">
        <v>1030</v>
      </c>
      <c r="C306">
        <v>0</v>
      </c>
      <c r="D306" t="s">
        <v>17</v>
      </c>
      <c r="E306">
        <v>2500</v>
      </c>
      <c r="F306" t="s">
        <v>490</v>
      </c>
      <c r="G306" t="s">
        <v>771</v>
      </c>
      <c r="H306" s="2">
        <v>0.91666666666666663</v>
      </c>
      <c r="I306" t="s">
        <v>766</v>
      </c>
      <c r="J306" s="1">
        <v>0.58499999999999996</v>
      </c>
      <c r="K306">
        <v>71</v>
      </c>
      <c r="L306">
        <v>6</v>
      </c>
      <c r="M306">
        <v>3</v>
      </c>
      <c r="N306">
        <v>3.02</v>
      </c>
      <c r="Q306" s="3">
        <v>0.6430555555555556</v>
      </c>
      <c r="R306">
        <v>4.4000000000000004</v>
      </c>
      <c r="S306">
        <v>3.82</v>
      </c>
      <c r="T306">
        <v>0</v>
      </c>
      <c r="U306">
        <v>0</v>
      </c>
      <c r="V306">
        <v>0</v>
      </c>
      <c r="W306">
        <v>100</v>
      </c>
      <c r="Y306">
        <v>57</v>
      </c>
      <c r="Z306">
        <v>0</v>
      </c>
      <c r="AA306">
        <v>0</v>
      </c>
    </row>
    <row r="307" spans="1:30" x14ac:dyDescent="0.2">
      <c r="A307" t="s">
        <v>987</v>
      </c>
      <c r="C307">
        <v>0</v>
      </c>
      <c r="D307" t="s">
        <v>10</v>
      </c>
      <c r="E307">
        <v>2500</v>
      </c>
      <c r="F307" t="s">
        <v>504</v>
      </c>
      <c r="G307" t="s">
        <v>799</v>
      </c>
      <c r="H307" s="2">
        <v>0.83333333333333337</v>
      </c>
      <c r="I307" t="s">
        <v>766</v>
      </c>
      <c r="J307" s="1">
        <v>0.51300000000000001</v>
      </c>
      <c r="K307">
        <v>95</v>
      </c>
      <c r="L307">
        <v>5.5</v>
      </c>
      <c r="M307">
        <v>2.54</v>
      </c>
      <c r="N307">
        <v>2.75</v>
      </c>
      <c r="Q307" s="3">
        <v>0.45277777777777778</v>
      </c>
      <c r="R307">
        <v>7.4</v>
      </c>
      <c r="S307">
        <v>3.24</v>
      </c>
      <c r="T307">
        <v>0</v>
      </c>
      <c r="U307">
        <v>0</v>
      </c>
      <c r="V307">
        <v>0</v>
      </c>
      <c r="W307">
        <v>100</v>
      </c>
      <c r="Y307">
        <v>78</v>
      </c>
      <c r="Z307">
        <v>0</v>
      </c>
      <c r="AA307">
        <v>0</v>
      </c>
    </row>
    <row r="308" spans="1:30" x14ac:dyDescent="0.2">
      <c r="A308" t="s">
        <v>556</v>
      </c>
      <c r="C308">
        <v>0</v>
      </c>
      <c r="D308" t="s">
        <v>17</v>
      </c>
      <c r="E308">
        <v>2500</v>
      </c>
      <c r="F308" t="s">
        <v>502</v>
      </c>
      <c r="G308" t="s">
        <v>798</v>
      </c>
      <c r="H308" s="2">
        <v>0.83333333333333337</v>
      </c>
      <c r="I308" t="s">
        <v>766</v>
      </c>
      <c r="J308" s="1">
        <v>0.48699999999999999</v>
      </c>
      <c r="K308">
        <v>105.5</v>
      </c>
      <c r="L308">
        <v>6</v>
      </c>
      <c r="M308">
        <v>3</v>
      </c>
      <c r="N308">
        <v>3.46</v>
      </c>
      <c r="O308">
        <v>3</v>
      </c>
      <c r="P308">
        <v>2</v>
      </c>
      <c r="Q308" s="3">
        <v>0.57708333333333328</v>
      </c>
      <c r="R308">
        <v>2.9</v>
      </c>
      <c r="S308">
        <v>2.96</v>
      </c>
      <c r="T308">
        <v>9.74</v>
      </c>
      <c r="U308">
        <v>3.82</v>
      </c>
      <c r="V308">
        <v>3.82</v>
      </c>
      <c r="W308">
        <v>100</v>
      </c>
      <c r="Y308">
        <v>49</v>
      </c>
      <c r="Z308">
        <v>1.5</v>
      </c>
      <c r="AA308">
        <v>0</v>
      </c>
      <c r="AB308" s="3">
        <v>0.67708333333333337</v>
      </c>
      <c r="AC308">
        <v>1.3</v>
      </c>
      <c r="AD308">
        <v>0.5</v>
      </c>
    </row>
    <row r="309" spans="1:30" x14ac:dyDescent="0.2">
      <c r="A309" t="s">
        <v>719</v>
      </c>
      <c r="C309">
        <v>0</v>
      </c>
      <c r="D309" t="s">
        <v>5</v>
      </c>
      <c r="E309">
        <v>2500</v>
      </c>
      <c r="F309" t="s">
        <v>487</v>
      </c>
      <c r="G309" t="s">
        <v>770</v>
      </c>
      <c r="H309" s="2">
        <v>0.83333333333333337</v>
      </c>
      <c r="I309" t="s">
        <v>762</v>
      </c>
      <c r="J309" s="1">
        <v>0.51300000000000001</v>
      </c>
      <c r="K309">
        <v>-105.5</v>
      </c>
      <c r="L309">
        <v>6</v>
      </c>
      <c r="M309">
        <v>3.46</v>
      </c>
      <c r="N309">
        <v>3</v>
      </c>
      <c r="Q309" s="3">
        <v>0.40277777777777779</v>
      </c>
      <c r="R309">
        <v>1.5</v>
      </c>
      <c r="S309">
        <v>2.33</v>
      </c>
      <c r="T309">
        <v>0</v>
      </c>
      <c r="U309">
        <v>0</v>
      </c>
      <c r="V309">
        <v>0</v>
      </c>
      <c r="W309">
        <v>100</v>
      </c>
      <c r="Y309">
        <v>22</v>
      </c>
      <c r="Z309">
        <v>0</v>
      </c>
      <c r="AA309">
        <v>0</v>
      </c>
    </row>
    <row r="310" spans="1:30" x14ac:dyDescent="0.2">
      <c r="A310" t="s">
        <v>355</v>
      </c>
      <c r="C310">
        <v>0</v>
      </c>
      <c r="D310" t="s">
        <v>17</v>
      </c>
      <c r="E310">
        <v>2500</v>
      </c>
      <c r="F310" t="s">
        <v>507</v>
      </c>
      <c r="G310" t="s">
        <v>796</v>
      </c>
      <c r="H310" s="2">
        <v>0.79166666666666663</v>
      </c>
      <c r="I310" t="s">
        <v>766</v>
      </c>
      <c r="J310" s="1">
        <v>0.49399999999999999</v>
      </c>
      <c r="K310">
        <v>102.5</v>
      </c>
      <c r="L310">
        <v>6</v>
      </c>
      <c r="M310">
        <v>3</v>
      </c>
      <c r="N310">
        <v>3.44</v>
      </c>
      <c r="O310">
        <v>3</v>
      </c>
      <c r="Q310" s="3">
        <v>0.76458333333333328</v>
      </c>
      <c r="R310">
        <v>6</v>
      </c>
      <c r="S310">
        <v>4.62</v>
      </c>
      <c r="T310">
        <v>15.3</v>
      </c>
      <c r="U310">
        <v>6.06</v>
      </c>
      <c r="V310">
        <v>6.06</v>
      </c>
      <c r="W310">
        <v>100</v>
      </c>
      <c r="Y310">
        <v>62</v>
      </c>
      <c r="Z310">
        <v>2.4</v>
      </c>
      <c r="AA310">
        <v>0</v>
      </c>
      <c r="AB310" s="3">
        <v>0.74791666666666667</v>
      </c>
      <c r="AC310">
        <v>9.9</v>
      </c>
      <c r="AD310">
        <v>4</v>
      </c>
    </row>
    <row r="311" spans="1:30" x14ac:dyDescent="0.2">
      <c r="A311" t="s">
        <v>540</v>
      </c>
      <c r="C311">
        <v>0</v>
      </c>
      <c r="D311" t="s">
        <v>17</v>
      </c>
      <c r="E311">
        <v>2500</v>
      </c>
      <c r="F311" t="s">
        <v>489</v>
      </c>
      <c r="G311" t="s">
        <v>788</v>
      </c>
      <c r="H311" s="2">
        <v>0.91666666666666663</v>
      </c>
      <c r="I311" t="s">
        <v>762</v>
      </c>
      <c r="J311" s="1">
        <v>0.48799999999999999</v>
      </c>
      <c r="K311">
        <v>-95.5</v>
      </c>
      <c r="L311">
        <v>6.5</v>
      </c>
      <c r="M311">
        <v>3.25</v>
      </c>
      <c r="N311">
        <v>3.01</v>
      </c>
      <c r="O311">
        <v>4</v>
      </c>
      <c r="Q311" s="3">
        <v>0.59027777777777779</v>
      </c>
      <c r="R311">
        <v>5.4</v>
      </c>
      <c r="S311">
        <v>4.12</v>
      </c>
      <c r="T311">
        <v>15.57</v>
      </c>
      <c r="U311">
        <v>7.33</v>
      </c>
      <c r="V311">
        <v>7.33</v>
      </c>
      <c r="W311">
        <v>100</v>
      </c>
      <c r="Y311">
        <v>62</v>
      </c>
      <c r="Z311">
        <v>2.9</v>
      </c>
      <c r="AA311">
        <v>0</v>
      </c>
      <c r="AB311" s="3">
        <v>0.38194444444444442</v>
      </c>
      <c r="AC311">
        <v>1.5</v>
      </c>
      <c r="AD311">
        <v>0.6</v>
      </c>
    </row>
    <row r="312" spans="1:30" x14ac:dyDescent="0.2">
      <c r="A312" t="s">
        <v>322</v>
      </c>
      <c r="C312">
        <v>0</v>
      </c>
      <c r="D312" t="s">
        <v>10</v>
      </c>
      <c r="E312">
        <v>3000</v>
      </c>
      <c r="F312" t="s">
        <v>764</v>
      </c>
      <c r="G312" t="s">
        <v>765</v>
      </c>
      <c r="H312" s="2">
        <v>0.875</v>
      </c>
      <c r="I312" t="s">
        <v>766</v>
      </c>
      <c r="J312" s="1">
        <v>0.47099999999999997</v>
      </c>
      <c r="K312">
        <v>112.5</v>
      </c>
      <c r="L312">
        <v>7</v>
      </c>
      <c r="M312">
        <v>3.5</v>
      </c>
      <c r="N312">
        <v>4.05</v>
      </c>
      <c r="Q312" s="3">
        <v>0.65763888888888888</v>
      </c>
      <c r="R312">
        <v>7.6</v>
      </c>
      <c r="S312">
        <v>5.96</v>
      </c>
      <c r="T312">
        <v>0</v>
      </c>
      <c r="U312">
        <v>0</v>
      </c>
      <c r="V312">
        <v>0</v>
      </c>
      <c r="W312">
        <v>100</v>
      </c>
      <c r="Y312">
        <v>61</v>
      </c>
      <c r="Z312">
        <v>0</v>
      </c>
      <c r="AA312">
        <v>0</v>
      </c>
    </row>
    <row r="313" spans="1:30" x14ac:dyDescent="0.2">
      <c r="A313" t="s">
        <v>839</v>
      </c>
      <c r="C313">
        <v>0</v>
      </c>
      <c r="D313" t="s">
        <v>7</v>
      </c>
      <c r="E313">
        <v>7400</v>
      </c>
      <c r="F313" t="s">
        <v>501</v>
      </c>
      <c r="G313" t="s">
        <v>783</v>
      </c>
      <c r="H313" s="2">
        <v>0.79166666666666663</v>
      </c>
      <c r="I313" t="s">
        <v>766</v>
      </c>
      <c r="J313" s="1">
        <v>0.52800000000000002</v>
      </c>
      <c r="K313">
        <v>89.5</v>
      </c>
      <c r="L313">
        <v>6</v>
      </c>
      <c r="M313">
        <v>2.82</v>
      </c>
      <c r="N313">
        <v>3</v>
      </c>
      <c r="O313" t="s">
        <v>818</v>
      </c>
      <c r="Q313" s="4">
        <v>2.4534722222222221</v>
      </c>
      <c r="R313">
        <v>12.7</v>
      </c>
      <c r="S313">
        <v>8.94</v>
      </c>
      <c r="T313">
        <v>0</v>
      </c>
      <c r="U313">
        <v>0</v>
      </c>
      <c r="V313">
        <v>0</v>
      </c>
      <c r="W313">
        <v>100</v>
      </c>
      <c r="Y313">
        <v>65</v>
      </c>
      <c r="Z313">
        <v>0</v>
      </c>
      <c r="AA313">
        <v>0</v>
      </c>
    </row>
    <row r="314" spans="1:30" x14ac:dyDescent="0.2">
      <c r="A314" t="s">
        <v>1020</v>
      </c>
      <c r="C314">
        <v>0</v>
      </c>
      <c r="D314" t="s">
        <v>17</v>
      </c>
      <c r="E314">
        <v>2500</v>
      </c>
      <c r="F314" t="s">
        <v>488</v>
      </c>
      <c r="G314" t="s">
        <v>781</v>
      </c>
      <c r="H314" s="2">
        <v>0.91666666666666663</v>
      </c>
      <c r="I314" t="s">
        <v>766</v>
      </c>
      <c r="J314" s="1">
        <v>0.53500000000000003</v>
      </c>
      <c r="K314">
        <v>87</v>
      </c>
      <c r="L314">
        <v>6</v>
      </c>
      <c r="M314">
        <v>3</v>
      </c>
      <c r="N314">
        <v>3.14</v>
      </c>
      <c r="Q314" s="3">
        <v>0.67361111111111116</v>
      </c>
      <c r="R314">
        <v>4.8</v>
      </c>
      <c r="S314">
        <v>3.79</v>
      </c>
      <c r="T314">
        <v>0</v>
      </c>
      <c r="U314">
        <v>0</v>
      </c>
      <c r="V314">
        <v>0</v>
      </c>
      <c r="W314">
        <v>100</v>
      </c>
      <c r="Y314">
        <v>61</v>
      </c>
      <c r="Z314">
        <v>0</v>
      </c>
      <c r="AA314">
        <v>0</v>
      </c>
    </row>
    <row r="315" spans="1:30" x14ac:dyDescent="0.2">
      <c r="A315" t="s">
        <v>401</v>
      </c>
      <c r="C315">
        <v>0</v>
      </c>
      <c r="D315" t="s">
        <v>10</v>
      </c>
      <c r="E315">
        <v>3000</v>
      </c>
      <c r="F315" t="s">
        <v>491</v>
      </c>
      <c r="G315" t="s">
        <v>773</v>
      </c>
      <c r="H315" s="2">
        <v>0.79166666666666663</v>
      </c>
      <c r="I315" t="s">
        <v>766</v>
      </c>
      <c r="J315" s="1">
        <v>0.49299999999999999</v>
      </c>
      <c r="K315">
        <v>103</v>
      </c>
      <c r="L315">
        <v>6.5</v>
      </c>
      <c r="M315">
        <v>3.25</v>
      </c>
      <c r="N315">
        <v>3.71</v>
      </c>
      <c r="O315">
        <v>2</v>
      </c>
      <c r="Q315" s="3">
        <v>0.73541666666666672</v>
      </c>
      <c r="R315">
        <v>5.5</v>
      </c>
      <c r="S315">
        <v>6</v>
      </c>
      <c r="T315">
        <v>18.7</v>
      </c>
      <c r="U315">
        <v>6.7</v>
      </c>
      <c r="V315">
        <v>6.7</v>
      </c>
      <c r="W315">
        <v>100</v>
      </c>
      <c r="Y315">
        <v>45</v>
      </c>
      <c r="Z315">
        <v>2.2000000000000002</v>
      </c>
      <c r="AA315">
        <v>0</v>
      </c>
      <c r="AB315" s="3">
        <v>0.7729166666666667</v>
      </c>
      <c r="AC315">
        <v>2.8</v>
      </c>
      <c r="AD315">
        <v>0.9</v>
      </c>
    </row>
    <row r="316" spans="1:30" x14ac:dyDescent="0.2">
      <c r="A316" t="s">
        <v>552</v>
      </c>
      <c r="C316">
        <v>0</v>
      </c>
      <c r="D316" t="s">
        <v>17</v>
      </c>
      <c r="E316">
        <v>2500</v>
      </c>
      <c r="F316" t="s">
        <v>499</v>
      </c>
      <c r="G316" t="s">
        <v>775</v>
      </c>
      <c r="H316" s="2">
        <v>0.79166666666666663</v>
      </c>
      <c r="I316" t="s">
        <v>762</v>
      </c>
      <c r="J316" s="1">
        <v>0.50700000000000001</v>
      </c>
      <c r="K316">
        <v>-103</v>
      </c>
      <c r="L316">
        <v>6.5</v>
      </c>
      <c r="M316">
        <v>3.71</v>
      </c>
      <c r="N316">
        <v>3.25</v>
      </c>
      <c r="O316">
        <v>3</v>
      </c>
      <c r="Q316" s="3">
        <v>0.48125000000000001</v>
      </c>
      <c r="R316">
        <v>4.5999999999999996</v>
      </c>
      <c r="S316">
        <v>2.96</v>
      </c>
      <c r="T316">
        <v>12.46</v>
      </c>
      <c r="U316">
        <v>6.54</v>
      </c>
      <c r="V316">
        <v>6.54</v>
      </c>
      <c r="W316">
        <v>100</v>
      </c>
      <c r="Y316">
        <v>68</v>
      </c>
      <c r="Z316">
        <v>2.6</v>
      </c>
      <c r="AA316">
        <v>0</v>
      </c>
      <c r="AB316" s="3">
        <v>0.70208333333333328</v>
      </c>
      <c r="AC316">
        <v>6.3</v>
      </c>
      <c r="AD316">
        <v>2.5</v>
      </c>
    </row>
    <row r="317" spans="1:30" x14ac:dyDescent="0.2">
      <c r="A317" t="s">
        <v>6</v>
      </c>
      <c r="C317">
        <v>0</v>
      </c>
      <c r="D317" t="s">
        <v>7</v>
      </c>
      <c r="E317">
        <v>7800</v>
      </c>
      <c r="F317" t="s">
        <v>494</v>
      </c>
      <c r="G317" t="s">
        <v>782</v>
      </c>
      <c r="H317" s="2">
        <v>0.79166666666666663</v>
      </c>
      <c r="I317" t="s">
        <v>762</v>
      </c>
      <c r="J317" s="1">
        <v>0.47199999999999998</v>
      </c>
      <c r="K317">
        <v>-89.5</v>
      </c>
      <c r="L317">
        <v>6</v>
      </c>
      <c r="M317">
        <v>3</v>
      </c>
      <c r="N317">
        <v>2.82</v>
      </c>
      <c r="O317" t="s">
        <v>780</v>
      </c>
      <c r="Q317" s="4">
        <v>2.4888888888888889</v>
      </c>
      <c r="R317">
        <v>14.2</v>
      </c>
      <c r="S317">
        <v>12.32</v>
      </c>
      <c r="T317">
        <v>38.89</v>
      </c>
      <c r="U317">
        <v>14.25</v>
      </c>
      <c r="V317">
        <v>14.25</v>
      </c>
      <c r="W317">
        <v>100</v>
      </c>
      <c r="Y317">
        <v>57</v>
      </c>
      <c r="Z317">
        <v>1.8</v>
      </c>
      <c r="AA317">
        <v>0</v>
      </c>
      <c r="AB317" s="4">
        <v>2.5</v>
      </c>
      <c r="AC317">
        <v>16.5</v>
      </c>
      <c r="AD317">
        <v>2.1</v>
      </c>
    </row>
    <row r="318" spans="1:30" x14ac:dyDescent="0.2">
      <c r="A318" t="s">
        <v>460</v>
      </c>
      <c r="C318">
        <v>0</v>
      </c>
      <c r="D318" t="s">
        <v>10</v>
      </c>
      <c r="E318">
        <v>2500</v>
      </c>
      <c r="F318" t="s">
        <v>480</v>
      </c>
      <c r="G318" t="s">
        <v>761</v>
      </c>
      <c r="H318" s="2">
        <v>0.875</v>
      </c>
      <c r="I318" t="s">
        <v>762</v>
      </c>
      <c r="J318" s="1">
        <v>0.52900000000000003</v>
      </c>
      <c r="K318">
        <v>-112.5</v>
      </c>
      <c r="L318">
        <v>7</v>
      </c>
      <c r="M318">
        <v>4.05</v>
      </c>
      <c r="N318">
        <v>3.5</v>
      </c>
      <c r="Q318" s="3">
        <v>0.43888888888888888</v>
      </c>
      <c r="R318">
        <v>3.3</v>
      </c>
      <c r="S318">
        <v>3.01</v>
      </c>
      <c r="T318">
        <v>0</v>
      </c>
      <c r="U318">
        <v>0</v>
      </c>
      <c r="V318">
        <v>0</v>
      </c>
      <c r="W318">
        <v>100</v>
      </c>
      <c r="Y318">
        <v>54</v>
      </c>
      <c r="Z318">
        <v>0</v>
      </c>
      <c r="AA318">
        <v>0</v>
      </c>
    </row>
    <row r="319" spans="1:30" x14ac:dyDescent="0.2">
      <c r="A319" t="s">
        <v>936</v>
      </c>
      <c r="C319">
        <v>0</v>
      </c>
      <c r="D319" t="s">
        <v>17</v>
      </c>
      <c r="E319">
        <v>2500</v>
      </c>
      <c r="F319" t="s">
        <v>496</v>
      </c>
      <c r="G319" t="s">
        <v>787</v>
      </c>
      <c r="H319" s="2">
        <v>0.79166666666666663</v>
      </c>
      <c r="I319" t="s">
        <v>766</v>
      </c>
      <c r="J319" s="1">
        <v>0.48199999999999998</v>
      </c>
      <c r="K319">
        <v>107.5</v>
      </c>
      <c r="L319">
        <v>5.5</v>
      </c>
      <c r="M319">
        <v>2.75</v>
      </c>
      <c r="N319">
        <v>3.2</v>
      </c>
      <c r="Q319" s="3">
        <v>0.34097222222222223</v>
      </c>
      <c r="R319">
        <v>2.9</v>
      </c>
      <c r="S319">
        <v>1.4</v>
      </c>
      <c r="T319">
        <v>0</v>
      </c>
      <c r="U319">
        <v>0</v>
      </c>
      <c r="V319">
        <v>0</v>
      </c>
      <c r="W319">
        <v>100</v>
      </c>
      <c r="Y319">
        <v>0</v>
      </c>
      <c r="Z319">
        <v>0</v>
      </c>
      <c r="AA319">
        <v>0</v>
      </c>
    </row>
    <row r="320" spans="1:30" x14ac:dyDescent="0.2">
      <c r="A320" t="s">
        <v>950</v>
      </c>
      <c r="C320">
        <v>0</v>
      </c>
      <c r="D320" t="s">
        <v>17</v>
      </c>
      <c r="E320">
        <v>2500</v>
      </c>
      <c r="F320" t="s">
        <v>494</v>
      </c>
      <c r="G320" t="s">
        <v>782</v>
      </c>
      <c r="H320" s="2">
        <v>0.79166666666666663</v>
      </c>
      <c r="I320" t="s">
        <v>762</v>
      </c>
      <c r="J320" s="1">
        <v>0.47199999999999998</v>
      </c>
      <c r="K320">
        <v>-89.5</v>
      </c>
      <c r="L320">
        <v>6</v>
      </c>
      <c r="M320">
        <v>3</v>
      </c>
      <c r="N320">
        <v>2.82</v>
      </c>
      <c r="Q320" s="3">
        <v>0.55347222222222225</v>
      </c>
      <c r="R320">
        <v>3.2</v>
      </c>
      <c r="S320">
        <v>1.85</v>
      </c>
      <c r="T320">
        <v>0</v>
      </c>
      <c r="U320">
        <v>0</v>
      </c>
      <c r="V320">
        <v>0</v>
      </c>
      <c r="W320">
        <v>100</v>
      </c>
      <c r="Y320">
        <v>0</v>
      </c>
      <c r="Z320">
        <v>0</v>
      </c>
      <c r="AA320">
        <v>0</v>
      </c>
    </row>
    <row r="321" spans="1:30" x14ac:dyDescent="0.2">
      <c r="A321" t="s">
        <v>518</v>
      </c>
      <c r="C321">
        <v>0</v>
      </c>
      <c r="D321" t="s">
        <v>10</v>
      </c>
      <c r="E321">
        <v>2500</v>
      </c>
      <c r="F321" t="s">
        <v>486</v>
      </c>
      <c r="G321" t="s">
        <v>776</v>
      </c>
      <c r="H321" s="2">
        <v>0.79166666666666663</v>
      </c>
      <c r="I321" t="s">
        <v>762</v>
      </c>
      <c r="J321" s="1">
        <v>0.435</v>
      </c>
      <c r="K321">
        <v>-77</v>
      </c>
      <c r="L321">
        <v>5.5</v>
      </c>
      <c r="M321">
        <v>2.87</v>
      </c>
      <c r="N321">
        <v>2.75</v>
      </c>
      <c r="Q321" s="3">
        <v>0.57291666666666663</v>
      </c>
      <c r="R321">
        <v>6</v>
      </c>
      <c r="S321">
        <v>5.78</v>
      </c>
      <c r="T321">
        <v>0</v>
      </c>
      <c r="U321">
        <v>0</v>
      </c>
      <c r="V321">
        <v>0</v>
      </c>
      <c r="W321">
        <v>100</v>
      </c>
      <c r="Y321">
        <v>52</v>
      </c>
      <c r="Z321">
        <v>0</v>
      </c>
      <c r="AA321">
        <v>0</v>
      </c>
    </row>
    <row r="322" spans="1:30" x14ac:dyDescent="0.2">
      <c r="A322" t="s">
        <v>346</v>
      </c>
      <c r="C322">
        <v>0</v>
      </c>
      <c r="D322" t="s">
        <v>10</v>
      </c>
      <c r="E322">
        <v>3700</v>
      </c>
      <c r="F322" t="s">
        <v>483</v>
      </c>
      <c r="G322" t="s">
        <v>772</v>
      </c>
      <c r="H322" s="2">
        <v>0.91666666666666663</v>
      </c>
      <c r="I322" t="s">
        <v>762</v>
      </c>
      <c r="J322" s="1">
        <v>0.46500000000000002</v>
      </c>
      <c r="K322">
        <v>-87</v>
      </c>
      <c r="L322">
        <v>6</v>
      </c>
      <c r="M322">
        <v>3.14</v>
      </c>
      <c r="N322">
        <v>3</v>
      </c>
      <c r="O322">
        <v>3</v>
      </c>
      <c r="P322">
        <v>2</v>
      </c>
      <c r="Q322" s="3">
        <v>0.67152777777777772</v>
      </c>
      <c r="R322">
        <v>7</v>
      </c>
      <c r="S322">
        <v>5.88</v>
      </c>
      <c r="T322">
        <v>18.940000000000001</v>
      </c>
      <c r="U322">
        <v>7.18</v>
      </c>
      <c r="V322">
        <v>7.18</v>
      </c>
      <c r="W322">
        <v>100</v>
      </c>
      <c r="Y322">
        <v>58</v>
      </c>
      <c r="Z322">
        <v>1.9</v>
      </c>
      <c r="AA322">
        <v>0</v>
      </c>
      <c r="AB322" s="3">
        <v>0.79027777777777775</v>
      </c>
      <c r="AC322">
        <v>14.5</v>
      </c>
      <c r="AD322">
        <v>3.9</v>
      </c>
    </row>
    <row r="323" spans="1:30" x14ac:dyDescent="0.2">
      <c r="A323" t="s">
        <v>235</v>
      </c>
      <c r="C323">
        <v>0</v>
      </c>
      <c r="D323" t="s">
        <v>10</v>
      </c>
      <c r="E323">
        <v>4200</v>
      </c>
      <c r="F323" t="s">
        <v>497</v>
      </c>
      <c r="G323" t="s">
        <v>784</v>
      </c>
      <c r="H323" s="2">
        <v>0.79166666666666663</v>
      </c>
      <c r="I323" t="s">
        <v>766</v>
      </c>
      <c r="J323" s="1">
        <v>0.55100000000000005</v>
      </c>
      <c r="K323">
        <v>81.5</v>
      </c>
      <c r="L323">
        <v>6.5</v>
      </c>
      <c r="M323">
        <v>3.17</v>
      </c>
      <c r="N323">
        <v>3.25</v>
      </c>
      <c r="O323">
        <v>2</v>
      </c>
      <c r="P323">
        <v>1</v>
      </c>
      <c r="Q323" s="3">
        <v>0.64236111111111116</v>
      </c>
      <c r="R323">
        <v>7.5</v>
      </c>
      <c r="S323">
        <v>6.34</v>
      </c>
      <c r="T323">
        <v>22.02</v>
      </c>
      <c r="U323">
        <v>9.34</v>
      </c>
      <c r="V323">
        <v>9.34</v>
      </c>
      <c r="W323">
        <v>100</v>
      </c>
      <c r="Y323">
        <v>58</v>
      </c>
      <c r="Z323">
        <v>2.2000000000000002</v>
      </c>
      <c r="AA323">
        <v>0</v>
      </c>
      <c r="AB323" s="3">
        <v>0.62847222222222221</v>
      </c>
      <c r="AC323">
        <v>14.3</v>
      </c>
      <c r="AD323">
        <v>3.4</v>
      </c>
    </row>
    <row r="324" spans="1:30" x14ac:dyDescent="0.2">
      <c r="A324" t="s">
        <v>707</v>
      </c>
      <c r="C324">
        <v>0</v>
      </c>
      <c r="D324" t="s">
        <v>10</v>
      </c>
      <c r="E324">
        <v>2500</v>
      </c>
      <c r="F324" t="s">
        <v>478</v>
      </c>
      <c r="G324" t="s">
        <v>763</v>
      </c>
      <c r="H324" s="2">
        <v>0.79166666666666663</v>
      </c>
      <c r="I324" t="s">
        <v>762</v>
      </c>
      <c r="J324" s="1">
        <v>0.44900000000000001</v>
      </c>
      <c r="K324">
        <v>-81.5</v>
      </c>
      <c r="L324">
        <v>6.5</v>
      </c>
      <c r="M324">
        <v>3.25</v>
      </c>
      <c r="N324">
        <v>3.17</v>
      </c>
      <c r="Q324" s="3">
        <v>0.32222222222222224</v>
      </c>
      <c r="R324">
        <v>1.8</v>
      </c>
      <c r="S324">
        <v>2.74</v>
      </c>
      <c r="T324">
        <v>0</v>
      </c>
      <c r="U324">
        <v>0</v>
      </c>
      <c r="V324">
        <v>0</v>
      </c>
      <c r="W324">
        <v>100</v>
      </c>
      <c r="Y324">
        <v>24</v>
      </c>
      <c r="Z324">
        <v>0</v>
      </c>
      <c r="AA324">
        <v>0</v>
      </c>
    </row>
    <row r="325" spans="1:30" x14ac:dyDescent="0.2">
      <c r="A325" t="s">
        <v>981</v>
      </c>
      <c r="C325">
        <v>0</v>
      </c>
      <c r="D325" t="s">
        <v>10</v>
      </c>
      <c r="E325">
        <v>2500</v>
      </c>
      <c r="F325" t="s">
        <v>500</v>
      </c>
      <c r="G325" t="s">
        <v>785</v>
      </c>
      <c r="H325" s="2">
        <v>0.8125</v>
      </c>
      <c r="I325" t="s">
        <v>766</v>
      </c>
      <c r="J325" s="1">
        <v>0.56000000000000005</v>
      </c>
      <c r="K325">
        <v>78.5</v>
      </c>
      <c r="L325">
        <v>6.5</v>
      </c>
      <c r="M325">
        <v>3.25</v>
      </c>
      <c r="N325">
        <v>3.43</v>
      </c>
      <c r="Q325" s="3">
        <v>0.47222222222222221</v>
      </c>
      <c r="R325">
        <v>3.7</v>
      </c>
      <c r="S325">
        <v>1.31</v>
      </c>
      <c r="T325">
        <v>0</v>
      </c>
      <c r="U325">
        <v>0</v>
      </c>
      <c r="V325">
        <v>0</v>
      </c>
      <c r="W325">
        <v>100</v>
      </c>
      <c r="Y325">
        <v>82</v>
      </c>
      <c r="Z325">
        <v>0</v>
      </c>
      <c r="AA325">
        <v>0</v>
      </c>
    </row>
    <row r="326" spans="1:30" x14ac:dyDescent="0.2">
      <c r="A326" t="s">
        <v>147</v>
      </c>
      <c r="C326">
        <v>0</v>
      </c>
      <c r="D326" t="s">
        <v>17</v>
      </c>
      <c r="E326">
        <v>3200</v>
      </c>
      <c r="F326" t="s">
        <v>768</v>
      </c>
      <c r="G326" t="s">
        <v>769</v>
      </c>
      <c r="H326" s="2">
        <v>0.79166666666666663</v>
      </c>
      <c r="I326" t="s">
        <v>762</v>
      </c>
      <c r="J326" s="1">
        <v>0.51800000000000002</v>
      </c>
      <c r="K326">
        <v>-107.5</v>
      </c>
      <c r="L326">
        <v>5.5</v>
      </c>
      <c r="M326">
        <v>3.2</v>
      </c>
      <c r="N326">
        <v>2.75</v>
      </c>
      <c r="O326">
        <v>1</v>
      </c>
      <c r="P326">
        <v>2</v>
      </c>
      <c r="Q326" s="3">
        <v>0.91388888888888886</v>
      </c>
      <c r="R326">
        <v>6.2</v>
      </c>
      <c r="S326">
        <v>4.88</v>
      </c>
      <c r="T326">
        <v>17.559999999999999</v>
      </c>
      <c r="U326">
        <v>7.8</v>
      </c>
      <c r="V326">
        <v>7.8</v>
      </c>
      <c r="W326">
        <v>100</v>
      </c>
      <c r="Y326">
        <v>61</v>
      </c>
      <c r="Z326">
        <v>2.4</v>
      </c>
      <c r="AA326">
        <v>0</v>
      </c>
      <c r="AB326" s="3">
        <v>0.91527777777777775</v>
      </c>
      <c r="AC326">
        <v>9.5</v>
      </c>
      <c r="AD326">
        <v>3</v>
      </c>
    </row>
    <row r="327" spans="1:30" x14ac:dyDescent="0.2">
      <c r="A327" t="s">
        <v>393</v>
      </c>
      <c r="C327">
        <v>0</v>
      </c>
      <c r="D327" t="s">
        <v>5</v>
      </c>
      <c r="E327">
        <v>2600</v>
      </c>
      <c r="F327" t="s">
        <v>492</v>
      </c>
      <c r="G327" t="s">
        <v>774</v>
      </c>
      <c r="H327" s="2">
        <v>0.8125</v>
      </c>
      <c r="I327" t="s">
        <v>762</v>
      </c>
      <c r="J327" s="1">
        <v>0.44</v>
      </c>
      <c r="K327">
        <v>-78.5</v>
      </c>
      <c r="L327">
        <v>6.5</v>
      </c>
      <c r="M327">
        <v>3.43</v>
      </c>
      <c r="N327">
        <v>3.25</v>
      </c>
      <c r="O327">
        <v>3</v>
      </c>
      <c r="P327">
        <v>2</v>
      </c>
      <c r="Q327" s="3">
        <v>0.63263888888888886</v>
      </c>
      <c r="R327">
        <v>5</v>
      </c>
      <c r="S327">
        <v>5.59</v>
      </c>
      <c r="T327">
        <v>17.809999999999999</v>
      </c>
      <c r="U327">
        <v>6.63</v>
      </c>
      <c r="V327">
        <v>6.63</v>
      </c>
      <c r="W327">
        <v>100</v>
      </c>
      <c r="Y327">
        <v>44</v>
      </c>
      <c r="Z327">
        <v>2.6</v>
      </c>
      <c r="AA327">
        <v>0</v>
      </c>
      <c r="AB327" s="3">
        <v>0.62986111111111109</v>
      </c>
      <c r="AC327">
        <v>4.3</v>
      </c>
      <c r="AD327">
        <v>1.7</v>
      </c>
    </row>
    <row r="328" spans="1:30" x14ac:dyDescent="0.2">
      <c r="A328" t="s">
        <v>176</v>
      </c>
      <c r="C328">
        <v>0</v>
      </c>
      <c r="D328" t="s">
        <v>10</v>
      </c>
      <c r="E328">
        <v>5800</v>
      </c>
      <c r="F328" t="s">
        <v>501</v>
      </c>
      <c r="G328" t="s">
        <v>783</v>
      </c>
      <c r="H328" s="2">
        <v>0.79166666666666663</v>
      </c>
      <c r="I328" t="s">
        <v>766</v>
      </c>
      <c r="J328" s="1">
        <v>0.52800000000000002</v>
      </c>
      <c r="K328">
        <v>89.5</v>
      </c>
      <c r="L328">
        <v>6</v>
      </c>
      <c r="M328">
        <v>2.82</v>
      </c>
      <c r="N328">
        <v>3</v>
      </c>
      <c r="O328">
        <v>1</v>
      </c>
      <c r="P328">
        <v>1</v>
      </c>
      <c r="Q328" s="3">
        <v>0.85763888888888884</v>
      </c>
      <c r="R328">
        <v>9.1</v>
      </c>
      <c r="S328">
        <v>7.11</v>
      </c>
      <c r="T328">
        <v>24.03</v>
      </c>
      <c r="U328">
        <v>9.81</v>
      </c>
      <c r="V328">
        <v>9.81</v>
      </c>
      <c r="W328">
        <v>100</v>
      </c>
      <c r="Y328">
        <v>61</v>
      </c>
      <c r="Z328">
        <v>1.7</v>
      </c>
      <c r="AA328">
        <v>0</v>
      </c>
      <c r="AB328" s="3">
        <v>0.92222222222222228</v>
      </c>
      <c r="AC328">
        <v>9.3000000000000007</v>
      </c>
      <c r="AD328">
        <v>1.6</v>
      </c>
    </row>
    <row r="329" spans="1:30" x14ac:dyDescent="0.2">
      <c r="A329" t="s">
        <v>222</v>
      </c>
      <c r="C329">
        <v>0</v>
      </c>
      <c r="D329" t="s">
        <v>17</v>
      </c>
      <c r="E329">
        <v>2900</v>
      </c>
      <c r="F329" t="s">
        <v>498</v>
      </c>
      <c r="G329" t="s">
        <v>779</v>
      </c>
      <c r="H329" s="2">
        <v>0.79166666666666663</v>
      </c>
      <c r="I329" t="s">
        <v>762</v>
      </c>
      <c r="J329" s="1">
        <v>0.50600000000000001</v>
      </c>
      <c r="K329">
        <v>-102.5</v>
      </c>
      <c r="L329">
        <v>6</v>
      </c>
      <c r="M329">
        <v>3.44</v>
      </c>
      <c r="N329">
        <v>3</v>
      </c>
      <c r="O329">
        <v>1</v>
      </c>
      <c r="Q329" s="3">
        <v>0.81736111111111109</v>
      </c>
      <c r="R329">
        <v>5.3</v>
      </c>
      <c r="S329">
        <v>3.8</v>
      </c>
      <c r="T329">
        <v>17.170000000000002</v>
      </c>
      <c r="U329">
        <v>9.57</v>
      </c>
      <c r="V329">
        <v>9.57</v>
      </c>
      <c r="W329">
        <v>100</v>
      </c>
      <c r="Y329">
        <v>64</v>
      </c>
      <c r="Z329">
        <v>3.3</v>
      </c>
      <c r="AA329">
        <v>0</v>
      </c>
      <c r="AB329" s="3">
        <v>0.81111111111111112</v>
      </c>
      <c r="AC329">
        <v>9.1</v>
      </c>
      <c r="AD329">
        <v>3.1</v>
      </c>
    </row>
    <row r="330" spans="1:30" x14ac:dyDescent="0.2">
      <c r="A330" t="s">
        <v>583</v>
      </c>
      <c r="C330">
        <v>0</v>
      </c>
      <c r="D330" t="s">
        <v>17</v>
      </c>
      <c r="E330">
        <v>2500</v>
      </c>
      <c r="F330" t="s">
        <v>478</v>
      </c>
      <c r="G330" t="s">
        <v>763</v>
      </c>
      <c r="H330" s="2">
        <v>0.79166666666666663</v>
      </c>
      <c r="I330" t="s">
        <v>762</v>
      </c>
      <c r="J330" s="1">
        <v>0.44900000000000001</v>
      </c>
      <c r="K330">
        <v>-81.5</v>
      </c>
      <c r="L330">
        <v>6.5</v>
      </c>
      <c r="M330">
        <v>3.25</v>
      </c>
      <c r="N330">
        <v>3.17</v>
      </c>
      <c r="Q330" s="3">
        <v>0.53749999999999998</v>
      </c>
      <c r="R330">
        <v>2.4</v>
      </c>
      <c r="S330">
        <v>2.5099999999999998</v>
      </c>
      <c r="T330">
        <v>0</v>
      </c>
      <c r="U330">
        <v>0</v>
      </c>
      <c r="V330">
        <v>0</v>
      </c>
      <c r="W330">
        <v>100</v>
      </c>
      <c r="Y330">
        <v>48</v>
      </c>
      <c r="Z330">
        <v>0</v>
      </c>
      <c r="AA330">
        <v>0</v>
      </c>
    </row>
    <row r="331" spans="1:30" x14ac:dyDescent="0.2">
      <c r="A331" t="s">
        <v>701</v>
      </c>
      <c r="C331">
        <v>0</v>
      </c>
      <c r="D331" t="s">
        <v>10</v>
      </c>
      <c r="E331">
        <v>2500</v>
      </c>
      <c r="F331" t="s">
        <v>493</v>
      </c>
      <c r="G331" t="s">
        <v>789</v>
      </c>
      <c r="H331" s="2">
        <v>0.83333333333333337</v>
      </c>
      <c r="I331" t="s">
        <v>762</v>
      </c>
      <c r="J331" s="1">
        <v>0.48699999999999999</v>
      </c>
      <c r="K331">
        <v>-95</v>
      </c>
      <c r="L331">
        <v>5.5</v>
      </c>
      <c r="M331">
        <v>2.75</v>
      </c>
      <c r="N331">
        <v>2.54</v>
      </c>
      <c r="Q331" s="3">
        <v>0.35138888888888886</v>
      </c>
      <c r="R331">
        <v>1.5</v>
      </c>
      <c r="S331">
        <v>1.22</v>
      </c>
      <c r="T331">
        <v>0</v>
      </c>
      <c r="U331">
        <v>0</v>
      </c>
      <c r="V331">
        <v>0</v>
      </c>
      <c r="W331">
        <v>100</v>
      </c>
      <c r="Y331">
        <v>59</v>
      </c>
      <c r="Z331">
        <v>0</v>
      </c>
      <c r="AA331">
        <v>0</v>
      </c>
    </row>
    <row r="332" spans="1:30" x14ac:dyDescent="0.2">
      <c r="A332" t="s">
        <v>326</v>
      </c>
      <c r="C332">
        <v>0</v>
      </c>
      <c r="D332" t="s">
        <v>5</v>
      </c>
      <c r="E332">
        <v>3000</v>
      </c>
      <c r="F332" t="s">
        <v>478</v>
      </c>
      <c r="G332" t="s">
        <v>763</v>
      </c>
      <c r="H332" s="2">
        <v>0.79166666666666663</v>
      </c>
      <c r="I332" t="s">
        <v>762</v>
      </c>
      <c r="J332" s="1">
        <v>0.44900000000000001</v>
      </c>
      <c r="K332">
        <v>-81.5</v>
      </c>
      <c r="L332">
        <v>6.5</v>
      </c>
      <c r="M332">
        <v>3.25</v>
      </c>
      <c r="N332">
        <v>3.17</v>
      </c>
      <c r="O332">
        <v>3</v>
      </c>
      <c r="Q332" s="3">
        <v>0.61319444444444449</v>
      </c>
      <c r="R332">
        <v>5.0999999999999996</v>
      </c>
      <c r="S332">
        <v>4.74</v>
      </c>
      <c r="T332">
        <v>15</v>
      </c>
      <c r="U332">
        <v>5.52</v>
      </c>
      <c r="V332">
        <v>5.52</v>
      </c>
      <c r="W332">
        <v>100</v>
      </c>
      <c r="Y332">
        <v>54</v>
      </c>
      <c r="Z332">
        <v>1.8</v>
      </c>
      <c r="AA332">
        <v>0</v>
      </c>
      <c r="AB332" s="3">
        <v>0.59722222222222221</v>
      </c>
      <c r="AC332">
        <v>5</v>
      </c>
      <c r="AD332">
        <v>1.7</v>
      </c>
    </row>
    <row r="333" spans="1:30" x14ac:dyDescent="0.2">
      <c r="A333" t="s">
        <v>213</v>
      </c>
      <c r="C333">
        <v>0</v>
      </c>
      <c r="D333" t="s">
        <v>5</v>
      </c>
      <c r="E333">
        <v>9600</v>
      </c>
      <c r="F333" t="s">
        <v>483</v>
      </c>
      <c r="G333" t="s">
        <v>772</v>
      </c>
      <c r="H333" s="2">
        <v>0.91666666666666663</v>
      </c>
      <c r="I333" t="s">
        <v>762</v>
      </c>
      <c r="J333" s="1">
        <v>0.46500000000000002</v>
      </c>
      <c r="K333">
        <v>-87</v>
      </c>
      <c r="L333">
        <v>6</v>
      </c>
      <c r="M333">
        <v>3.14</v>
      </c>
      <c r="N333">
        <v>3</v>
      </c>
      <c r="O333">
        <v>1</v>
      </c>
      <c r="P333">
        <v>1</v>
      </c>
      <c r="Q333" s="3">
        <v>0.8881944444444444</v>
      </c>
      <c r="R333">
        <v>15.8</v>
      </c>
      <c r="S333">
        <v>10.16</v>
      </c>
      <c r="T333">
        <v>37.880000000000003</v>
      </c>
      <c r="U333">
        <v>17.559999999999999</v>
      </c>
      <c r="V333">
        <v>17.559999999999999</v>
      </c>
      <c r="W333">
        <v>100</v>
      </c>
      <c r="Y333">
        <v>68</v>
      </c>
      <c r="Z333">
        <v>1.8</v>
      </c>
      <c r="AA333">
        <v>0</v>
      </c>
      <c r="AB333" s="3">
        <v>0.95</v>
      </c>
      <c r="AC333">
        <v>0</v>
      </c>
    </row>
    <row r="334" spans="1:30" x14ac:dyDescent="0.2">
      <c r="A334" t="s">
        <v>689</v>
      </c>
      <c r="C334">
        <v>0</v>
      </c>
      <c r="D334" t="s">
        <v>5</v>
      </c>
      <c r="E334">
        <v>2500</v>
      </c>
      <c r="F334" t="s">
        <v>768</v>
      </c>
      <c r="G334" t="s">
        <v>769</v>
      </c>
      <c r="H334" s="2">
        <v>0.79166666666666663</v>
      </c>
      <c r="I334" t="s">
        <v>762</v>
      </c>
      <c r="J334" s="1">
        <v>0.51800000000000002</v>
      </c>
      <c r="K334">
        <v>-107.5</v>
      </c>
      <c r="L334">
        <v>5.5</v>
      </c>
      <c r="M334">
        <v>3.2</v>
      </c>
      <c r="N334">
        <v>2.75</v>
      </c>
      <c r="O334">
        <v>4</v>
      </c>
      <c r="Q334" s="3">
        <v>0.38055555555555554</v>
      </c>
      <c r="R334">
        <v>2.2999999999999998</v>
      </c>
      <c r="S334">
        <v>3.6</v>
      </c>
      <c r="T334">
        <v>9.8699999999999992</v>
      </c>
      <c r="U334">
        <v>2.67</v>
      </c>
      <c r="V334">
        <v>2.67</v>
      </c>
      <c r="W334">
        <v>100</v>
      </c>
      <c r="Y334">
        <v>22</v>
      </c>
      <c r="Z334">
        <v>1.1000000000000001</v>
      </c>
      <c r="AA334">
        <v>0</v>
      </c>
      <c r="AB334" s="3">
        <v>0.42708333333333331</v>
      </c>
      <c r="AC334">
        <v>0</v>
      </c>
    </row>
    <row r="335" spans="1:30" x14ac:dyDescent="0.2">
      <c r="A335" t="s">
        <v>91</v>
      </c>
      <c r="C335">
        <v>0</v>
      </c>
      <c r="D335" t="s">
        <v>5</v>
      </c>
      <c r="E335">
        <v>8100</v>
      </c>
      <c r="F335" t="s">
        <v>777</v>
      </c>
      <c r="G335" t="s">
        <v>778</v>
      </c>
      <c r="H335" s="2">
        <v>0.79166666666666663</v>
      </c>
      <c r="I335" t="s">
        <v>762</v>
      </c>
      <c r="J335" s="1">
        <v>0.46400000000000002</v>
      </c>
      <c r="K335">
        <v>-86.5</v>
      </c>
      <c r="L335">
        <v>6</v>
      </c>
      <c r="M335">
        <v>3.19</v>
      </c>
      <c r="N335">
        <v>3</v>
      </c>
      <c r="O335">
        <v>1</v>
      </c>
      <c r="P335">
        <v>1</v>
      </c>
      <c r="Q335" s="3">
        <v>0.88958333333333328</v>
      </c>
      <c r="R335">
        <v>13.3</v>
      </c>
      <c r="S335">
        <v>8.81</v>
      </c>
      <c r="T335">
        <v>33.44</v>
      </c>
      <c r="U335">
        <v>15.82</v>
      </c>
      <c r="V335">
        <v>15.82</v>
      </c>
      <c r="W335">
        <v>100</v>
      </c>
      <c r="Y335">
        <v>67</v>
      </c>
      <c r="Z335">
        <v>2</v>
      </c>
      <c r="AA335">
        <v>0</v>
      </c>
      <c r="AB335" s="3">
        <v>0.10208333333333333</v>
      </c>
      <c r="AC335">
        <v>0</v>
      </c>
    </row>
    <row r="336" spans="1:30" x14ac:dyDescent="0.2">
      <c r="A336" t="s">
        <v>308</v>
      </c>
      <c r="C336">
        <v>0</v>
      </c>
      <c r="D336" t="s">
        <v>5</v>
      </c>
      <c r="E336">
        <v>2800</v>
      </c>
      <c r="F336" t="s">
        <v>507</v>
      </c>
      <c r="G336" t="s">
        <v>796</v>
      </c>
      <c r="H336" s="2">
        <v>0.79166666666666663</v>
      </c>
      <c r="I336" t="s">
        <v>766</v>
      </c>
      <c r="J336" s="1">
        <v>0.49399999999999999</v>
      </c>
      <c r="K336">
        <v>102.5</v>
      </c>
      <c r="L336">
        <v>6</v>
      </c>
      <c r="M336">
        <v>3</v>
      </c>
      <c r="N336">
        <v>3.44</v>
      </c>
      <c r="O336">
        <v>3</v>
      </c>
      <c r="P336">
        <v>2</v>
      </c>
      <c r="Q336" s="3">
        <v>0.58819444444444446</v>
      </c>
      <c r="R336">
        <v>5.3</v>
      </c>
      <c r="S336">
        <v>5.99</v>
      </c>
      <c r="T336">
        <v>19.02</v>
      </c>
      <c r="U336">
        <v>7.04</v>
      </c>
      <c r="V336">
        <v>7.04</v>
      </c>
      <c r="W336">
        <v>100</v>
      </c>
      <c r="Y336">
        <v>43</v>
      </c>
      <c r="Z336">
        <v>2.5</v>
      </c>
      <c r="AA336">
        <v>0</v>
      </c>
      <c r="AB336" s="3">
        <v>0.72291666666666665</v>
      </c>
      <c r="AC336">
        <v>12.8</v>
      </c>
      <c r="AD336">
        <v>4.5999999999999996</v>
      </c>
    </row>
    <row r="337" spans="1:30" x14ac:dyDescent="0.2">
      <c r="A337" t="s">
        <v>163</v>
      </c>
      <c r="C337">
        <v>0</v>
      </c>
      <c r="D337" t="s">
        <v>10</v>
      </c>
      <c r="E337">
        <v>3400</v>
      </c>
      <c r="F337" t="s">
        <v>486</v>
      </c>
      <c r="G337" t="s">
        <v>776</v>
      </c>
      <c r="H337" s="2">
        <v>0.79166666666666663</v>
      </c>
      <c r="I337" t="s">
        <v>762</v>
      </c>
      <c r="J337" s="1">
        <v>0.435</v>
      </c>
      <c r="K337">
        <v>-77</v>
      </c>
      <c r="L337">
        <v>5.5</v>
      </c>
      <c r="M337">
        <v>2.87</v>
      </c>
      <c r="N337">
        <v>2.75</v>
      </c>
      <c r="O337">
        <v>2</v>
      </c>
      <c r="P337">
        <v>2</v>
      </c>
      <c r="Q337" s="3">
        <v>0.64861111111111114</v>
      </c>
      <c r="R337">
        <v>7.3</v>
      </c>
      <c r="S337">
        <v>6.24</v>
      </c>
      <c r="T337">
        <v>20.75</v>
      </c>
      <c r="U337">
        <v>8.27</v>
      </c>
      <c r="V337">
        <v>8.27</v>
      </c>
      <c r="W337">
        <v>100</v>
      </c>
      <c r="Y337">
        <v>57</v>
      </c>
      <c r="Z337">
        <v>2.4</v>
      </c>
      <c r="AA337">
        <v>0</v>
      </c>
      <c r="AB337" s="3">
        <v>0.61597222222222225</v>
      </c>
      <c r="AC337">
        <v>19.5</v>
      </c>
      <c r="AD337">
        <v>5.7</v>
      </c>
    </row>
    <row r="338" spans="1:30" x14ac:dyDescent="0.2">
      <c r="A338" t="s">
        <v>285</v>
      </c>
      <c r="C338">
        <v>0</v>
      </c>
      <c r="D338" t="s">
        <v>10</v>
      </c>
      <c r="E338">
        <v>3700</v>
      </c>
      <c r="F338" t="s">
        <v>480</v>
      </c>
      <c r="G338" t="s">
        <v>761</v>
      </c>
      <c r="H338" s="2">
        <v>0.875</v>
      </c>
      <c r="I338" t="s">
        <v>762</v>
      </c>
      <c r="J338" s="1">
        <v>0.52900000000000003</v>
      </c>
      <c r="K338">
        <v>-112.5</v>
      </c>
      <c r="L338">
        <v>7</v>
      </c>
      <c r="M338">
        <v>4.05</v>
      </c>
      <c r="N338">
        <v>3.5</v>
      </c>
      <c r="O338">
        <v>3</v>
      </c>
      <c r="P338">
        <v>2</v>
      </c>
      <c r="Q338" s="3">
        <v>0.67152777777777772</v>
      </c>
      <c r="R338">
        <v>7.5</v>
      </c>
      <c r="S338">
        <v>6.57</v>
      </c>
      <c r="T338">
        <v>24.99</v>
      </c>
      <c r="U338">
        <v>11.85</v>
      </c>
      <c r="V338">
        <v>11.85</v>
      </c>
      <c r="W338">
        <v>100</v>
      </c>
      <c r="Y338">
        <v>56</v>
      </c>
      <c r="Z338">
        <v>3.2</v>
      </c>
      <c r="AA338">
        <v>0</v>
      </c>
      <c r="AB338" s="3">
        <v>0.59375</v>
      </c>
      <c r="AC338">
        <v>1.5</v>
      </c>
      <c r="AD338">
        <v>0.4</v>
      </c>
    </row>
    <row r="339" spans="1:30" x14ac:dyDescent="0.2">
      <c r="A339" t="s">
        <v>962</v>
      </c>
      <c r="C339">
        <v>0</v>
      </c>
      <c r="D339" t="s">
        <v>17</v>
      </c>
      <c r="E339">
        <v>2500</v>
      </c>
      <c r="F339" t="s">
        <v>499</v>
      </c>
      <c r="G339" t="s">
        <v>775</v>
      </c>
      <c r="H339" s="2">
        <v>0.79166666666666663</v>
      </c>
      <c r="I339" t="s">
        <v>762</v>
      </c>
      <c r="J339" s="1">
        <v>0.50700000000000001</v>
      </c>
      <c r="K339">
        <v>-103</v>
      </c>
      <c r="L339">
        <v>6.5</v>
      </c>
      <c r="M339">
        <v>3.71</v>
      </c>
      <c r="N339">
        <v>3.25</v>
      </c>
      <c r="Q339" s="3">
        <v>0.62638888888888888</v>
      </c>
      <c r="R339">
        <v>5.6</v>
      </c>
      <c r="S339">
        <v>4.8499999999999996</v>
      </c>
      <c r="T339">
        <v>0</v>
      </c>
      <c r="U339">
        <v>0</v>
      </c>
      <c r="V339">
        <v>0</v>
      </c>
      <c r="W339">
        <v>100</v>
      </c>
      <c r="Y339">
        <v>57</v>
      </c>
      <c r="Z339">
        <v>0</v>
      </c>
      <c r="AA339">
        <v>0</v>
      </c>
    </row>
    <row r="340" spans="1:30" x14ac:dyDescent="0.2">
      <c r="A340" t="s">
        <v>712</v>
      </c>
      <c r="C340">
        <v>0</v>
      </c>
      <c r="D340" t="s">
        <v>10</v>
      </c>
      <c r="E340">
        <v>2500</v>
      </c>
      <c r="F340" t="s">
        <v>493</v>
      </c>
      <c r="G340" t="s">
        <v>789</v>
      </c>
      <c r="H340" s="2">
        <v>0.83333333333333337</v>
      </c>
      <c r="I340" t="s">
        <v>762</v>
      </c>
      <c r="J340" s="1">
        <v>0.48699999999999999</v>
      </c>
      <c r="K340">
        <v>-95</v>
      </c>
      <c r="L340">
        <v>5.5</v>
      </c>
      <c r="M340">
        <v>2.75</v>
      </c>
      <c r="N340">
        <v>2.54</v>
      </c>
      <c r="Q340" s="3">
        <v>0.32708333333333334</v>
      </c>
      <c r="R340">
        <v>2.6</v>
      </c>
      <c r="S340">
        <v>4.0999999999999996</v>
      </c>
      <c r="T340">
        <v>0</v>
      </c>
      <c r="U340">
        <v>0</v>
      </c>
      <c r="V340">
        <v>0</v>
      </c>
      <c r="W340">
        <v>100</v>
      </c>
      <c r="Y340">
        <v>21</v>
      </c>
      <c r="Z340">
        <v>0</v>
      </c>
      <c r="AA340">
        <v>0</v>
      </c>
    </row>
    <row r="341" spans="1:30" x14ac:dyDescent="0.2">
      <c r="A341" t="s">
        <v>190</v>
      </c>
      <c r="C341">
        <v>0</v>
      </c>
      <c r="D341" t="s">
        <v>10</v>
      </c>
      <c r="E341">
        <v>4000</v>
      </c>
      <c r="F341" t="s">
        <v>498</v>
      </c>
      <c r="G341" t="s">
        <v>779</v>
      </c>
      <c r="H341" s="2">
        <v>0.79166666666666663</v>
      </c>
      <c r="I341" t="s">
        <v>762</v>
      </c>
      <c r="J341" s="1">
        <v>0.50600000000000001</v>
      </c>
      <c r="K341">
        <v>-102.5</v>
      </c>
      <c r="L341">
        <v>6</v>
      </c>
      <c r="M341">
        <v>3.44</v>
      </c>
      <c r="N341">
        <v>3</v>
      </c>
      <c r="O341">
        <v>2</v>
      </c>
      <c r="P341">
        <v>2</v>
      </c>
      <c r="Q341" s="3">
        <v>0.68958333333333333</v>
      </c>
      <c r="R341">
        <v>7.9</v>
      </c>
      <c r="S341">
        <v>7.3</v>
      </c>
      <c r="T341">
        <v>24.39</v>
      </c>
      <c r="U341">
        <v>9.7899999999999991</v>
      </c>
      <c r="V341">
        <v>9.7899999999999991</v>
      </c>
      <c r="W341">
        <v>100</v>
      </c>
      <c r="Y341">
        <v>54</v>
      </c>
      <c r="Z341">
        <v>2.4</v>
      </c>
      <c r="AA341">
        <v>0</v>
      </c>
      <c r="AB341" s="3">
        <v>0.65694444444444444</v>
      </c>
      <c r="AC341">
        <v>7.8</v>
      </c>
      <c r="AD341">
        <v>2</v>
      </c>
    </row>
    <row r="342" spans="1:30" x14ac:dyDescent="0.2">
      <c r="A342" t="s">
        <v>43</v>
      </c>
      <c r="C342">
        <v>0</v>
      </c>
      <c r="D342" t="s">
        <v>17</v>
      </c>
      <c r="E342">
        <v>5100</v>
      </c>
      <c r="F342" t="s">
        <v>489</v>
      </c>
      <c r="G342" t="s">
        <v>788</v>
      </c>
      <c r="H342" s="2">
        <v>0.91666666666666663</v>
      </c>
      <c r="I342" t="s">
        <v>762</v>
      </c>
      <c r="J342" s="1">
        <v>0.48799999999999999</v>
      </c>
      <c r="K342">
        <v>-95.5</v>
      </c>
      <c r="L342">
        <v>6.5</v>
      </c>
      <c r="M342">
        <v>3.25</v>
      </c>
      <c r="N342">
        <v>3.01</v>
      </c>
      <c r="O342">
        <v>1</v>
      </c>
      <c r="P342">
        <v>1</v>
      </c>
      <c r="Q342" s="4">
        <v>1.0229166666666667</v>
      </c>
      <c r="R342">
        <v>10.4</v>
      </c>
      <c r="S342">
        <v>6.28</v>
      </c>
      <c r="T342">
        <v>24.83</v>
      </c>
      <c r="U342">
        <v>12.27</v>
      </c>
      <c r="V342">
        <v>12.27</v>
      </c>
      <c r="W342">
        <v>100</v>
      </c>
      <c r="Y342">
        <v>70</v>
      </c>
      <c r="Z342">
        <v>2.4</v>
      </c>
      <c r="AA342">
        <v>0</v>
      </c>
      <c r="AB342" s="4">
        <v>1.0465277777777777</v>
      </c>
      <c r="AC342">
        <v>4.3</v>
      </c>
      <c r="AD342">
        <v>0.8</v>
      </c>
    </row>
    <row r="343" spans="1:30" x14ac:dyDescent="0.2">
      <c r="A343" t="s">
        <v>418</v>
      </c>
      <c r="C343">
        <v>0</v>
      </c>
      <c r="D343" t="s">
        <v>17</v>
      </c>
      <c r="E343">
        <v>2600</v>
      </c>
      <c r="F343" t="s">
        <v>492</v>
      </c>
      <c r="G343" t="s">
        <v>774</v>
      </c>
      <c r="H343" s="2">
        <v>0.8125</v>
      </c>
      <c r="I343" t="s">
        <v>762</v>
      </c>
      <c r="J343" s="1">
        <v>0.44</v>
      </c>
      <c r="K343">
        <v>-78.5</v>
      </c>
      <c r="L343">
        <v>6.5</v>
      </c>
      <c r="M343">
        <v>3.43</v>
      </c>
      <c r="N343">
        <v>3.25</v>
      </c>
      <c r="O343">
        <v>1</v>
      </c>
      <c r="Q343" s="3">
        <v>0.60555555555555551</v>
      </c>
      <c r="R343">
        <v>4.0999999999999996</v>
      </c>
      <c r="S343">
        <v>3.47</v>
      </c>
      <c r="T343">
        <v>12.55</v>
      </c>
      <c r="U343">
        <v>5.61</v>
      </c>
      <c r="V343">
        <v>5.61</v>
      </c>
      <c r="W343">
        <v>100</v>
      </c>
      <c r="Y343">
        <v>58</v>
      </c>
      <c r="Z343">
        <v>2.2000000000000002</v>
      </c>
      <c r="AA343">
        <v>0</v>
      </c>
      <c r="AB343" s="3">
        <v>0.78055555555555556</v>
      </c>
      <c r="AC343">
        <v>1.3</v>
      </c>
      <c r="AD343">
        <v>0.5</v>
      </c>
    </row>
    <row r="344" spans="1:30" x14ac:dyDescent="0.2">
      <c r="A344" t="s">
        <v>913</v>
      </c>
      <c r="C344">
        <v>0</v>
      </c>
      <c r="D344" t="s">
        <v>17</v>
      </c>
      <c r="E344">
        <v>2500</v>
      </c>
      <c r="F344" t="s">
        <v>486</v>
      </c>
      <c r="G344" t="s">
        <v>776</v>
      </c>
      <c r="H344" s="2">
        <v>0.79166666666666663</v>
      </c>
      <c r="I344" t="s">
        <v>762</v>
      </c>
      <c r="J344" s="1">
        <v>0.435</v>
      </c>
      <c r="K344">
        <v>-77</v>
      </c>
      <c r="L344">
        <v>5.5</v>
      </c>
      <c r="M344">
        <v>2.87</v>
      </c>
      <c r="N344">
        <v>2.75</v>
      </c>
      <c r="Q344" s="3">
        <v>0.44166666666666665</v>
      </c>
      <c r="R344">
        <v>2.5</v>
      </c>
      <c r="S344">
        <v>3.21</v>
      </c>
      <c r="T344">
        <v>0</v>
      </c>
      <c r="U344">
        <v>0</v>
      </c>
      <c r="V344">
        <v>0</v>
      </c>
      <c r="W344">
        <v>100</v>
      </c>
      <c r="Y344">
        <v>36</v>
      </c>
      <c r="Z344">
        <v>0</v>
      </c>
      <c r="AA344">
        <v>0</v>
      </c>
    </row>
    <row r="345" spans="1:30" x14ac:dyDescent="0.2">
      <c r="A345" t="s">
        <v>860</v>
      </c>
      <c r="C345">
        <v>0</v>
      </c>
      <c r="D345" t="s">
        <v>7</v>
      </c>
      <c r="E345">
        <v>6500</v>
      </c>
      <c r="F345" t="s">
        <v>497</v>
      </c>
      <c r="G345" t="s">
        <v>784</v>
      </c>
      <c r="H345" s="2">
        <v>0.79166666666666663</v>
      </c>
      <c r="I345" t="s">
        <v>766</v>
      </c>
      <c r="J345" s="1">
        <v>0.55100000000000005</v>
      </c>
      <c r="K345">
        <v>81.5</v>
      </c>
      <c r="L345">
        <v>6.5</v>
      </c>
      <c r="M345">
        <v>3.17</v>
      </c>
      <c r="N345">
        <v>3.25</v>
      </c>
      <c r="O345" t="s">
        <v>818</v>
      </c>
      <c r="Q345" s="4">
        <v>2.4798611111111111</v>
      </c>
      <c r="R345">
        <v>10.4</v>
      </c>
      <c r="S345">
        <v>11.11</v>
      </c>
      <c r="T345">
        <v>0</v>
      </c>
      <c r="U345">
        <v>0</v>
      </c>
      <c r="V345">
        <v>0</v>
      </c>
      <c r="W345">
        <v>100</v>
      </c>
      <c r="Y345">
        <v>47</v>
      </c>
      <c r="Z345">
        <v>0</v>
      </c>
      <c r="AA345">
        <v>0</v>
      </c>
    </row>
    <row r="346" spans="1:30" x14ac:dyDescent="0.2">
      <c r="A346" t="s">
        <v>910</v>
      </c>
      <c r="C346">
        <v>0</v>
      </c>
      <c r="D346" t="s">
        <v>5</v>
      </c>
      <c r="E346">
        <v>2500</v>
      </c>
      <c r="F346" t="s">
        <v>509</v>
      </c>
      <c r="G346" t="s">
        <v>791</v>
      </c>
      <c r="H346" s="2">
        <v>0.79166666666666663</v>
      </c>
      <c r="I346" t="s">
        <v>766</v>
      </c>
      <c r="J346" s="1">
        <v>0.51900000000000002</v>
      </c>
      <c r="K346">
        <v>92.5</v>
      </c>
      <c r="L346">
        <v>6.5</v>
      </c>
      <c r="M346">
        <v>3.25</v>
      </c>
      <c r="N346">
        <v>3.62</v>
      </c>
      <c r="Q346" s="3">
        <v>0.36527777777777776</v>
      </c>
      <c r="R346">
        <v>1.9</v>
      </c>
      <c r="S346">
        <v>1.37</v>
      </c>
      <c r="T346">
        <v>0</v>
      </c>
      <c r="U346">
        <v>0</v>
      </c>
      <c r="V346">
        <v>0</v>
      </c>
      <c r="W346">
        <v>100</v>
      </c>
      <c r="Y346">
        <v>64</v>
      </c>
      <c r="Z346">
        <v>0</v>
      </c>
      <c r="AA346">
        <v>0</v>
      </c>
    </row>
    <row r="347" spans="1:30" x14ac:dyDescent="0.2">
      <c r="A347" t="s">
        <v>923</v>
      </c>
      <c r="C347">
        <v>0</v>
      </c>
      <c r="D347" t="s">
        <v>17</v>
      </c>
      <c r="E347">
        <v>2500</v>
      </c>
      <c r="F347" t="s">
        <v>478</v>
      </c>
      <c r="G347" t="s">
        <v>763</v>
      </c>
      <c r="H347" s="2">
        <v>0.79166666666666663</v>
      </c>
      <c r="I347" t="s">
        <v>762</v>
      </c>
      <c r="J347" s="1">
        <v>0.44900000000000001</v>
      </c>
      <c r="K347">
        <v>-81.5</v>
      </c>
      <c r="L347">
        <v>6.5</v>
      </c>
      <c r="M347">
        <v>3.25</v>
      </c>
      <c r="N347">
        <v>3.17</v>
      </c>
      <c r="T347">
        <v>0</v>
      </c>
      <c r="U347">
        <v>0</v>
      </c>
      <c r="V347">
        <v>0</v>
      </c>
      <c r="W347">
        <v>100</v>
      </c>
      <c r="Y347">
        <v>0</v>
      </c>
      <c r="Z347">
        <v>0</v>
      </c>
      <c r="AA347">
        <v>0</v>
      </c>
    </row>
    <row r="348" spans="1:30" x14ac:dyDescent="0.2">
      <c r="A348" t="s">
        <v>192</v>
      </c>
      <c r="C348">
        <v>0</v>
      </c>
      <c r="D348" t="s">
        <v>7</v>
      </c>
      <c r="E348">
        <v>8100</v>
      </c>
      <c r="F348" t="s">
        <v>777</v>
      </c>
      <c r="G348" t="s">
        <v>778</v>
      </c>
      <c r="H348" s="2">
        <v>0.79166666666666663</v>
      </c>
      <c r="I348" t="s">
        <v>762</v>
      </c>
      <c r="J348" s="1">
        <v>0.46400000000000002</v>
      </c>
      <c r="K348">
        <v>-86.5</v>
      </c>
      <c r="L348">
        <v>6</v>
      </c>
      <c r="M348">
        <v>3.19</v>
      </c>
      <c r="N348">
        <v>3</v>
      </c>
      <c r="O348" t="s">
        <v>780</v>
      </c>
      <c r="Q348" s="4">
        <v>2.3638888888888889</v>
      </c>
      <c r="R348">
        <v>8.5</v>
      </c>
      <c r="S348">
        <v>10.15</v>
      </c>
      <c r="T348">
        <v>28.95</v>
      </c>
      <c r="U348">
        <v>8.65</v>
      </c>
      <c r="V348">
        <v>8.65</v>
      </c>
      <c r="W348">
        <v>100</v>
      </c>
      <c r="Y348">
        <v>40</v>
      </c>
      <c r="Z348">
        <v>1.1000000000000001</v>
      </c>
      <c r="AA348">
        <v>0</v>
      </c>
      <c r="AB348" s="4">
        <v>2.526388888888889</v>
      </c>
      <c r="AC348">
        <v>17.899999999999999</v>
      </c>
      <c r="AD348">
        <v>2.2000000000000002</v>
      </c>
    </row>
    <row r="349" spans="1:30" x14ac:dyDescent="0.2">
      <c r="A349" t="s">
        <v>655</v>
      </c>
      <c r="C349">
        <v>0</v>
      </c>
      <c r="D349" t="s">
        <v>10</v>
      </c>
      <c r="E349">
        <v>2500</v>
      </c>
      <c r="F349" t="s">
        <v>505</v>
      </c>
      <c r="G349" t="s">
        <v>793</v>
      </c>
      <c r="H349" s="2">
        <v>0.91666666666666663</v>
      </c>
      <c r="I349" t="s">
        <v>762</v>
      </c>
      <c r="J349" s="1">
        <v>0.41499999999999998</v>
      </c>
      <c r="K349">
        <v>-71</v>
      </c>
      <c r="L349">
        <v>6</v>
      </c>
      <c r="M349">
        <v>3.02</v>
      </c>
      <c r="N349">
        <v>3</v>
      </c>
      <c r="Q349" s="3">
        <v>0.3972222222222222</v>
      </c>
      <c r="R349">
        <v>3</v>
      </c>
      <c r="S349">
        <v>2.65</v>
      </c>
      <c r="T349">
        <v>0</v>
      </c>
      <c r="U349">
        <v>0</v>
      </c>
      <c r="V349">
        <v>0</v>
      </c>
      <c r="W349">
        <v>100</v>
      </c>
      <c r="Y349">
        <v>56</v>
      </c>
      <c r="Z349">
        <v>0</v>
      </c>
      <c r="AA349">
        <v>0</v>
      </c>
      <c r="AB349" s="3">
        <v>0.54236111111111107</v>
      </c>
      <c r="AC349">
        <v>1.5</v>
      </c>
      <c r="AD349">
        <v>0.6</v>
      </c>
    </row>
    <row r="350" spans="1:30" x14ac:dyDescent="0.2">
      <c r="A350" t="s">
        <v>811</v>
      </c>
      <c r="C350">
        <v>0</v>
      </c>
      <c r="D350" t="s">
        <v>17</v>
      </c>
      <c r="E350">
        <v>2700</v>
      </c>
      <c r="F350" t="s">
        <v>487</v>
      </c>
      <c r="G350" t="s">
        <v>770</v>
      </c>
      <c r="H350" s="2">
        <v>0.83333333333333337</v>
      </c>
      <c r="I350" t="s">
        <v>762</v>
      </c>
      <c r="J350" s="1">
        <v>0.51300000000000001</v>
      </c>
      <c r="K350">
        <v>-105.5</v>
      </c>
      <c r="L350">
        <v>6</v>
      </c>
      <c r="M350">
        <v>3.46</v>
      </c>
      <c r="N350">
        <v>3</v>
      </c>
      <c r="O350">
        <v>2</v>
      </c>
      <c r="Q350" s="3">
        <v>0.73888888888888893</v>
      </c>
      <c r="R350">
        <v>4.9000000000000004</v>
      </c>
      <c r="S350">
        <v>3.88</v>
      </c>
      <c r="T350">
        <v>14.16</v>
      </c>
      <c r="U350">
        <v>6.4</v>
      </c>
      <c r="V350">
        <v>6.4</v>
      </c>
      <c r="W350">
        <v>100</v>
      </c>
      <c r="Y350">
        <v>60</v>
      </c>
      <c r="Z350">
        <v>2.4</v>
      </c>
      <c r="AA350">
        <v>0</v>
      </c>
      <c r="AB350" s="3">
        <v>0.84861111111111109</v>
      </c>
      <c r="AC350">
        <v>7.8</v>
      </c>
      <c r="AD350">
        <v>2.9</v>
      </c>
    </row>
    <row r="351" spans="1:30" x14ac:dyDescent="0.2">
      <c r="A351" t="s">
        <v>694</v>
      </c>
      <c r="C351">
        <v>0</v>
      </c>
      <c r="D351" t="s">
        <v>17</v>
      </c>
      <c r="E351">
        <v>2500</v>
      </c>
      <c r="F351" t="s">
        <v>794</v>
      </c>
      <c r="G351" t="s">
        <v>795</v>
      </c>
      <c r="H351" s="2">
        <v>0.79166666666666663</v>
      </c>
      <c r="I351" t="s">
        <v>766</v>
      </c>
      <c r="J351" s="1">
        <v>0.56499999999999995</v>
      </c>
      <c r="K351">
        <v>77</v>
      </c>
      <c r="L351">
        <v>5.5</v>
      </c>
      <c r="M351">
        <v>2.75</v>
      </c>
      <c r="N351">
        <v>2.87</v>
      </c>
      <c r="Q351" s="3">
        <v>0.39930555555555558</v>
      </c>
      <c r="R351">
        <v>1.4</v>
      </c>
      <c r="S351">
        <v>1.7</v>
      </c>
      <c r="T351">
        <v>0</v>
      </c>
      <c r="U351">
        <v>0</v>
      </c>
      <c r="V351">
        <v>0</v>
      </c>
      <c r="W351">
        <v>100</v>
      </c>
      <c r="Y351">
        <v>39</v>
      </c>
      <c r="Z351">
        <v>0</v>
      </c>
      <c r="AA351">
        <v>0</v>
      </c>
    </row>
    <row r="352" spans="1:30" x14ac:dyDescent="0.2">
      <c r="A352" t="s">
        <v>1034</v>
      </c>
      <c r="C352">
        <v>0</v>
      </c>
      <c r="D352" t="s">
        <v>5</v>
      </c>
      <c r="E352">
        <v>2500</v>
      </c>
      <c r="F352" t="s">
        <v>490</v>
      </c>
      <c r="G352" t="s">
        <v>771</v>
      </c>
      <c r="H352" s="2">
        <v>0.91666666666666663</v>
      </c>
      <c r="I352" t="s">
        <v>766</v>
      </c>
      <c r="J352" s="1">
        <v>0.58499999999999996</v>
      </c>
      <c r="K352">
        <v>71</v>
      </c>
      <c r="L352">
        <v>6</v>
      </c>
      <c r="M352">
        <v>3</v>
      </c>
      <c r="N352">
        <v>3.02</v>
      </c>
      <c r="Q352" s="3">
        <v>0.39166666666666666</v>
      </c>
      <c r="R352">
        <v>1.1000000000000001</v>
      </c>
      <c r="S352">
        <v>1.6</v>
      </c>
      <c r="T352">
        <v>0</v>
      </c>
      <c r="U352">
        <v>0</v>
      </c>
      <c r="V352">
        <v>0</v>
      </c>
      <c r="W352">
        <v>100</v>
      </c>
      <c r="Y352">
        <v>27</v>
      </c>
      <c r="Z352">
        <v>0</v>
      </c>
      <c r="AA352">
        <v>0</v>
      </c>
    </row>
    <row r="353" spans="1:30" x14ac:dyDescent="0.2">
      <c r="A353" t="s">
        <v>195</v>
      </c>
      <c r="C353">
        <v>0</v>
      </c>
      <c r="D353" t="s">
        <v>17</v>
      </c>
      <c r="E353">
        <v>5300</v>
      </c>
      <c r="F353" t="s">
        <v>489</v>
      </c>
      <c r="G353" t="s">
        <v>788</v>
      </c>
      <c r="H353" s="2">
        <v>0.91666666666666663</v>
      </c>
      <c r="I353" t="s">
        <v>762</v>
      </c>
      <c r="J353" s="1">
        <v>0.48799999999999999</v>
      </c>
      <c r="K353">
        <v>-95.5</v>
      </c>
      <c r="L353">
        <v>6.5</v>
      </c>
      <c r="M353">
        <v>3.25</v>
      </c>
      <c r="N353">
        <v>3.01</v>
      </c>
      <c r="O353">
        <v>1</v>
      </c>
      <c r="P353">
        <v>2</v>
      </c>
      <c r="Q353" s="3">
        <v>0.93402777777777779</v>
      </c>
      <c r="R353">
        <v>9.1999999999999993</v>
      </c>
      <c r="S353">
        <v>7.05</v>
      </c>
      <c r="T353">
        <v>25.44</v>
      </c>
      <c r="U353">
        <v>11.34</v>
      </c>
      <c r="V353">
        <v>11.34</v>
      </c>
      <c r="W353">
        <v>100</v>
      </c>
      <c r="Y353">
        <v>62</v>
      </c>
      <c r="Z353">
        <v>2.1</v>
      </c>
      <c r="AA353">
        <v>0</v>
      </c>
      <c r="AB353" s="4">
        <v>1.0506944444444444</v>
      </c>
      <c r="AC353">
        <v>9.9</v>
      </c>
      <c r="AD353">
        <v>1.9</v>
      </c>
    </row>
    <row r="354" spans="1:30" x14ac:dyDescent="0.2">
      <c r="A354" t="s">
        <v>175</v>
      </c>
      <c r="C354">
        <v>0</v>
      </c>
      <c r="D354" t="s">
        <v>10</v>
      </c>
      <c r="E354">
        <v>3800</v>
      </c>
      <c r="F354" t="s">
        <v>505</v>
      </c>
      <c r="G354" t="s">
        <v>793</v>
      </c>
      <c r="H354" s="2">
        <v>0.91666666666666663</v>
      </c>
      <c r="I354" t="s">
        <v>762</v>
      </c>
      <c r="J354" s="1">
        <v>0.41499999999999998</v>
      </c>
      <c r="K354">
        <v>-71</v>
      </c>
      <c r="L354">
        <v>6</v>
      </c>
      <c r="M354">
        <v>3.02</v>
      </c>
      <c r="N354">
        <v>3</v>
      </c>
      <c r="O354">
        <v>3</v>
      </c>
      <c r="P354">
        <v>2</v>
      </c>
      <c r="Q354" s="3">
        <v>0.7</v>
      </c>
      <c r="R354">
        <v>8</v>
      </c>
      <c r="S354">
        <v>6.47</v>
      </c>
      <c r="T354">
        <v>22.18</v>
      </c>
      <c r="U354">
        <v>9.24</v>
      </c>
      <c r="V354">
        <v>9.24</v>
      </c>
      <c r="W354">
        <v>100</v>
      </c>
      <c r="Y354">
        <v>60</v>
      </c>
      <c r="Z354">
        <v>2.4</v>
      </c>
      <c r="AA354">
        <v>0</v>
      </c>
      <c r="AB354" s="3">
        <v>0.51944444444444449</v>
      </c>
      <c r="AC354">
        <v>9.5</v>
      </c>
      <c r="AD354">
        <v>2.5</v>
      </c>
    </row>
    <row r="355" spans="1:30" x14ac:dyDescent="0.2">
      <c r="A355" t="s">
        <v>825</v>
      </c>
      <c r="C355">
        <v>0</v>
      </c>
      <c r="D355" t="s">
        <v>7</v>
      </c>
      <c r="E355">
        <v>8100</v>
      </c>
      <c r="F355" t="s">
        <v>777</v>
      </c>
      <c r="G355" t="s">
        <v>778</v>
      </c>
      <c r="H355" s="2">
        <v>0.79166666666666663</v>
      </c>
      <c r="I355" t="s">
        <v>762</v>
      </c>
      <c r="J355" s="1">
        <v>0.46400000000000002</v>
      </c>
      <c r="K355">
        <v>-86.5</v>
      </c>
      <c r="L355">
        <v>6</v>
      </c>
      <c r="M355">
        <v>3.19</v>
      </c>
      <c r="N355">
        <v>3</v>
      </c>
      <c r="O355" t="s">
        <v>818</v>
      </c>
      <c r="Q355" s="4">
        <v>2.4618055555555554</v>
      </c>
      <c r="R355">
        <v>11.5</v>
      </c>
      <c r="S355">
        <v>11.02</v>
      </c>
      <c r="T355">
        <v>0</v>
      </c>
      <c r="U355">
        <v>0</v>
      </c>
      <c r="V355">
        <v>0</v>
      </c>
      <c r="W355">
        <v>100</v>
      </c>
      <c r="Y355">
        <v>52</v>
      </c>
      <c r="Z355">
        <v>0</v>
      </c>
      <c r="AA355">
        <v>0</v>
      </c>
      <c r="AB355" s="3">
        <v>0</v>
      </c>
      <c r="AC355">
        <v>2</v>
      </c>
      <c r="AD355">
        <v>0.2</v>
      </c>
    </row>
    <row r="356" spans="1:30" x14ac:dyDescent="0.2">
      <c r="A356" t="s">
        <v>995</v>
      </c>
      <c r="C356">
        <v>0</v>
      </c>
      <c r="D356" t="s">
        <v>17</v>
      </c>
      <c r="E356">
        <v>2500</v>
      </c>
      <c r="F356" t="s">
        <v>502</v>
      </c>
      <c r="G356" t="s">
        <v>798</v>
      </c>
      <c r="H356" s="2">
        <v>0.83333333333333337</v>
      </c>
      <c r="I356" t="s">
        <v>766</v>
      </c>
      <c r="J356" s="1">
        <v>0.48699999999999999</v>
      </c>
      <c r="K356">
        <v>105.5</v>
      </c>
      <c r="L356">
        <v>6</v>
      </c>
      <c r="M356">
        <v>3</v>
      </c>
      <c r="N356">
        <v>3.46</v>
      </c>
      <c r="Q356" s="3">
        <v>0.65555555555555556</v>
      </c>
      <c r="R356">
        <v>5.5</v>
      </c>
      <c r="S356">
        <v>4.38</v>
      </c>
      <c r="T356">
        <v>0</v>
      </c>
      <c r="U356">
        <v>0</v>
      </c>
      <c r="V356">
        <v>0</v>
      </c>
      <c r="W356">
        <v>100</v>
      </c>
      <c r="Y356">
        <v>60</v>
      </c>
      <c r="Z356">
        <v>0</v>
      </c>
      <c r="AA356">
        <v>0</v>
      </c>
    </row>
    <row r="357" spans="1:30" x14ac:dyDescent="0.2">
      <c r="A357" t="s">
        <v>106</v>
      </c>
      <c r="C357">
        <v>0</v>
      </c>
      <c r="D357" t="s">
        <v>10</v>
      </c>
      <c r="E357">
        <v>5300</v>
      </c>
      <c r="F357" t="s">
        <v>510</v>
      </c>
      <c r="G357" t="s">
        <v>802</v>
      </c>
      <c r="H357" s="2">
        <v>0.91666666666666663</v>
      </c>
      <c r="I357" t="s">
        <v>766</v>
      </c>
      <c r="J357" s="1">
        <v>0.51200000000000001</v>
      </c>
      <c r="K357">
        <v>95.5</v>
      </c>
      <c r="L357">
        <v>6.5</v>
      </c>
      <c r="M357">
        <v>3.01</v>
      </c>
      <c r="N357">
        <v>3.25</v>
      </c>
      <c r="O357">
        <v>3</v>
      </c>
      <c r="P357">
        <v>1</v>
      </c>
      <c r="Q357" s="3">
        <v>0.71805555555555556</v>
      </c>
      <c r="R357">
        <v>8.5</v>
      </c>
      <c r="S357">
        <v>6.89</v>
      </c>
      <c r="T357">
        <v>23.22</v>
      </c>
      <c r="U357">
        <v>9.44</v>
      </c>
      <c r="V357">
        <v>9.44</v>
      </c>
      <c r="W357">
        <v>100</v>
      </c>
      <c r="Y357">
        <v>59</v>
      </c>
      <c r="Z357">
        <v>1.8</v>
      </c>
      <c r="AA357">
        <v>0</v>
      </c>
      <c r="AB357" s="3">
        <v>0.68541666666666667</v>
      </c>
      <c r="AC357">
        <v>17</v>
      </c>
      <c r="AD357">
        <v>3.2</v>
      </c>
    </row>
    <row r="358" spans="1:30" x14ac:dyDescent="0.2">
      <c r="A358" t="s">
        <v>368</v>
      </c>
      <c r="C358">
        <v>0</v>
      </c>
      <c r="D358" t="s">
        <v>5</v>
      </c>
      <c r="E358">
        <v>2500</v>
      </c>
      <c r="F358" t="s">
        <v>497</v>
      </c>
      <c r="G358" t="s">
        <v>784</v>
      </c>
      <c r="H358" s="2">
        <v>0.79166666666666663</v>
      </c>
      <c r="I358" t="s">
        <v>766</v>
      </c>
      <c r="J358" s="1">
        <v>0.55100000000000005</v>
      </c>
      <c r="K358">
        <v>81.5</v>
      </c>
      <c r="L358">
        <v>6.5</v>
      </c>
      <c r="M358">
        <v>3.17</v>
      </c>
      <c r="N358">
        <v>3.25</v>
      </c>
      <c r="O358">
        <v>3</v>
      </c>
      <c r="Q358" s="3">
        <v>0.62638888888888888</v>
      </c>
      <c r="R358">
        <v>4.7</v>
      </c>
      <c r="S358">
        <v>5.38</v>
      </c>
      <c r="T358">
        <v>15.92</v>
      </c>
      <c r="U358">
        <v>5.16</v>
      </c>
      <c r="V358">
        <v>5.16</v>
      </c>
      <c r="W358">
        <v>100</v>
      </c>
      <c r="Y358">
        <v>43</v>
      </c>
      <c r="Z358">
        <v>2.1</v>
      </c>
      <c r="AA358">
        <v>0</v>
      </c>
      <c r="AB358" s="3">
        <v>0.67500000000000004</v>
      </c>
      <c r="AC358">
        <v>12.6</v>
      </c>
      <c r="AD358">
        <v>5</v>
      </c>
    </row>
    <row r="359" spans="1:30" x14ac:dyDescent="0.2">
      <c r="A359" t="s">
        <v>168</v>
      </c>
      <c r="C359">
        <v>0</v>
      </c>
      <c r="D359" t="s">
        <v>10</v>
      </c>
      <c r="E359">
        <v>7000</v>
      </c>
      <c r="F359" t="s">
        <v>768</v>
      </c>
      <c r="G359" t="s">
        <v>769</v>
      </c>
      <c r="H359" s="2">
        <v>0.79166666666666663</v>
      </c>
      <c r="I359" t="s">
        <v>762</v>
      </c>
      <c r="J359" s="1">
        <v>0.51800000000000002</v>
      </c>
      <c r="K359">
        <v>-107.5</v>
      </c>
      <c r="L359">
        <v>5.5</v>
      </c>
      <c r="M359">
        <v>3.2</v>
      </c>
      <c r="N359">
        <v>2.75</v>
      </c>
      <c r="O359">
        <v>2</v>
      </c>
      <c r="P359">
        <v>1</v>
      </c>
      <c r="Q359" s="3">
        <v>0.85138888888888886</v>
      </c>
      <c r="R359">
        <v>13</v>
      </c>
      <c r="S359">
        <v>8.81</v>
      </c>
      <c r="T359">
        <v>32.159999999999997</v>
      </c>
      <c r="U359">
        <v>14.54</v>
      </c>
      <c r="V359">
        <v>14.54</v>
      </c>
      <c r="W359">
        <v>100</v>
      </c>
      <c r="Y359">
        <v>66</v>
      </c>
      <c r="Z359">
        <v>2.1</v>
      </c>
      <c r="AA359">
        <v>0</v>
      </c>
      <c r="AB359" s="3">
        <v>0.625</v>
      </c>
      <c r="AC359">
        <v>1.5</v>
      </c>
      <c r="AD359">
        <v>0.2</v>
      </c>
    </row>
    <row r="360" spans="1:30" x14ac:dyDescent="0.2">
      <c r="A360" t="s">
        <v>207</v>
      </c>
      <c r="C360">
        <v>0</v>
      </c>
      <c r="D360" t="s">
        <v>17</v>
      </c>
      <c r="E360">
        <v>3500</v>
      </c>
      <c r="F360" t="s">
        <v>490</v>
      </c>
      <c r="G360" t="s">
        <v>771</v>
      </c>
      <c r="H360" s="2">
        <v>0.91666666666666663</v>
      </c>
      <c r="I360" t="s">
        <v>766</v>
      </c>
      <c r="J360" s="1">
        <v>0.58499999999999996</v>
      </c>
      <c r="K360">
        <v>71</v>
      </c>
      <c r="L360">
        <v>6</v>
      </c>
      <c r="M360">
        <v>3</v>
      </c>
      <c r="N360">
        <v>3.02</v>
      </c>
      <c r="O360">
        <v>1</v>
      </c>
      <c r="Q360" s="3">
        <v>0.92013888888888884</v>
      </c>
      <c r="R360">
        <v>7.2</v>
      </c>
      <c r="S360">
        <v>4.7</v>
      </c>
      <c r="T360">
        <v>17.03</v>
      </c>
      <c r="U360">
        <v>7.63</v>
      </c>
      <c r="V360">
        <v>7.63</v>
      </c>
      <c r="W360">
        <v>100</v>
      </c>
      <c r="Y360">
        <v>67</v>
      </c>
      <c r="Z360">
        <v>2.2000000000000002</v>
      </c>
      <c r="AA360">
        <v>0</v>
      </c>
      <c r="AB360" s="3">
        <v>0.95486111111111116</v>
      </c>
      <c r="AC360">
        <v>11.8</v>
      </c>
      <c r="AD360">
        <v>3.4</v>
      </c>
    </row>
    <row r="361" spans="1:30" x14ac:dyDescent="0.2">
      <c r="A361" t="s">
        <v>399</v>
      </c>
      <c r="C361">
        <v>0</v>
      </c>
      <c r="D361" t="s">
        <v>10</v>
      </c>
      <c r="E361">
        <v>4000</v>
      </c>
      <c r="F361" t="s">
        <v>504</v>
      </c>
      <c r="G361" t="s">
        <v>799</v>
      </c>
      <c r="H361" s="2">
        <v>0.83333333333333337</v>
      </c>
      <c r="I361" t="s">
        <v>766</v>
      </c>
      <c r="J361" s="1">
        <v>0.51300000000000001</v>
      </c>
      <c r="K361">
        <v>95</v>
      </c>
      <c r="L361">
        <v>5.5</v>
      </c>
      <c r="M361">
        <v>2.54</v>
      </c>
      <c r="N361">
        <v>2.75</v>
      </c>
      <c r="O361">
        <v>2</v>
      </c>
      <c r="P361">
        <v>1</v>
      </c>
      <c r="Q361" s="3">
        <v>0.64861111111111114</v>
      </c>
      <c r="R361">
        <v>6.3</v>
      </c>
      <c r="S361">
        <v>6.16</v>
      </c>
      <c r="T361">
        <v>17.8</v>
      </c>
      <c r="U361">
        <v>5.48</v>
      </c>
      <c r="V361">
        <v>5.48</v>
      </c>
      <c r="W361">
        <v>100</v>
      </c>
      <c r="Y361">
        <v>51</v>
      </c>
      <c r="Z361">
        <v>1.4</v>
      </c>
      <c r="AA361">
        <v>0</v>
      </c>
      <c r="AB361" s="3">
        <v>0.72916666666666663</v>
      </c>
      <c r="AC361">
        <v>11.3</v>
      </c>
      <c r="AD361">
        <v>2.8</v>
      </c>
    </row>
    <row r="362" spans="1:30" x14ac:dyDescent="0.2">
      <c r="A362" t="s">
        <v>98</v>
      </c>
      <c r="C362">
        <v>0</v>
      </c>
      <c r="D362" t="s">
        <v>7</v>
      </c>
      <c r="E362">
        <v>7400</v>
      </c>
      <c r="F362" t="s">
        <v>488</v>
      </c>
      <c r="G362" t="s">
        <v>781</v>
      </c>
      <c r="H362" s="2">
        <v>0.91666666666666663</v>
      </c>
      <c r="I362" t="s">
        <v>766</v>
      </c>
      <c r="J362" s="1">
        <v>0.53500000000000003</v>
      </c>
      <c r="K362">
        <v>87</v>
      </c>
      <c r="L362">
        <v>6</v>
      </c>
      <c r="M362">
        <v>3</v>
      </c>
      <c r="N362">
        <v>3.14</v>
      </c>
      <c r="O362" t="s">
        <v>780</v>
      </c>
      <c r="Q362" s="4">
        <v>2.4618055555555554</v>
      </c>
      <c r="R362">
        <v>11.7</v>
      </c>
      <c r="S362">
        <v>9.3000000000000007</v>
      </c>
      <c r="T362">
        <v>29.12</v>
      </c>
      <c r="U362">
        <v>10.52</v>
      </c>
      <c r="V362">
        <v>10.52</v>
      </c>
      <c r="W362">
        <v>100</v>
      </c>
      <c r="Y362">
        <v>60</v>
      </c>
      <c r="Z362">
        <v>1.4</v>
      </c>
      <c r="AA362">
        <v>0</v>
      </c>
      <c r="AB362" s="4">
        <v>2.7083333333333335</v>
      </c>
      <c r="AC362">
        <v>3.9</v>
      </c>
      <c r="AD362">
        <v>0.5</v>
      </c>
    </row>
    <row r="363" spans="1:30" x14ac:dyDescent="0.2">
      <c r="A363" t="s">
        <v>141</v>
      </c>
      <c r="C363">
        <v>0</v>
      </c>
      <c r="D363" t="s">
        <v>17</v>
      </c>
      <c r="E363">
        <v>5000</v>
      </c>
      <c r="F363" t="s">
        <v>480</v>
      </c>
      <c r="G363" t="s">
        <v>761</v>
      </c>
      <c r="H363" s="2">
        <v>0.875</v>
      </c>
      <c r="I363" t="s">
        <v>762</v>
      </c>
      <c r="J363" s="1">
        <v>0.52900000000000003</v>
      </c>
      <c r="K363">
        <v>-112.5</v>
      </c>
      <c r="L363">
        <v>7</v>
      </c>
      <c r="M363">
        <v>4.05</v>
      </c>
      <c r="N363">
        <v>3.5</v>
      </c>
      <c r="O363">
        <v>2</v>
      </c>
      <c r="P363">
        <v>2</v>
      </c>
      <c r="Q363" s="3">
        <v>0.82222222222222219</v>
      </c>
      <c r="R363">
        <v>9</v>
      </c>
      <c r="S363">
        <v>7.38</v>
      </c>
      <c r="T363">
        <v>29.83</v>
      </c>
      <c r="U363">
        <v>15.07</v>
      </c>
      <c r="V363">
        <v>15.07</v>
      </c>
      <c r="W363">
        <v>100</v>
      </c>
      <c r="Y363">
        <v>59</v>
      </c>
      <c r="Z363">
        <v>3</v>
      </c>
      <c r="AA363">
        <v>0</v>
      </c>
      <c r="AB363" s="3">
        <v>0.82291666666666663</v>
      </c>
      <c r="AC363">
        <v>7.3</v>
      </c>
      <c r="AD363">
        <v>1.5</v>
      </c>
    </row>
    <row r="364" spans="1:30" x14ac:dyDescent="0.2">
      <c r="A364" t="s">
        <v>165</v>
      </c>
      <c r="C364">
        <v>0</v>
      </c>
      <c r="D364" t="s">
        <v>17</v>
      </c>
      <c r="E364">
        <v>6300</v>
      </c>
      <c r="F364" t="s">
        <v>500</v>
      </c>
      <c r="G364" t="s">
        <v>785</v>
      </c>
      <c r="H364" s="2">
        <v>0.8125</v>
      </c>
      <c r="I364" t="s">
        <v>766</v>
      </c>
      <c r="J364" s="1">
        <v>0.56000000000000005</v>
      </c>
      <c r="K364">
        <v>78.5</v>
      </c>
      <c r="L364">
        <v>6.5</v>
      </c>
      <c r="M364">
        <v>3.25</v>
      </c>
      <c r="N364">
        <v>3.43</v>
      </c>
      <c r="O364">
        <v>1</v>
      </c>
      <c r="P364">
        <v>1</v>
      </c>
      <c r="Q364" s="3">
        <v>0.9770833333333333</v>
      </c>
      <c r="R364">
        <v>12.5</v>
      </c>
      <c r="S364">
        <v>6.41</v>
      </c>
      <c r="T364">
        <v>27.9</v>
      </c>
      <c r="U364">
        <v>15.08</v>
      </c>
      <c r="V364">
        <v>15.08</v>
      </c>
      <c r="W364">
        <v>100</v>
      </c>
      <c r="Y364">
        <v>74</v>
      </c>
      <c r="Z364">
        <v>2.4</v>
      </c>
      <c r="AA364">
        <v>0</v>
      </c>
      <c r="AB364" s="4">
        <v>1.1236111111111111</v>
      </c>
      <c r="AC364">
        <v>19.5</v>
      </c>
      <c r="AD364">
        <v>3.1</v>
      </c>
    </row>
    <row r="365" spans="1:30" x14ac:dyDescent="0.2">
      <c r="A365" t="s">
        <v>271</v>
      </c>
      <c r="C365">
        <v>0</v>
      </c>
      <c r="D365" t="s">
        <v>7</v>
      </c>
      <c r="E365">
        <v>7300</v>
      </c>
      <c r="F365" t="s">
        <v>497</v>
      </c>
      <c r="G365" t="s">
        <v>784</v>
      </c>
      <c r="H365" s="2">
        <v>0.79166666666666663</v>
      </c>
      <c r="I365" t="s">
        <v>766</v>
      </c>
      <c r="J365" s="1">
        <v>0.55100000000000005</v>
      </c>
      <c r="K365">
        <v>81.5</v>
      </c>
      <c r="L365">
        <v>6.5</v>
      </c>
      <c r="M365">
        <v>3.17</v>
      </c>
      <c r="N365">
        <v>3.25</v>
      </c>
      <c r="O365" t="s">
        <v>780</v>
      </c>
      <c r="Q365" s="4">
        <v>2.3868055555555556</v>
      </c>
      <c r="R365">
        <v>10.1</v>
      </c>
      <c r="S365">
        <v>10.3</v>
      </c>
      <c r="T365">
        <v>30.19</v>
      </c>
      <c r="U365">
        <v>9.59</v>
      </c>
      <c r="V365">
        <v>9.59</v>
      </c>
      <c r="W365">
        <v>100</v>
      </c>
      <c r="Y365">
        <v>49</v>
      </c>
      <c r="Z365">
        <v>1.3</v>
      </c>
      <c r="AA365">
        <v>0</v>
      </c>
      <c r="AB365" s="4">
        <v>2.4895833333333335</v>
      </c>
      <c r="AC365">
        <v>13.7</v>
      </c>
      <c r="AD365">
        <v>1.9</v>
      </c>
    </row>
    <row r="366" spans="1:30" x14ac:dyDescent="0.2">
      <c r="A366" t="s">
        <v>377</v>
      </c>
      <c r="C366">
        <v>0</v>
      </c>
      <c r="D366" t="s">
        <v>17</v>
      </c>
      <c r="E366">
        <v>2700</v>
      </c>
      <c r="F366" t="s">
        <v>498</v>
      </c>
      <c r="G366" t="s">
        <v>779</v>
      </c>
      <c r="H366" s="2">
        <v>0.79166666666666663</v>
      </c>
      <c r="I366" t="s">
        <v>762</v>
      </c>
      <c r="J366" s="1">
        <v>0.50600000000000001</v>
      </c>
      <c r="K366">
        <v>-102.5</v>
      </c>
      <c r="L366">
        <v>6</v>
      </c>
      <c r="M366">
        <v>3.44</v>
      </c>
      <c r="N366">
        <v>3</v>
      </c>
      <c r="O366">
        <v>1</v>
      </c>
      <c r="Q366" s="3">
        <v>0.82986111111111116</v>
      </c>
      <c r="R366">
        <v>4.8</v>
      </c>
      <c r="S366">
        <v>3.66</v>
      </c>
      <c r="T366">
        <v>13.27</v>
      </c>
      <c r="U366">
        <v>5.95</v>
      </c>
      <c r="V366">
        <v>5.95</v>
      </c>
      <c r="W366">
        <v>100</v>
      </c>
      <c r="Y366">
        <v>62</v>
      </c>
      <c r="Z366">
        <v>2.2000000000000002</v>
      </c>
      <c r="AA366">
        <v>0</v>
      </c>
      <c r="AB366" s="3">
        <v>0.8305555555555556</v>
      </c>
      <c r="AC366">
        <v>16.8</v>
      </c>
      <c r="AD366">
        <v>6.2</v>
      </c>
    </row>
    <row r="367" spans="1:30" x14ac:dyDescent="0.2">
      <c r="A367" t="s">
        <v>191</v>
      </c>
      <c r="C367">
        <v>0</v>
      </c>
      <c r="D367" t="s">
        <v>10</v>
      </c>
      <c r="E367">
        <v>3900</v>
      </c>
      <c r="F367" t="s">
        <v>492</v>
      </c>
      <c r="G367" t="s">
        <v>774</v>
      </c>
      <c r="H367" s="2">
        <v>0.8125</v>
      </c>
      <c r="I367" t="s">
        <v>762</v>
      </c>
      <c r="J367" s="1">
        <v>0.44</v>
      </c>
      <c r="K367">
        <v>-78.5</v>
      </c>
      <c r="L367">
        <v>6.5</v>
      </c>
      <c r="M367">
        <v>3.43</v>
      </c>
      <c r="N367">
        <v>3.25</v>
      </c>
      <c r="O367">
        <v>3</v>
      </c>
      <c r="P367">
        <v>2</v>
      </c>
      <c r="Q367" s="3">
        <v>0.52013888888888893</v>
      </c>
      <c r="R367">
        <v>7.3</v>
      </c>
      <c r="S367">
        <v>6.94</v>
      </c>
      <c r="T367">
        <v>25.84</v>
      </c>
      <c r="U367">
        <v>11.96</v>
      </c>
      <c r="V367">
        <v>11.96</v>
      </c>
      <c r="W367">
        <v>100</v>
      </c>
      <c r="Y367">
        <v>52</v>
      </c>
      <c r="Z367">
        <v>3.1</v>
      </c>
      <c r="AA367">
        <v>0</v>
      </c>
      <c r="AB367" s="3">
        <v>0.54861111111111116</v>
      </c>
      <c r="AC367">
        <v>0</v>
      </c>
    </row>
    <row r="368" spans="1:30" x14ac:dyDescent="0.2">
      <c r="A368" t="s">
        <v>528</v>
      </c>
      <c r="C368">
        <v>0</v>
      </c>
      <c r="D368" t="s">
        <v>10</v>
      </c>
      <c r="E368">
        <v>2700</v>
      </c>
      <c r="F368" t="s">
        <v>488</v>
      </c>
      <c r="G368" t="s">
        <v>781</v>
      </c>
      <c r="H368" s="2">
        <v>0.91666666666666663</v>
      </c>
      <c r="I368" t="s">
        <v>766</v>
      </c>
      <c r="J368" s="1">
        <v>0.53500000000000003</v>
      </c>
      <c r="K368">
        <v>87</v>
      </c>
      <c r="L368">
        <v>6</v>
      </c>
      <c r="M368">
        <v>3</v>
      </c>
      <c r="N368">
        <v>3.14</v>
      </c>
      <c r="O368">
        <v>3</v>
      </c>
      <c r="P368">
        <v>2</v>
      </c>
      <c r="Q368" s="3">
        <v>0.5180555555555556</v>
      </c>
      <c r="R368">
        <v>5.5</v>
      </c>
      <c r="S368">
        <v>5.75</v>
      </c>
      <c r="T368">
        <v>17.77</v>
      </c>
      <c r="U368">
        <v>6.27</v>
      </c>
      <c r="V368">
        <v>6.27</v>
      </c>
      <c r="W368">
        <v>100</v>
      </c>
      <c r="Y368">
        <v>48</v>
      </c>
      <c r="Z368">
        <v>2.2999999999999998</v>
      </c>
      <c r="AA368">
        <v>0</v>
      </c>
      <c r="AB368" s="3">
        <v>0.54166666666666663</v>
      </c>
      <c r="AC368">
        <v>14.1</v>
      </c>
      <c r="AD368">
        <v>5.2</v>
      </c>
    </row>
    <row r="369" spans="1:30" x14ac:dyDescent="0.2">
      <c r="A369" t="s">
        <v>254</v>
      </c>
      <c r="C369">
        <v>0</v>
      </c>
      <c r="D369" t="s">
        <v>17</v>
      </c>
      <c r="E369">
        <v>3400</v>
      </c>
      <c r="F369" t="s">
        <v>509</v>
      </c>
      <c r="G369" t="s">
        <v>791</v>
      </c>
      <c r="H369" s="2">
        <v>0.79166666666666663</v>
      </c>
      <c r="I369" t="s">
        <v>766</v>
      </c>
      <c r="J369" s="1">
        <v>0.51900000000000002</v>
      </c>
      <c r="K369">
        <v>92.5</v>
      </c>
      <c r="L369">
        <v>6.5</v>
      </c>
      <c r="M369">
        <v>3.25</v>
      </c>
      <c r="N369">
        <v>3.62</v>
      </c>
      <c r="O369">
        <v>2</v>
      </c>
      <c r="P369">
        <v>1</v>
      </c>
      <c r="Q369" s="3">
        <v>0.8930555555555556</v>
      </c>
      <c r="R369">
        <v>5.9</v>
      </c>
      <c r="S369">
        <v>4.47</v>
      </c>
      <c r="T369">
        <v>15.89</v>
      </c>
      <c r="U369">
        <v>6.95</v>
      </c>
      <c r="V369">
        <v>6.95</v>
      </c>
      <c r="W369">
        <v>100</v>
      </c>
      <c r="Y369">
        <v>62</v>
      </c>
      <c r="Z369">
        <v>2</v>
      </c>
      <c r="AA369">
        <v>0</v>
      </c>
      <c r="AB369" s="3">
        <v>0.96250000000000002</v>
      </c>
      <c r="AC369">
        <v>1.3</v>
      </c>
      <c r="AD369">
        <v>0.4</v>
      </c>
    </row>
    <row r="370" spans="1:30" x14ac:dyDescent="0.2">
      <c r="A370" t="s">
        <v>560</v>
      </c>
      <c r="C370">
        <v>0</v>
      </c>
      <c r="D370" t="s">
        <v>17</v>
      </c>
      <c r="E370">
        <v>2500</v>
      </c>
      <c r="F370" t="s">
        <v>505</v>
      </c>
      <c r="G370" t="s">
        <v>793</v>
      </c>
      <c r="H370" s="2">
        <v>0.91666666666666663</v>
      </c>
      <c r="I370" t="s">
        <v>762</v>
      </c>
      <c r="J370" s="1">
        <v>0.41499999999999998</v>
      </c>
      <c r="K370">
        <v>-71</v>
      </c>
      <c r="L370">
        <v>6</v>
      </c>
      <c r="M370">
        <v>3.02</v>
      </c>
      <c r="N370">
        <v>3</v>
      </c>
      <c r="O370">
        <v>2</v>
      </c>
      <c r="Q370" s="3">
        <v>0.7006944444444444</v>
      </c>
      <c r="R370">
        <v>5.0999999999999996</v>
      </c>
      <c r="S370">
        <v>4.66</v>
      </c>
      <c r="T370">
        <v>14.85</v>
      </c>
      <c r="U370">
        <v>5.53</v>
      </c>
      <c r="V370">
        <v>5.53</v>
      </c>
      <c r="W370">
        <v>100</v>
      </c>
      <c r="Y370">
        <v>54</v>
      </c>
      <c r="Z370">
        <v>2.2000000000000002</v>
      </c>
      <c r="AA370">
        <v>0</v>
      </c>
      <c r="AB370" s="3">
        <v>0.83402777777777781</v>
      </c>
      <c r="AC370">
        <v>2.6</v>
      </c>
      <c r="AD370">
        <v>1</v>
      </c>
    </row>
    <row r="371" spans="1:30" x14ac:dyDescent="0.2">
      <c r="A371" t="s">
        <v>555</v>
      </c>
      <c r="C371">
        <v>0</v>
      </c>
      <c r="D371" t="s">
        <v>10</v>
      </c>
      <c r="E371">
        <v>2500</v>
      </c>
      <c r="F371" t="s">
        <v>505</v>
      </c>
      <c r="G371" t="s">
        <v>793</v>
      </c>
      <c r="H371" s="2">
        <v>0.91666666666666663</v>
      </c>
      <c r="I371" t="s">
        <v>762</v>
      </c>
      <c r="J371" s="1">
        <v>0.41499999999999998</v>
      </c>
      <c r="K371">
        <v>-71</v>
      </c>
      <c r="L371">
        <v>6</v>
      </c>
      <c r="M371">
        <v>3.02</v>
      </c>
      <c r="N371">
        <v>3</v>
      </c>
      <c r="Q371" s="3">
        <v>0.4513888888888889</v>
      </c>
      <c r="R371">
        <v>3.9</v>
      </c>
      <c r="S371">
        <v>3.92</v>
      </c>
      <c r="T371">
        <v>0</v>
      </c>
      <c r="U371">
        <v>0</v>
      </c>
      <c r="V371">
        <v>0</v>
      </c>
      <c r="W371">
        <v>100</v>
      </c>
      <c r="Y371">
        <v>50</v>
      </c>
      <c r="Z371">
        <v>0</v>
      </c>
      <c r="AA371">
        <v>0</v>
      </c>
    </row>
    <row r="372" spans="1:30" x14ac:dyDescent="0.2">
      <c r="A372" t="s">
        <v>239</v>
      </c>
      <c r="C372">
        <v>0</v>
      </c>
      <c r="D372" t="s">
        <v>5</v>
      </c>
      <c r="E372">
        <v>2800</v>
      </c>
      <c r="F372" t="s">
        <v>489</v>
      </c>
      <c r="G372" t="s">
        <v>788</v>
      </c>
      <c r="H372" s="2">
        <v>0.91666666666666663</v>
      </c>
      <c r="I372" t="s">
        <v>762</v>
      </c>
      <c r="J372" s="1">
        <v>0.48799999999999999</v>
      </c>
      <c r="K372">
        <v>-95.5</v>
      </c>
      <c r="L372">
        <v>6.5</v>
      </c>
      <c r="M372">
        <v>3.25</v>
      </c>
      <c r="N372">
        <v>3.01</v>
      </c>
      <c r="O372">
        <v>3</v>
      </c>
      <c r="P372">
        <v>2</v>
      </c>
      <c r="Q372" s="3">
        <v>0.41597222222222224</v>
      </c>
      <c r="R372">
        <v>2.9</v>
      </c>
      <c r="S372">
        <v>4.2</v>
      </c>
      <c r="T372">
        <v>11.94</v>
      </c>
      <c r="U372">
        <v>3.54</v>
      </c>
      <c r="V372">
        <v>3.54</v>
      </c>
      <c r="W372">
        <v>100</v>
      </c>
      <c r="Y372">
        <v>28</v>
      </c>
      <c r="Z372">
        <v>1.3</v>
      </c>
      <c r="AA372">
        <v>0</v>
      </c>
      <c r="AB372" s="3">
        <v>0.4826388888888889</v>
      </c>
      <c r="AC372">
        <v>1.5</v>
      </c>
      <c r="AD372">
        <v>0.5</v>
      </c>
    </row>
    <row r="373" spans="1:30" x14ac:dyDescent="0.2">
      <c r="A373" t="s">
        <v>700</v>
      </c>
      <c r="C373">
        <v>0</v>
      </c>
      <c r="D373" t="s">
        <v>10</v>
      </c>
      <c r="E373">
        <v>2500</v>
      </c>
      <c r="F373" t="s">
        <v>497</v>
      </c>
      <c r="G373" t="s">
        <v>784</v>
      </c>
      <c r="H373" s="2">
        <v>0.79166666666666663</v>
      </c>
      <c r="I373" t="s">
        <v>766</v>
      </c>
      <c r="J373" s="1">
        <v>0.55100000000000005</v>
      </c>
      <c r="K373">
        <v>81.5</v>
      </c>
      <c r="L373">
        <v>6.5</v>
      </c>
      <c r="M373">
        <v>3.17</v>
      </c>
      <c r="N373">
        <v>3.25</v>
      </c>
      <c r="Q373" s="3">
        <v>0.36249999999999999</v>
      </c>
      <c r="R373">
        <v>2</v>
      </c>
      <c r="S373">
        <v>1.97</v>
      </c>
      <c r="T373">
        <v>0</v>
      </c>
      <c r="U373">
        <v>0</v>
      </c>
      <c r="V373">
        <v>0</v>
      </c>
      <c r="W373">
        <v>100</v>
      </c>
      <c r="Y373">
        <v>51</v>
      </c>
      <c r="Z373">
        <v>0</v>
      </c>
      <c r="AA373">
        <v>0</v>
      </c>
    </row>
    <row r="374" spans="1:30" x14ac:dyDescent="0.2">
      <c r="A374" t="s">
        <v>29</v>
      </c>
      <c r="C374">
        <v>0</v>
      </c>
      <c r="D374" t="s">
        <v>10</v>
      </c>
      <c r="E374">
        <v>5700</v>
      </c>
      <c r="F374" t="s">
        <v>505</v>
      </c>
      <c r="G374" t="s">
        <v>793</v>
      </c>
      <c r="H374" s="2">
        <v>0.91666666666666663</v>
      </c>
      <c r="I374" t="s">
        <v>762</v>
      </c>
      <c r="J374" s="1">
        <v>0.41499999999999998</v>
      </c>
      <c r="K374">
        <v>-71</v>
      </c>
      <c r="L374">
        <v>6</v>
      </c>
      <c r="M374">
        <v>3.02</v>
      </c>
      <c r="N374">
        <v>3</v>
      </c>
      <c r="O374">
        <v>1</v>
      </c>
      <c r="P374">
        <v>1</v>
      </c>
      <c r="Q374" s="3">
        <v>0.68125000000000002</v>
      </c>
      <c r="R374">
        <v>10.7</v>
      </c>
      <c r="S374">
        <v>7.46</v>
      </c>
      <c r="T374">
        <v>26.67</v>
      </c>
      <c r="U374">
        <v>11.75</v>
      </c>
      <c r="V374">
        <v>11.75</v>
      </c>
      <c r="W374">
        <v>100</v>
      </c>
      <c r="Y374">
        <v>65</v>
      </c>
      <c r="Z374">
        <v>2.1</v>
      </c>
      <c r="AA374">
        <v>0</v>
      </c>
      <c r="AB374" s="3">
        <v>0.67500000000000004</v>
      </c>
      <c r="AC374">
        <v>16.3</v>
      </c>
      <c r="AD374">
        <v>2.9</v>
      </c>
    </row>
    <row r="375" spans="1:30" x14ac:dyDescent="0.2">
      <c r="A375" t="s">
        <v>101</v>
      </c>
      <c r="C375">
        <v>0</v>
      </c>
      <c r="D375" t="s">
        <v>17</v>
      </c>
      <c r="E375">
        <v>3100</v>
      </c>
      <c r="F375" t="s">
        <v>487</v>
      </c>
      <c r="G375" t="s">
        <v>770</v>
      </c>
      <c r="H375" s="2">
        <v>0.83333333333333337</v>
      </c>
      <c r="I375" t="s">
        <v>762</v>
      </c>
      <c r="J375" s="1">
        <v>0.51300000000000001</v>
      </c>
      <c r="K375">
        <v>-105.5</v>
      </c>
      <c r="L375">
        <v>6</v>
      </c>
      <c r="M375">
        <v>3.46</v>
      </c>
      <c r="N375">
        <v>3</v>
      </c>
      <c r="O375">
        <v>2</v>
      </c>
      <c r="P375">
        <v>2</v>
      </c>
      <c r="Q375" s="3">
        <v>0.83472222222222225</v>
      </c>
      <c r="R375">
        <v>6.5</v>
      </c>
      <c r="S375">
        <v>4.97</v>
      </c>
      <c r="T375">
        <v>19.670000000000002</v>
      </c>
      <c r="U375">
        <v>9.73</v>
      </c>
      <c r="V375">
        <v>9.73</v>
      </c>
      <c r="W375">
        <v>100</v>
      </c>
      <c r="Y375">
        <v>62</v>
      </c>
      <c r="Z375">
        <v>3.1</v>
      </c>
      <c r="AA375">
        <v>0</v>
      </c>
      <c r="AB375" s="3">
        <v>0.77777777777777779</v>
      </c>
      <c r="AC375">
        <v>7.6</v>
      </c>
      <c r="AD375">
        <v>2.5</v>
      </c>
    </row>
    <row r="376" spans="1:30" x14ac:dyDescent="0.2">
      <c r="A376" t="s">
        <v>724</v>
      </c>
      <c r="C376">
        <v>0</v>
      </c>
      <c r="D376" t="s">
        <v>10</v>
      </c>
      <c r="E376">
        <v>2500</v>
      </c>
      <c r="F376" t="s">
        <v>501</v>
      </c>
      <c r="G376" t="s">
        <v>783</v>
      </c>
      <c r="H376" s="2">
        <v>0.79166666666666663</v>
      </c>
      <c r="I376" t="s">
        <v>766</v>
      </c>
      <c r="J376" s="1">
        <v>0.52800000000000002</v>
      </c>
      <c r="K376">
        <v>89.5</v>
      </c>
      <c r="L376">
        <v>6</v>
      </c>
      <c r="M376">
        <v>2.82</v>
      </c>
      <c r="N376">
        <v>3</v>
      </c>
      <c r="Q376" s="3">
        <v>0.32708333333333334</v>
      </c>
      <c r="R376">
        <v>1.4</v>
      </c>
      <c r="S376">
        <v>1.98</v>
      </c>
      <c r="T376">
        <v>0</v>
      </c>
      <c r="U376">
        <v>0</v>
      </c>
      <c r="V376">
        <v>0</v>
      </c>
      <c r="W376">
        <v>100</v>
      </c>
      <c r="Y376">
        <v>29</v>
      </c>
      <c r="Z376">
        <v>0</v>
      </c>
      <c r="AA376">
        <v>0</v>
      </c>
    </row>
    <row r="377" spans="1:30" x14ac:dyDescent="0.2">
      <c r="A377" t="s">
        <v>292</v>
      </c>
      <c r="C377">
        <v>0</v>
      </c>
      <c r="D377" t="s">
        <v>5</v>
      </c>
      <c r="E377">
        <v>2500</v>
      </c>
      <c r="F377" t="s">
        <v>491</v>
      </c>
      <c r="G377" t="s">
        <v>773</v>
      </c>
      <c r="H377" s="2">
        <v>0.79166666666666663</v>
      </c>
      <c r="I377" t="s">
        <v>766</v>
      </c>
      <c r="J377" s="1">
        <v>0.49299999999999999</v>
      </c>
      <c r="K377">
        <v>103</v>
      </c>
      <c r="L377">
        <v>6.5</v>
      </c>
      <c r="M377">
        <v>3.25</v>
      </c>
      <c r="N377">
        <v>3.71</v>
      </c>
      <c r="O377">
        <v>2</v>
      </c>
      <c r="Q377" s="3">
        <v>0.6479166666666667</v>
      </c>
      <c r="R377">
        <v>4.7</v>
      </c>
      <c r="S377">
        <v>4.22</v>
      </c>
      <c r="T377">
        <v>14.19</v>
      </c>
      <c r="U377">
        <v>5.75</v>
      </c>
      <c r="V377">
        <v>5.75</v>
      </c>
      <c r="W377">
        <v>100</v>
      </c>
      <c r="Y377">
        <v>55</v>
      </c>
      <c r="Z377">
        <v>2.2999999999999998</v>
      </c>
      <c r="AA377">
        <v>0</v>
      </c>
      <c r="AB377" s="3">
        <v>0.77430555555555558</v>
      </c>
      <c r="AC377">
        <v>6.9</v>
      </c>
      <c r="AD377">
        <v>2.8</v>
      </c>
    </row>
    <row r="378" spans="1:30" x14ac:dyDescent="0.2">
      <c r="A378" t="s">
        <v>173</v>
      </c>
      <c r="C378">
        <v>0</v>
      </c>
      <c r="D378" t="s">
        <v>10</v>
      </c>
      <c r="E378">
        <v>8400</v>
      </c>
      <c r="F378" t="s">
        <v>488</v>
      </c>
      <c r="G378" t="s">
        <v>781</v>
      </c>
      <c r="H378" s="2">
        <v>0.91666666666666663</v>
      </c>
      <c r="I378" t="s">
        <v>766</v>
      </c>
      <c r="J378" s="1">
        <v>0.53500000000000003</v>
      </c>
      <c r="K378">
        <v>87</v>
      </c>
      <c r="L378">
        <v>6</v>
      </c>
      <c r="M378">
        <v>3</v>
      </c>
      <c r="N378">
        <v>3.14</v>
      </c>
      <c r="O378">
        <v>2</v>
      </c>
      <c r="P378">
        <v>1</v>
      </c>
      <c r="Q378" s="3">
        <v>0.82708333333333328</v>
      </c>
      <c r="R378">
        <v>15.4</v>
      </c>
      <c r="S378">
        <v>10.3</v>
      </c>
      <c r="T378">
        <v>35.119999999999997</v>
      </c>
      <c r="U378">
        <v>14.52</v>
      </c>
      <c r="V378">
        <v>14.52</v>
      </c>
      <c r="W378">
        <v>100</v>
      </c>
      <c r="Y378">
        <v>67</v>
      </c>
      <c r="Z378">
        <v>1.7</v>
      </c>
      <c r="AA378">
        <v>0</v>
      </c>
      <c r="AB378" s="3">
        <v>0.78333333333333333</v>
      </c>
      <c r="AC378">
        <v>8</v>
      </c>
      <c r="AD378">
        <v>1</v>
      </c>
    </row>
    <row r="379" spans="1:30" x14ac:dyDescent="0.2">
      <c r="A379" t="s">
        <v>100</v>
      </c>
      <c r="C379">
        <v>0</v>
      </c>
      <c r="D379" t="s">
        <v>10</v>
      </c>
      <c r="E379">
        <v>4800</v>
      </c>
      <c r="F379" t="s">
        <v>486</v>
      </c>
      <c r="G379" t="s">
        <v>776</v>
      </c>
      <c r="H379" s="2">
        <v>0.79166666666666663</v>
      </c>
      <c r="I379" t="s">
        <v>762</v>
      </c>
      <c r="J379" s="1">
        <v>0.435</v>
      </c>
      <c r="K379">
        <v>-77</v>
      </c>
      <c r="L379">
        <v>5.5</v>
      </c>
      <c r="M379">
        <v>2.87</v>
      </c>
      <c r="N379">
        <v>2.75</v>
      </c>
      <c r="O379">
        <v>2</v>
      </c>
      <c r="P379">
        <v>1</v>
      </c>
      <c r="Q379" s="3">
        <v>0.65763888888888888</v>
      </c>
      <c r="R379">
        <v>9.1</v>
      </c>
      <c r="S379">
        <v>7</v>
      </c>
      <c r="T379">
        <v>24.01</v>
      </c>
      <c r="U379">
        <v>10.01</v>
      </c>
      <c r="V379">
        <v>10.01</v>
      </c>
      <c r="W379">
        <v>100</v>
      </c>
      <c r="Y379">
        <v>62</v>
      </c>
      <c r="Z379">
        <v>2.1</v>
      </c>
      <c r="AA379">
        <v>0</v>
      </c>
      <c r="AB379" s="3">
        <v>0.72013888888888888</v>
      </c>
      <c r="AC379">
        <v>0</v>
      </c>
    </row>
    <row r="380" spans="1:30" x14ac:dyDescent="0.2">
      <c r="A380" t="s">
        <v>1022</v>
      </c>
      <c r="C380">
        <v>0</v>
      </c>
      <c r="D380" t="s">
        <v>17</v>
      </c>
      <c r="E380">
        <v>2500</v>
      </c>
      <c r="F380" t="s">
        <v>483</v>
      </c>
      <c r="G380" t="s">
        <v>772</v>
      </c>
      <c r="H380" s="2">
        <v>0.91666666666666663</v>
      </c>
      <c r="I380" t="s">
        <v>762</v>
      </c>
      <c r="J380" s="1">
        <v>0.46500000000000002</v>
      </c>
      <c r="K380">
        <v>-87</v>
      </c>
      <c r="L380">
        <v>6</v>
      </c>
      <c r="M380">
        <v>3.14</v>
      </c>
      <c r="N380">
        <v>3</v>
      </c>
      <c r="Q380" s="3">
        <v>0.44236111111111109</v>
      </c>
      <c r="R380">
        <v>0.7</v>
      </c>
      <c r="S380">
        <v>0.7</v>
      </c>
      <c r="T380">
        <v>0</v>
      </c>
      <c r="U380">
        <v>0</v>
      </c>
      <c r="V380">
        <v>0</v>
      </c>
      <c r="W380">
        <v>100</v>
      </c>
      <c r="Y380">
        <v>50</v>
      </c>
      <c r="Z380">
        <v>0</v>
      </c>
      <c r="AA380">
        <v>0</v>
      </c>
    </row>
    <row r="381" spans="1:30" x14ac:dyDescent="0.2">
      <c r="A381" t="s">
        <v>642</v>
      </c>
      <c r="C381">
        <v>0</v>
      </c>
      <c r="D381" t="s">
        <v>17</v>
      </c>
      <c r="E381">
        <v>2500</v>
      </c>
      <c r="F381" t="s">
        <v>497</v>
      </c>
      <c r="G381" t="s">
        <v>784</v>
      </c>
      <c r="H381" s="2">
        <v>0.79166666666666663</v>
      </c>
      <c r="I381" t="s">
        <v>766</v>
      </c>
      <c r="J381" s="1">
        <v>0.55100000000000005</v>
      </c>
      <c r="K381">
        <v>81.5</v>
      </c>
      <c r="L381">
        <v>6.5</v>
      </c>
      <c r="M381">
        <v>3.17</v>
      </c>
      <c r="N381">
        <v>3.25</v>
      </c>
      <c r="Q381" s="3">
        <v>0.59236111111111112</v>
      </c>
      <c r="R381">
        <v>2</v>
      </c>
      <c r="S381">
        <v>2.2000000000000002</v>
      </c>
      <c r="T381">
        <v>0</v>
      </c>
      <c r="U381">
        <v>0</v>
      </c>
      <c r="V381">
        <v>0</v>
      </c>
      <c r="W381">
        <v>100</v>
      </c>
      <c r="Y381">
        <v>45</v>
      </c>
      <c r="Z381">
        <v>0</v>
      </c>
      <c r="AA381">
        <v>0</v>
      </c>
    </row>
    <row r="382" spans="1:30" x14ac:dyDescent="0.2">
      <c r="A382" t="s">
        <v>156</v>
      </c>
      <c r="C382">
        <v>0</v>
      </c>
      <c r="D382" t="s">
        <v>5</v>
      </c>
      <c r="E382">
        <v>3500</v>
      </c>
      <c r="F382" t="s">
        <v>494</v>
      </c>
      <c r="G382" t="s">
        <v>782</v>
      </c>
      <c r="H382" s="2">
        <v>0.79166666666666663</v>
      </c>
      <c r="I382" t="s">
        <v>762</v>
      </c>
      <c r="J382" s="1">
        <v>0.47199999999999998</v>
      </c>
      <c r="K382">
        <v>-89.5</v>
      </c>
      <c r="L382">
        <v>6</v>
      </c>
      <c r="M382">
        <v>3</v>
      </c>
      <c r="N382">
        <v>2.82</v>
      </c>
      <c r="O382">
        <v>3</v>
      </c>
      <c r="Q382" s="3">
        <v>0.64375000000000004</v>
      </c>
      <c r="R382">
        <v>6.4</v>
      </c>
      <c r="S382">
        <v>6.02</v>
      </c>
      <c r="T382">
        <v>18.239999999999998</v>
      </c>
      <c r="U382">
        <v>6.2</v>
      </c>
      <c r="V382">
        <v>6.2</v>
      </c>
      <c r="W382">
        <v>100</v>
      </c>
      <c r="Y382">
        <v>53</v>
      </c>
      <c r="Z382">
        <v>1.8</v>
      </c>
      <c r="AA382">
        <v>0</v>
      </c>
      <c r="AB382" s="3">
        <v>0.66736111111111107</v>
      </c>
      <c r="AC382">
        <v>3</v>
      </c>
      <c r="AD382">
        <v>0.9</v>
      </c>
    </row>
    <row r="383" spans="1:30" x14ac:dyDescent="0.2">
      <c r="A383" t="s">
        <v>656</v>
      </c>
      <c r="C383">
        <v>0</v>
      </c>
      <c r="D383" t="s">
        <v>10</v>
      </c>
      <c r="E383">
        <v>2500</v>
      </c>
      <c r="F383" t="s">
        <v>794</v>
      </c>
      <c r="G383" t="s">
        <v>795</v>
      </c>
      <c r="H383" s="2">
        <v>0.79166666666666663</v>
      </c>
      <c r="I383" t="s">
        <v>766</v>
      </c>
      <c r="J383" s="1">
        <v>0.56499999999999995</v>
      </c>
      <c r="K383">
        <v>77</v>
      </c>
      <c r="L383">
        <v>5.5</v>
      </c>
      <c r="M383">
        <v>2.75</v>
      </c>
      <c r="N383">
        <v>2.87</v>
      </c>
      <c r="O383">
        <v>4</v>
      </c>
      <c r="Q383" s="3">
        <v>0.37222222222222223</v>
      </c>
      <c r="R383">
        <v>3.2</v>
      </c>
      <c r="S383">
        <v>3.31</v>
      </c>
      <c r="T383">
        <v>10.119999999999999</v>
      </c>
      <c r="U383">
        <v>3.5</v>
      </c>
      <c r="V383">
        <v>3.5</v>
      </c>
      <c r="W383">
        <v>100</v>
      </c>
      <c r="Y383">
        <v>48</v>
      </c>
      <c r="Z383">
        <v>1.4</v>
      </c>
      <c r="AA383">
        <v>0</v>
      </c>
      <c r="AB383" s="3">
        <v>0.40208333333333335</v>
      </c>
      <c r="AC383">
        <v>2.8</v>
      </c>
      <c r="AD383">
        <v>1.1000000000000001</v>
      </c>
    </row>
    <row r="384" spans="1:30" x14ac:dyDescent="0.2">
      <c r="A384" t="s">
        <v>576</v>
      </c>
      <c r="C384">
        <v>0</v>
      </c>
      <c r="D384" t="s">
        <v>17</v>
      </c>
      <c r="E384">
        <v>2500</v>
      </c>
      <c r="F384" t="s">
        <v>493</v>
      </c>
      <c r="G384" t="s">
        <v>789</v>
      </c>
      <c r="H384" s="2">
        <v>0.83333333333333337</v>
      </c>
      <c r="I384" t="s">
        <v>762</v>
      </c>
      <c r="J384" s="1">
        <v>0.48699999999999999</v>
      </c>
      <c r="K384">
        <v>-95</v>
      </c>
      <c r="L384">
        <v>5.5</v>
      </c>
      <c r="M384">
        <v>2.75</v>
      </c>
      <c r="N384">
        <v>2.54</v>
      </c>
      <c r="O384">
        <v>3</v>
      </c>
      <c r="P384">
        <v>2</v>
      </c>
      <c r="Q384" s="3">
        <v>0.62986111111111109</v>
      </c>
      <c r="R384">
        <v>4</v>
      </c>
      <c r="S384">
        <v>4.3600000000000003</v>
      </c>
      <c r="T384">
        <v>12.1</v>
      </c>
      <c r="U384">
        <v>3.38</v>
      </c>
      <c r="V384">
        <v>3.38</v>
      </c>
      <c r="W384">
        <v>100</v>
      </c>
      <c r="Y384">
        <v>46</v>
      </c>
      <c r="Z384">
        <v>1.4</v>
      </c>
      <c r="AA384">
        <v>0</v>
      </c>
      <c r="AB384" s="3">
        <v>0.48680555555555555</v>
      </c>
      <c r="AC384">
        <v>0</v>
      </c>
    </row>
    <row r="385" spans="1:30" x14ac:dyDescent="0.2">
      <c r="A385" t="s">
        <v>376</v>
      </c>
      <c r="C385">
        <v>0</v>
      </c>
      <c r="D385" t="s">
        <v>10</v>
      </c>
      <c r="E385">
        <v>2800</v>
      </c>
      <c r="F385" t="s">
        <v>764</v>
      </c>
      <c r="G385" t="s">
        <v>765</v>
      </c>
      <c r="H385" s="2">
        <v>0.875</v>
      </c>
      <c r="I385" t="s">
        <v>766</v>
      </c>
      <c r="J385" s="1">
        <v>0.47099999999999997</v>
      </c>
      <c r="K385">
        <v>112.5</v>
      </c>
      <c r="L385">
        <v>7</v>
      </c>
      <c r="M385">
        <v>3.5</v>
      </c>
      <c r="N385">
        <v>4.05</v>
      </c>
      <c r="Q385" s="3">
        <v>0.53125</v>
      </c>
      <c r="R385">
        <v>6.2</v>
      </c>
      <c r="S385">
        <v>4.57</v>
      </c>
      <c r="T385">
        <v>0</v>
      </c>
      <c r="U385">
        <v>0</v>
      </c>
      <c r="V385">
        <v>0</v>
      </c>
      <c r="W385">
        <v>100</v>
      </c>
      <c r="Y385">
        <v>63</v>
      </c>
      <c r="Z385">
        <v>0</v>
      </c>
      <c r="AA385">
        <v>0</v>
      </c>
    </row>
    <row r="386" spans="1:30" x14ac:dyDescent="0.2">
      <c r="A386" t="s">
        <v>809</v>
      </c>
      <c r="C386">
        <v>0</v>
      </c>
      <c r="D386" t="s">
        <v>10</v>
      </c>
      <c r="E386">
        <v>3200</v>
      </c>
      <c r="F386" t="s">
        <v>489</v>
      </c>
      <c r="G386" t="s">
        <v>788</v>
      </c>
      <c r="H386" s="2">
        <v>0.91666666666666663</v>
      </c>
      <c r="I386" t="s">
        <v>762</v>
      </c>
      <c r="J386" s="1">
        <v>0.48799999999999999</v>
      </c>
      <c r="K386">
        <v>-95.5</v>
      </c>
      <c r="L386">
        <v>6.5</v>
      </c>
      <c r="M386">
        <v>3.25</v>
      </c>
      <c r="N386">
        <v>3.01</v>
      </c>
      <c r="O386">
        <v>2</v>
      </c>
      <c r="Q386" s="3">
        <v>0.45277777777777778</v>
      </c>
      <c r="R386">
        <v>4.0999999999999996</v>
      </c>
      <c r="S386">
        <v>4.9800000000000004</v>
      </c>
      <c r="T386">
        <v>15.12</v>
      </c>
      <c r="U386">
        <v>5.16</v>
      </c>
      <c r="V386">
        <v>5.16</v>
      </c>
      <c r="W386">
        <v>100</v>
      </c>
      <c r="Y386">
        <v>39</v>
      </c>
      <c r="Z386">
        <v>1.6</v>
      </c>
      <c r="AA386">
        <v>0</v>
      </c>
      <c r="AB386" s="3">
        <v>0.55902777777777779</v>
      </c>
      <c r="AC386">
        <v>5.8</v>
      </c>
      <c r="AD386">
        <v>1.8</v>
      </c>
    </row>
    <row r="387" spans="1:30" x14ac:dyDescent="0.2">
      <c r="A387" t="s">
        <v>380</v>
      </c>
      <c r="C387">
        <v>0</v>
      </c>
      <c r="D387" t="s">
        <v>17</v>
      </c>
      <c r="E387">
        <v>2900</v>
      </c>
      <c r="F387" t="s">
        <v>483</v>
      </c>
      <c r="G387" t="s">
        <v>772</v>
      </c>
      <c r="H387" s="2">
        <v>0.91666666666666663</v>
      </c>
      <c r="I387" t="s">
        <v>762</v>
      </c>
      <c r="J387" s="1">
        <v>0.46500000000000002</v>
      </c>
      <c r="K387">
        <v>-87</v>
      </c>
      <c r="L387">
        <v>6</v>
      </c>
      <c r="M387">
        <v>3.14</v>
      </c>
      <c r="N387">
        <v>3</v>
      </c>
      <c r="O387">
        <v>1</v>
      </c>
      <c r="Q387" s="3">
        <v>0.71250000000000002</v>
      </c>
      <c r="R387">
        <v>5.3</v>
      </c>
      <c r="S387">
        <v>3.81</v>
      </c>
      <c r="T387">
        <v>14</v>
      </c>
      <c r="U387">
        <v>6.38</v>
      </c>
      <c r="V387">
        <v>6.38</v>
      </c>
      <c r="W387">
        <v>100</v>
      </c>
      <c r="Y387">
        <v>64</v>
      </c>
      <c r="Z387">
        <v>2.2000000000000002</v>
      </c>
      <c r="AA387">
        <v>0</v>
      </c>
      <c r="AB387" s="3">
        <v>0.75972222222222219</v>
      </c>
      <c r="AC387">
        <v>5.6</v>
      </c>
      <c r="AD387">
        <v>1.9</v>
      </c>
    </row>
    <row r="388" spans="1:30" x14ac:dyDescent="0.2">
      <c r="A388" t="s">
        <v>35</v>
      </c>
      <c r="C388">
        <v>0</v>
      </c>
      <c r="D388" t="s">
        <v>7</v>
      </c>
      <c r="E388">
        <v>8300</v>
      </c>
      <c r="F388" t="s">
        <v>485</v>
      </c>
      <c r="G388" t="s">
        <v>767</v>
      </c>
      <c r="H388" s="2">
        <v>0.79166666666666663</v>
      </c>
      <c r="I388" t="s">
        <v>762</v>
      </c>
      <c r="J388" s="1">
        <v>0.48099999999999998</v>
      </c>
      <c r="K388">
        <v>-92.5</v>
      </c>
      <c r="L388">
        <v>6.5</v>
      </c>
      <c r="M388">
        <v>3.62</v>
      </c>
      <c r="N388">
        <v>3.25</v>
      </c>
      <c r="O388" t="s">
        <v>780</v>
      </c>
      <c r="Q388" s="4">
        <v>2.4527777777777779</v>
      </c>
      <c r="R388">
        <v>12.4</v>
      </c>
      <c r="S388">
        <v>11.1</v>
      </c>
      <c r="T388">
        <v>33.93</v>
      </c>
      <c r="U388">
        <v>11.73</v>
      </c>
      <c r="V388">
        <v>11.73</v>
      </c>
      <c r="W388">
        <v>100</v>
      </c>
      <c r="Y388">
        <v>55</v>
      </c>
      <c r="Z388">
        <v>1.4</v>
      </c>
      <c r="AA388">
        <v>0</v>
      </c>
      <c r="AB388" s="4">
        <v>2.5</v>
      </c>
      <c r="AC388">
        <v>18.600000000000001</v>
      </c>
      <c r="AD388">
        <v>2.2000000000000002</v>
      </c>
    </row>
    <row r="389" spans="1:30" x14ac:dyDescent="0.2">
      <c r="A389" t="s">
        <v>670</v>
      </c>
      <c r="C389">
        <v>0</v>
      </c>
      <c r="D389" t="s">
        <v>10</v>
      </c>
      <c r="E389">
        <v>2500</v>
      </c>
      <c r="F389" t="s">
        <v>493</v>
      </c>
      <c r="G389" t="s">
        <v>789</v>
      </c>
      <c r="H389" s="2">
        <v>0.83333333333333337</v>
      </c>
      <c r="I389" t="s">
        <v>762</v>
      </c>
      <c r="J389" s="1">
        <v>0.48699999999999999</v>
      </c>
      <c r="K389">
        <v>-95</v>
      </c>
      <c r="L389">
        <v>5.5</v>
      </c>
      <c r="M389">
        <v>2.75</v>
      </c>
      <c r="N389">
        <v>2.54</v>
      </c>
      <c r="Q389" s="3">
        <v>0.46875</v>
      </c>
      <c r="R389">
        <v>2.9</v>
      </c>
      <c r="S389">
        <v>3.18</v>
      </c>
      <c r="T389">
        <v>0</v>
      </c>
      <c r="U389">
        <v>0</v>
      </c>
      <c r="V389">
        <v>0</v>
      </c>
      <c r="W389">
        <v>100</v>
      </c>
      <c r="Y389">
        <v>45</v>
      </c>
      <c r="Z389">
        <v>0</v>
      </c>
      <c r="AA389">
        <v>0</v>
      </c>
    </row>
    <row r="390" spans="1:30" x14ac:dyDescent="0.2">
      <c r="A390" t="s">
        <v>60</v>
      </c>
      <c r="C390">
        <v>0</v>
      </c>
      <c r="D390" t="s">
        <v>10</v>
      </c>
      <c r="E390">
        <v>4900</v>
      </c>
      <c r="F390" t="s">
        <v>777</v>
      </c>
      <c r="G390" t="s">
        <v>778</v>
      </c>
      <c r="H390" s="2">
        <v>0.79166666666666663</v>
      </c>
      <c r="I390" t="s">
        <v>762</v>
      </c>
      <c r="J390" s="1">
        <v>0.46400000000000002</v>
      </c>
      <c r="K390">
        <v>-86.5</v>
      </c>
      <c r="L390">
        <v>6</v>
      </c>
      <c r="M390">
        <v>3.19</v>
      </c>
      <c r="N390">
        <v>3</v>
      </c>
      <c r="O390">
        <v>1</v>
      </c>
      <c r="P390">
        <v>1</v>
      </c>
      <c r="Q390" s="3">
        <v>0.78541666666666665</v>
      </c>
      <c r="R390">
        <v>8.5</v>
      </c>
      <c r="S390">
        <v>7.15</v>
      </c>
      <c r="T390">
        <v>23.23</v>
      </c>
      <c r="U390">
        <v>8.93</v>
      </c>
      <c r="V390">
        <v>8.93</v>
      </c>
      <c r="W390">
        <v>100</v>
      </c>
      <c r="Y390">
        <v>58</v>
      </c>
      <c r="Z390">
        <v>1.8</v>
      </c>
      <c r="AA390">
        <v>0</v>
      </c>
      <c r="AB390" s="3">
        <v>0.86875000000000002</v>
      </c>
      <c r="AC390">
        <v>11.3</v>
      </c>
      <c r="AD390">
        <v>2.2999999999999998</v>
      </c>
    </row>
    <row r="391" spans="1:30" x14ac:dyDescent="0.2">
      <c r="A391" t="s">
        <v>817</v>
      </c>
      <c r="C391">
        <v>0</v>
      </c>
      <c r="D391" t="s">
        <v>7</v>
      </c>
      <c r="E391">
        <v>8600</v>
      </c>
      <c r="F391" t="s">
        <v>487</v>
      </c>
      <c r="G391" t="s">
        <v>770</v>
      </c>
      <c r="H391" s="2">
        <v>0.83333333333333337</v>
      </c>
      <c r="I391" t="s">
        <v>762</v>
      </c>
      <c r="J391" s="1">
        <v>0.51300000000000001</v>
      </c>
      <c r="K391">
        <v>-105.5</v>
      </c>
      <c r="L391">
        <v>6</v>
      </c>
      <c r="M391">
        <v>3.46</v>
      </c>
      <c r="N391">
        <v>3</v>
      </c>
      <c r="O391" t="s">
        <v>818</v>
      </c>
      <c r="Q391" s="4">
        <v>2.5173611111111112</v>
      </c>
      <c r="R391">
        <v>15.4</v>
      </c>
      <c r="S391">
        <v>12.94</v>
      </c>
      <c r="T391">
        <v>0</v>
      </c>
      <c r="U391">
        <v>0</v>
      </c>
      <c r="V391">
        <v>0</v>
      </c>
      <c r="W391">
        <v>100</v>
      </c>
      <c r="Y391">
        <v>58</v>
      </c>
      <c r="Z391">
        <v>0</v>
      </c>
      <c r="AA391">
        <v>0</v>
      </c>
      <c r="AB391" s="3">
        <v>0</v>
      </c>
      <c r="AC391">
        <v>0</v>
      </c>
    </row>
    <row r="392" spans="1:30" x14ac:dyDescent="0.2">
      <c r="A392" t="s">
        <v>596</v>
      </c>
      <c r="C392">
        <v>0</v>
      </c>
      <c r="D392" t="s">
        <v>10</v>
      </c>
      <c r="E392">
        <v>2500</v>
      </c>
      <c r="F392" t="s">
        <v>498</v>
      </c>
      <c r="G392" t="s">
        <v>779</v>
      </c>
      <c r="H392" s="2">
        <v>0.79166666666666663</v>
      </c>
      <c r="I392" t="s">
        <v>762</v>
      </c>
      <c r="J392" s="1">
        <v>0.50600000000000001</v>
      </c>
      <c r="K392">
        <v>-102.5</v>
      </c>
      <c r="L392">
        <v>6</v>
      </c>
      <c r="M392">
        <v>3.44</v>
      </c>
      <c r="N392">
        <v>3</v>
      </c>
      <c r="O392">
        <v>4</v>
      </c>
      <c r="Q392" s="3">
        <v>0.46458333333333335</v>
      </c>
      <c r="R392">
        <v>3.7</v>
      </c>
      <c r="S392">
        <v>3.54</v>
      </c>
      <c r="T392">
        <v>11.67</v>
      </c>
      <c r="U392">
        <v>4.59</v>
      </c>
      <c r="V392">
        <v>4.59</v>
      </c>
      <c r="W392">
        <v>100</v>
      </c>
      <c r="Y392">
        <v>52</v>
      </c>
      <c r="Z392">
        <v>1.8</v>
      </c>
      <c r="AA392">
        <v>0</v>
      </c>
      <c r="AB392" s="3">
        <v>0.39305555555555555</v>
      </c>
      <c r="AC392">
        <v>1.5</v>
      </c>
      <c r="AD392">
        <v>0.6</v>
      </c>
    </row>
    <row r="393" spans="1:30" x14ac:dyDescent="0.2">
      <c r="A393" t="s">
        <v>909</v>
      </c>
      <c r="C393">
        <v>0</v>
      </c>
      <c r="D393" t="s">
        <v>5</v>
      </c>
      <c r="E393">
        <v>2500</v>
      </c>
      <c r="F393" t="s">
        <v>509</v>
      </c>
      <c r="G393" t="s">
        <v>791</v>
      </c>
      <c r="H393" s="2">
        <v>0.79166666666666663</v>
      </c>
      <c r="I393" t="s">
        <v>766</v>
      </c>
      <c r="J393" s="1">
        <v>0.51900000000000002</v>
      </c>
      <c r="K393">
        <v>92.5</v>
      </c>
      <c r="L393">
        <v>6.5</v>
      </c>
      <c r="M393">
        <v>3.25</v>
      </c>
      <c r="N393">
        <v>3.62</v>
      </c>
      <c r="Q393" s="3">
        <v>0.39305555555555555</v>
      </c>
      <c r="R393">
        <v>2.4</v>
      </c>
      <c r="S393">
        <v>2.2200000000000002</v>
      </c>
      <c r="T393">
        <v>0</v>
      </c>
      <c r="U393">
        <v>0</v>
      </c>
      <c r="V393">
        <v>0</v>
      </c>
      <c r="W393">
        <v>100</v>
      </c>
      <c r="Y393">
        <v>54</v>
      </c>
      <c r="Z393">
        <v>0</v>
      </c>
      <c r="AA393">
        <v>0</v>
      </c>
    </row>
    <row r="394" spans="1:30" x14ac:dyDescent="0.2">
      <c r="A394" t="s">
        <v>151</v>
      </c>
      <c r="C394">
        <v>0</v>
      </c>
      <c r="D394" t="s">
        <v>10</v>
      </c>
      <c r="E394">
        <v>3600</v>
      </c>
      <c r="F394" t="s">
        <v>504</v>
      </c>
      <c r="G394" t="s">
        <v>799</v>
      </c>
      <c r="H394" s="2">
        <v>0.83333333333333337</v>
      </c>
      <c r="I394" t="s">
        <v>766</v>
      </c>
      <c r="J394" s="1">
        <v>0.51300000000000001</v>
      </c>
      <c r="K394">
        <v>95</v>
      </c>
      <c r="L394">
        <v>5.5</v>
      </c>
      <c r="M394">
        <v>2.54</v>
      </c>
      <c r="N394">
        <v>2.75</v>
      </c>
      <c r="O394">
        <v>1</v>
      </c>
      <c r="P394">
        <v>2</v>
      </c>
      <c r="Q394" s="3">
        <v>0.6645833333333333</v>
      </c>
      <c r="R394">
        <v>7.1</v>
      </c>
      <c r="S394">
        <v>6.61</v>
      </c>
      <c r="T394">
        <v>19.37</v>
      </c>
      <c r="U394">
        <v>6.15</v>
      </c>
      <c r="V394">
        <v>6.15</v>
      </c>
      <c r="W394">
        <v>100</v>
      </c>
      <c r="Y394">
        <v>53</v>
      </c>
      <c r="Z394">
        <v>1.7</v>
      </c>
      <c r="AA394">
        <v>0</v>
      </c>
      <c r="AB394" s="3">
        <v>0.59097222222222223</v>
      </c>
      <c r="AC394">
        <v>19</v>
      </c>
      <c r="AD394">
        <v>5.3</v>
      </c>
    </row>
    <row r="395" spans="1:30" x14ac:dyDescent="0.2">
      <c r="A395" t="s">
        <v>920</v>
      </c>
      <c r="C395">
        <v>0</v>
      </c>
      <c r="D395" t="s">
        <v>5</v>
      </c>
      <c r="E395">
        <v>2500</v>
      </c>
      <c r="F395" t="s">
        <v>486</v>
      </c>
      <c r="G395" t="s">
        <v>776</v>
      </c>
      <c r="H395" s="2">
        <v>0.79166666666666663</v>
      </c>
      <c r="I395" t="s">
        <v>762</v>
      </c>
      <c r="J395" s="1">
        <v>0.435</v>
      </c>
      <c r="K395">
        <v>-77</v>
      </c>
      <c r="L395">
        <v>5.5</v>
      </c>
      <c r="M395">
        <v>2.87</v>
      </c>
      <c r="N395">
        <v>2.75</v>
      </c>
      <c r="Q395" s="3">
        <v>0.67638888888888893</v>
      </c>
      <c r="R395">
        <v>8.1</v>
      </c>
      <c r="S395">
        <v>7.09</v>
      </c>
      <c r="T395">
        <v>0</v>
      </c>
      <c r="U395">
        <v>0</v>
      </c>
      <c r="V395">
        <v>0</v>
      </c>
      <c r="W395">
        <v>100</v>
      </c>
      <c r="Y395">
        <v>56</v>
      </c>
      <c r="Z395">
        <v>0</v>
      </c>
      <c r="AA395">
        <v>0</v>
      </c>
    </row>
    <row r="396" spans="1:30" x14ac:dyDescent="0.2">
      <c r="A396" t="s">
        <v>857</v>
      </c>
      <c r="C396">
        <v>0</v>
      </c>
      <c r="D396" t="s">
        <v>7</v>
      </c>
      <c r="E396">
        <v>6500</v>
      </c>
      <c r="F396" t="s">
        <v>510</v>
      </c>
      <c r="G396" t="s">
        <v>802</v>
      </c>
      <c r="H396" s="2">
        <v>0.91666666666666663</v>
      </c>
      <c r="I396" t="s">
        <v>766</v>
      </c>
      <c r="J396" s="1">
        <v>0.51200000000000001</v>
      </c>
      <c r="K396">
        <v>95.5</v>
      </c>
      <c r="L396">
        <v>6.5</v>
      </c>
      <c r="M396">
        <v>3.01</v>
      </c>
      <c r="N396">
        <v>3.25</v>
      </c>
      <c r="O396" t="s">
        <v>818</v>
      </c>
      <c r="Q396" s="4">
        <v>2.3673611111111112</v>
      </c>
      <c r="R396">
        <v>-1.4</v>
      </c>
      <c r="S396">
        <v>0</v>
      </c>
      <c r="T396">
        <v>0</v>
      </c>
      <c r="U396">
        <v>0</v>
      </c>
      <c r="V396">
        <v>0</v>
      </c>
      <c r="W396">
        <v>100</v>
      </c>
      <c r="Y396">
        <v>0</v>
      </c>
      <c r="Z396">
        <v>0</v>
      </c>
      <c r="AA396">
        <v>0</v>
      </c>
    </row>
    <row r="397" spans="1:30" x14ac:dyDescent="0.2">
      <c r="A397" t="s">
        <v>328</v>
      </c>
      <c r="C397">
        <v>0</v>
      </c>
      <c r="D397" t="s">
        <v>10</v>
      </c>
      <c r="E397">
        <v>4300</v>
      </c>
      <c r="F397" t="s">
        <v>507</v>
      </c>
      <c r="G397" t="s">
        <v>796</v>
      </c>
      <c r="H397" s="2">
        <v>0.79166666666666663</v>
      </c>
      <c r="I397" t="s">
        <v>766</v>
      </c>
      <c r="J397" s="1">
        <v>0.49399999999999999</v>
      </c>
      <c r="K397">
        <v>102.5</v>
      </c>
      <c r="L397">
        <v>6</v>
      </c>
      <c r="M397">
        <v>3</v>
      </c>
      <c r="N397">
        <v>3.44</v>
      </c>
      <c r="O397">
        <v>2</v>
      </c>
      <c r="P397">
        <v>1</v>
      </c>
      <c r="Q397" s="3">
        <v>0.6875</v>
      </c>
      <c r="R397">
        <v>8.1</v>
      </c>
      <c r="S397">
        <v>7.29</v>
      </c>
      <c r="T397">
        <v>23.38</v>
      </c>
      <c r="U397">
        <v>8.8000000000000007</v>
      </c>
      <c r="V397">
        <v>8.8000000000000007</v>
      </c>
      <c r="W397">
        <v>100</v>
      </c>
      <c r="Y397">
        <v>55</v>
      </c>
      <c r="Z397">
        <v>2</v>
      </c>
      <c r="AA397">
        <v>0</v>
      </c>
      <c r="AB397" s="3">
        <v>0.65486111111111112</v>
      </c>
      <c r="AC397">
        <v>10</v>
      </c>
      <c r="AD397">
        <v>2.2999999999999998</v>
      </c>
    </row>
    <row r="398" spans="1:30" x14ac:dyDescent="0.2">
      <c r="A398" t="s">
        <v>943</v>
      </c>
      <c r="C398">
        <v>0</v>
      </c>
      <c r="D398" t="s">
        <v>10</v>
      </c>
      <c r="E398">
        <v>2500</v>
      </c>
      <c r="F398" t="s">
        <v>506</v>
      </c>
      <c r="G398" t="s">
        <v>786</v>
      </c>
      <c r="H398" s="2">
        <v>0.79166666666666663</v>
      </c>
      <c r="I398" t="s">
        <v>766</v>
      </c>
      <c r="J398" s="1">
        <v>0.53600000000000003</v>
      </c>
      <c r="K398">
        <v>86.5</v>
      </c>
      <c r="L398">
        <v>6</v>
      </c>
      <c r="M398">
        <v>3</v>
      </c>
      <c r="N398">
        <v>3.19</v>
      </c>
      <c r="Q398" s="3">
        <v>0.50972222222222219</v>
      </c>
      <c r="R398">
        <v>7.4</v>
      </c>
      <c r="S398">
        <v>8.5299999999999994</v>
      </c>
      <c r="T398">
        <v>0</v>
      </c>
      <c r="U398">
        <v>0</v>
      </c>
      <c r="V398">
        <v>0</v>
      </c>
      <c r="W398">
        <v>100</v>
      </c>
      <c r="Y398">
        <v>42</v>
      </c>
      <c r="Z398">
        <v>0</v>
      </c>
      <c r="AA398">
        <v>0</v>
      </c>
    </row>
    <row r="399" spans="1:30" x14ac:dyDescent="0.2">
      <c r="A399" t="s">
        <v>929</v>
      </c>
      <c r="C399">
        <v>0</v>
      </c>
      <c r="D399" t="s">
        <v>5</v>
      </c>
      <c r="E399">
        <v>2500</v>
      </c>
      <c r="F399" t="s">
        <v>497</v>
      </c>
      <c r="G399" t="s">
        <v>784</v>
      </c>
      <c r="H399" s="2">
        <v>0.79166666666666663</v>
      </c>
      <c r="I399" t="s">
        <v>766</v>
      </c>
      <c r="J399" s="1">
        <v>0.55100000000000005</v>
      </c>
      <c r="K399">
        <v>81.5</v>
      </c>
      <c r="L399">
        <v>6.5</v>
      </c>
      <c r="M399">
        <v>3.17</v>
      </c>
      <c r="N399">
        <v>3.25</v>
      </c>
      <c r="Q399" s="3">
        <v>0.5131944444444444</v>
      </c>
      <c r="R399">
        <v>2.8</v>
      </c>
      <c r="S399">
        <v>3.93</v>
      </c>
      <c r="T399">
        <v>0</v>
      </c>
      <c r="U399">
        <v>0</v>
      </c>
      <c r="V399">
        <v>0</v>
      </c>
      <c r="W399">
        <v>100</v>
      </c>
      <c r="Y399">
        <v>30</v>
      </c>
      <c r="Z399">
        <v>0</v>
      </c>
      <c r="AA399">
        <v>0</v>
      </c>
    </row>
    <row r="400" spans="1:30" x14ac:dyDescent="0.2">
      <c r="A400" t="s">
        <v>524</v>
      </c>
      <c r="C400">
        <v>0</v>
      </c>
      <c r="D400" t="s">
        <v>5</v>
      </c>
      <c r="E400">
        <v>2700</v>
      </c>
      <c r="F400" t="s">
        <v>794</v>
      </c>
      <c r="G400" t="s">
        <v>795</v>
      </c>
      <c r="H400" s="2">
        <v>0.79166666666666663</v>
      </c>
      <c r="I400" t="s">
        <v>766</v>
      </c>
      <c r="J400" s="1">
        <v>0.56499999999999995</v>
      </c>
      <c r="K400">
        <v>77</v>
      </c>
      <c r="L400">
        <v>5.5</v>
      </c>
      <c r="M400">
        <v>2.75</v>
      </c>
      <c r="N400">
        <v>2.87</v>
      </c>
      <c r="O400">
        <v>3</v>
      </c>
      <c r="Q400" s="3">
        <v>0.60416666666666663</v>
      </c>
      <c r="R400">
        <v>5.4</v>
      </c>
      <c r="S400">
        <v>5.94</v>
      </c>
      <c r="T400">
        <v>17.86</v>
      </c>
      <c r="U400">
        <v>5.98</v>
      </c>
      <c r="V400">
        <v>5.98</v>
      </c>
      <c r="W400">
        <v>100</v>
      </c>
      <c r="Y400">
        <v>45</v>
      </c>
      <c r="Z400">
        <v>2.2000000000000002</v>
      </c>
      <c r="AA400">
        <v>0</v>
      </c>
      <c r="AB400" s="3">
        <v>0.69930555555555551</v>
      </c>
      <c r="AC400">
        <v>3</v>
      </c>
      <c r="AD400">
        <v>1.1000000000000001</v>
      </c>
    </row>
    <row r="401" spans="1:30" x14ac:dyDescent="0.2">
      <c r="A401" t="s">
        <v>408</v>
      </c>
      <c r="C401">
        <v>0</v>
      </c>
      <c r="D401" t="s">
        <v>17</v>
      </c>
      <c r="E401">
        <v>2500</v>
      </c>
      <c r="F401" t="s">
        <v>794</v>
      </c>
      <c r="G401" t="s">
        <v>795</v>
      </c>
      <c r="H401" s="2">
        <v>0.79166666666666663</v>
      </c>
      <c r="I401" t="s">
        <v>766</v>
      </c>
      <c r="J401" s="1">
        <v>0.56499999999999995</v>
      </c>
      <c r="K401">
        <v>77</v>
      </c>
      <c r="L401">
        <v>5.5</v>
      </c>
      <c r="M401">
        <v>2.75</v>
      </c>
      <c r="N401">
        <v>2.87</v>
      </c>
      <c r="O401">
        <v>2</v>
      </c>
      <c r="Q401" s="3">
        <v>0.76180555555555551</v>
      </c>
      <c r="R401">
        <v>5.5</v>
      </c>
      <c r="S401">
        <v>4.7699999999999996</v>
      </c>
      <c r="T401">
        <v>14.73</v>
      </c>
      <c r="U401">
        <v>5.19</v>
      </c>
      <c r="V401">
        <v>5.19</v>
      </c>
      <c r="W401">
        <v>100</v>
      </c>
      <c r="Y401">
        <v>57</v>
      </c>
      <c r="Z401">
        <v>2.1</v>
      </c>
      <c r="AA401">
        <v>0</v>
      </c>
      <c r="AB401" s="3">
        <v>0.74513888888888891</v>
      </c>
      <c r="AC401">
        <v>5.8</v>
      </c>
      <c r="AD401">
        <v>2.2999999999999998</v>
      </c>
    </row>
    <row r="402" spans="1:30" x14ac:dyDescent="0.2">
      <c r="A402" t="s">
        <v>790</v>
      </c>
      <c r="C402">
        <v>0</v>
      </c>
      <c r="D402" t="s">
        <v>5</v>
      </c>
      <c r="E402">
        <v>6000</v>
      </c>
      <c r="F402" t="s">
        <v>487</v>
      </c>
      <c r="G402" t="s">
        <v>770</v>
      </c>
      <c r="H402" s="2">
        <v>0.83333333333333337</v>
      </c>
      <c r="I402" t="s">
        <v>762</v>
      </c>
      <c r="J402" s="1">
        <v>0.51300000000000001</v>
      </c>
      <c r="K402">
        <v>-105.5</v>
      </c>
      <c r="L402">
        <v>6</v>
      </c>
      <c r="M402">
        <v>3.46</v>
      </c>
      <c r="N402">
        <v>3</v>
      </c>
      <c r="O402">
        <v>2</v>
      </c>
      <c r="P402">
        <v>1</v>
      </c>
      <c r="Q402" s="3">
        <v>0.8125</v>
      </c>
      <c r="R402">
        <v>10.3</v>
      </c>
      <c r="S402">
        <v>6.22</v>
      </c>
      <c r="T402">
        <v>26.01</v>
      </c>
      <c r="U402">
        <v>13.57</v>
      </c>
      <c r="V402">
        <v>13.57</v>
      </c>
      <c r="W402">
        <v>100</v>
      </c>
      <c r="Y402">
        <v>70</v>
      </c>
      <c r="Z402">
        <v>2.2999999999999998</v>
      </c>
      <c r="AA402">
        <v>0</v>
      </c>
      <c r="AB402" s="3">
        <v>0.68541666666666667</v>
      </c>
      <c r="AC402">
        <v>5</v>
      </c>
      <c r="AD402">
        <v>0.8</v>
      </c>
    </row>
    <row r="403" spans="1:30" x14ac:dyDescent="0.2">
      <c r="A403" t="s">
        <v>516</v>
      </c>
      <c r="C403">
        <v>0</v>
      </c>
      <c r="D403" t="s">
        <v>10</v>
      </c>
      <c r="E403">
        <v>3200</v>
      </c>
      <c r="F403" t="s">
        <v>502</v>
      </c>
      <c r="G403" t="s">
        <v>798</v>
      </c>
      <c r="H403" s="2">
        <v>0.83333333333333337</v>
      </c>
      <c r="I403" t="s">
        <v>766</v>
      </c>
      <c r="J403" s="1">
        <v>0.48699999999999999</v>
      </c>
      <c r="K403">
        <v>105.5</v>
      </c>
      <c r="L403">
        <v>6</v>
      </c>
      <c r="M403">
        <v>3</v>
      </c>
      <c r="N403">
        <v>3.46</v>
      </c>
      <c r="O403">
        <v>4</v>
      </c>
      <c r="Q403" s="3">
        <v>0.70763888888888893</v>
      </c>
      <c r="R403">
        <v>6.6</v>
      </c>
      <c r="S403">
        <v>5.77</v>
      </c>
      <c r="T403">
        <v>18.45</v>
      </c>
      <c r="U403">
        <v>6.91</v>
      </c>
      <c r="V403">
        <v>6.91</v>
      </c>
      <c r="W403">
        <v>100</v>
      </c>
      <c r="Y403">
        <v>56</v>
      </c>
      <c r="Z403">
        <v>2.2000000000000002</v>
      </c>
      <c r="AA403">
        <v>0</v>
      </c>
      <c r="AB403" s="3">
        <v>0.47569444444444442</v>
      </c>
      <c r="AC403">
        <v>4.3</v>
      </c>
      <c r="AD403">
        <v>1.3</v>
      </c>
    </row>
    <row r="404" spans="1:30" x14ac:dyDescent="0.2">
      <c r="A404" t="s">
        <v>619</v>
      </c>
      <c r="C404">
        <v>0</v>
      </c>
      <c r="D404" t="s">
        <v>17</v>
      </c>
      <c r="E404">
        <v>2500</v>
      </c>
      <c r="F404" t="s">
        <v>502</v>
      </c>
      <c r="G404" t="s">
        <v>798</v>
      </c>
      <c r="H404" s="2">
        <v>0.83333333333333337</v>
      </c>
      <c r="I404" t="s">
        <v>766</v>
      </c>
      <c r="J404" s="1">
        <v>0.48699999999999999</v>
      </c>
      <c r="K404">
        <v>105.5</v>
      </c>
      <c r="L404">
        <v>6</v>
      </c>
      <c r="M404">
        <v>3</v>
      </c>
      <c r="N404">
        <v>3.46</v>
      </c>
      <c r="O404">
        <v>3</v>
      </c>
      <c r="Q404" s="3">
        <v>0.6118055555555556</v>
      </c>
      <c r="R404">
        <v>3.6</v>
      </c>
      <c r="S404">
        <v>3.35</v>
      </c>
      <c r="T404">
        <v>9.7799999999999994</v>
      </c>
      <c r="U404">
        <v>3.08</v>
      </c>
      <c r="V404">
        <v>3.08</v>
      </c>
      <c r="W404">
        <v>100</v>
      </c>
      <c r="Y404">
        <v>53</v>
      </c>
      <c r="Z404">
        <v>1.2</v>
      </c>
      <c r="AA404">
        <v>0</v>
      </c>
      <c r="AB404" s="3">
        <v>0.51388888888888884</v>
      </c>
      <c r="AC404">
        <v>1.3</v>
      </c>
      <c r="AD404">
        <v>0.5</v>
      </c>
    </row>
    <row r="405" spans="1:30" x14ac:dyDescent="0.2">
      <c r="A405" t="s">
        <v>144</v>
      </c>
      <c r="C405">
        <v>0</v>
      </c>
      <c r="D405" t="s">
        <v>7</v>
      </c>
      <c r="E405">
        <v>7200</v>
      </c>
      <c r="F405" t="s">
        <v>504</v>
      </c>
      <c r="G405" t="s">
        <v>799</v>
      </c>
      <c r="H405" s="2">
        <v>0.83333333333333337</v>
      </c>
      <c r="I405" t="s">
        <v>766</v>
      </c>
      <c r="J405" s="1">
        <v>0.51300000000000001</v>
      </c>
      <c r="K405">
        <v>95</v>
      </c>
      <c r="L405">
        <v>5.5</v>
      </c>
      <c r="M405">
        <v>2.54</v>
      </c>
      <c r="N405">
        <v>2.75</v>
      </c>
      <c r="O405" t="s">
        <v>780</v>
      </c>
      <c r="Q405" s="4">
        <v>2.2618055555555556</v>
      </c>
      <c r="R405">
        <v>10.7</v>
      </c>
      <c r="S405">
        <v>11.73</v>
      </c>
      <c r="T405">
        <v>33.93</v>
      </c>
      <c r="U405">
        <v>10.47</v>
      </c>
      <c r="V405">
        <v>10.47</v>
      </c>
      <c r="W405">
        <v>100</v>
      </c>
      <c r="Y405">
        <v>45</v>
      </c>
      <c r="Z405">
        <v>1.5</v>
      </c>
      <c r="AA405">
        <v>0</v>
      </c>
      <c r="AB405" s="4">
        <v>2.5</v>
      </c>
      <c r="AC405">
        <v>3.9</v>
      </c>
      <c r="AD405">
        <v>0.5</v>
      </c>
    </row>
    <row r="406" spans="1:30" x14ac:dyDescent="0.2">
      <c r="A406" t="s">
        <v>429</v>
      </c>
      <c r="C406">
        <v>0</v>
      </c>
      <c r="D406" t="s">
        <v>10</v>
      </c>
      <c r="E406">
        <v>2500</v>
      </c>
      <c r="F406" t="s">
        <v>478</v>
      </c>
      <c r="G406" t="s">
        <v>763</v>
      </c>
      <c r="H406" s="2">
        <v>0.79166666666666663</v>
      </c>
      <c r="I406" t="s">
        <v>762</v>
      </c>
      <c r="J406" s="1">
        <v>0.44900000000000001</v>
      </c>
      <c r="K406">
        <v>-81.5</v>
      </c>
      <c r="L406">
        <v>6.5</v>
      </c>
      <c r="M406">
        <v>3.25</v>
      </c>
      <c r="N406">
        <v>3.17</v>
      </c>
      <c r="O406">
        <v>3</v>
      </c>
      <c r="Q406" s="3">
        <v>0.41319444444444442</v>
      </c>
      <c r="R406">
        <v>2.6</v>
      </c>
      <c r="S406">
        <v>3.1</v>
      </c>
      <c r="T406">
        <v>9.67</v>
      </c>
      <c r="U406">
        <v>3.47</v>
      </c>
      <c r="V406">
        <v>3.47</v>
      </c>
      <c r="W406">
        <v>100</v>
      </c>
      <c r="Y406">
        <v>40</v>
      </c>
      <c r="Z406">
        <v>1.4</v>
      </c>
      <c r="AA406">
        <v>0</v>
      </c>
      <c r="AB406" s="3">
        <v>0.46805555555555556</v>
      </c>
      <c r="AC406">
        <v>10</v>
      </c>
      <c r="AD406">
        <v>4</v>
      </c>
    </row>
    <row r="407" spans="1:30" x14ac:dyDescent="0.2">
      <c r="A407" t="s">
        <v>533</v>
      </c>
      <c r="C407">
        <v>0</v>
      </c>
      <c r="D407" t="s">
        <v>17</v>
      </c>
      <c r="E407">
        <v>2500</v>
      </c>
      <c r="F407" t="s">
        <v>498</v>
      </c>
      <c r="G407" t="s">
        <v>779</v>
      </c>
      <c r="H407" s="2">
        <v>0.79166666666666663</v>
      </c>
      <c r="I407" t="s">
        <v>762</v>
      </c>
      <c r="J407" s="1">
        <v>0.50600000000000001</v>
      </c>
      <c r="K407">
        <v>-102.5</v>
      </c>
      <c r="L407">
        <v>6</v>
      </c>
      <c r="M407">
        <v>3.44</v>
      </c>
      <c r="N407">
        <v>3</v>
      </c>
      <c r="Q407" s="3">
        <v>0.63194444444444442</v>
      </c>
      <c r="R407">
        <v>3.8</v>
      </c>
      <c r="S407">
        <v>3.28</v>
      </c>
      <c r="T407">
        <v>0</v>
      </c>
      <c r="U407">
        <v>0</v>
      </c>
      <c r="V407">
        <v>0</v>
      </c>
      <c r="W407">
        <v>100</v>
      </c>
      <c r="Y407">
        <v>57</v>
      </c>
      <c r="Z407">
        <v>0</v>
      </c>
      <c r="AA407">
        <v>0</v>
      </c>
    </row>
    <row r="408" spans="1:30" x14ac:dyDescent="0.2">
      <c r="A408" t="s">
        <v>970</v>
      </c>
      <c r="C408">
        <v>0</v>
      </c>
      <c r="D408" t="s">
        <v>10</v>
      </c>
      <c r="E408">
        <v>2500</v>
      </c>
      <c r="F408" t="s">
        <v>491</v>
      </c>
      <c r="G408" t="s">
        <v>773</v>
      </c>
      <c r="H408" s="2">
        <v>0.79166666666666663</v>
      </c>
      <c r="I408" t="s">
        <v>766</v>
      </c>
      <c r="J408" s="1">
        <v>0.49299999999999999</v>
      </c>
      <c r="K408">
        <v>103</v>
      </c>
      <c r="L408">
        <v>6.5</v>
      </c>
      <c r="M408">
        <v>3.25</v>
      </c>
      <c r="N408">
        <v>3.71</v>
      </c>
      <c r="T408">
        <v>0</v>
      </c>
      <c r="U408">
        <v>0</v>
      </c>
      <c r="V408">
        <v>0</v>
      </c>
      <c r="W408">
        <v>100</v>
      </c>
      <c r="Y408">
        <v>0</v>
      </c>
      <c r="Z408">
        <v>0</v>
      </c>
      <c r="AA408">
        <v>0</v>
      </c>
    </row>
    <row r="409" spans="1:30" x14ac:dyDescent="0.2">
      <c r="A409" t="s">
        <v>139</v>
      </c>
      <c r="C409">
        <v>0</v>
      </c>
      <c r="D409" t="s">
        <v>7</v>
      </c>
      <c r="E409">
        <v>7600</v>
      </c>
      <c r="F409" t="s">
        <v>505</v>
      </c>
      <c r="G409" t="s">
        <v>793</v>
      </c>
      <c r="H409" s="2">
        <v>0.91666666666666663</v>
      </c>
      <c r="I409" t="s">
        <v>762</v>
      </c>
      <c r="J409" s="1">
        <v>0.41499999999999998</v>
      </c>
      <c r="K409">
        <v>-71</v>
      </c>
      <c r="L409">
        <v>6</v>
      </c>
      <c r="M409">
        <v>3.02</v>
      </c>
      <c r="N409">
        <v>3</v>
      </c>
      <c r="O409" t="s">
        <v>780</v>
      </c>
      <c r="Q409" s="4">
        <v>2.4236111111111112</v>
      </c>
      <c r="R409">
        <v>11.7</v>
      </c>
      <c r="S409">
        <v>11.92</v>
      </c>
      <c r="T409">
        <v>35.36</v>
      </c>
      <c r="U409">
        <v>11.52</v>
      </c>
      <c r="V409">
        <v>11.52</v>
      </c>
      <c r="W409">
        <v>100</v>
      </c>
      <c r="Y409">
        <v>49</v>
      </c>
      <c r="Z409">
        <v>1.5</v>
      </c>
      <c r="AA409">
        <v>0</v>
      </c>
      <c r="AB409" s="4">
        <v>2.5</v>
      </c>
      <c r="AC409">
        <v>19.3</v>
      </c>
      <c r="AD409">
        <v>2.5</v>
      </c>
    </row>
    <row r="410" spans="1:30" x14ac:dyDescent="0.2">
      <c r="A410" t="s">
        <v>1003</v>
      </c>
      <c r="C410">
        <v>0</v>
      </c>
      <c r="D410" t="s">
        <v>5</v>
      </c>
      <c r="E410">
        <v>2500</v>
      </c>
      <c r="F410" t="s">
        <v>502</v>
      </c>
      <c r="G410" t="s">
        <v>798</v>
      </c>
      <c r="H410" s="2">
        <v>0.83333333333333337</v>
      </c>
      <c r="I410" t="s">
        <v>766</v>
      </c>
      <c r="J410" s="1">
        <v>0.48699999999999999</v>
      </c>
      <c r="K410">
        <v>105.5</v>
      </c>
      <c r="L410">
        <v>6</v>
      </c>
      <c r="M410">
        <v>3</v>
      </c>
      <c r="N410">
        <v>3.46</v>
      </c>
      <c r="Q410" s="3">
        <v>0.41736111111111113</v>
      </c>
      <c r="R410">
        <v>2.9</v>
      </c>
      <c r="S410">
        <v>3.41</v>
      </c>
      <c r="T410">
        <v>0</v>
      </c>
      <c r="U410">
        <v>0</v>
      </c>
      <c r="V410">
        <v>0</v>
      </c>
      <c r="W410">
        <v>100</v>
      </c>
      <c r="Y410">
        <v>41</v>
      </c>
      <c r="Z410">
        <v>0</v>
      </c>
      <c r="AA410">
        <v>0</v>
      </c>
    </row>
    <row r="411" spans="1:30" x14ac:dyDescent="0.2">
      <c r="A411" t="s">
        <v>451</v>
      </c>
      <c r="C411">
        <v>0</v>
      </c>
      <c r="D411" t="s">
        <v>17</v>
      </c>
      <c r="E411">
        <v>5400</v>
      </c>
      <c r="F411" t="s">
        <v>500</v>
      </c>
      <c r="G411" t="s">
        <v>785</v>
      </c>
      <c r="H411" s="2">
        <v>0.8125</v>
      </c>
      <c r="I411" t="s">
        <v>766</v>
      </c>
      <c r="J411" s="1">
        <v>0.56000000000000005</v>
      </c>
      <c r="K411">
        <v>78.5</v>
      </c>
      <c r="L411">
        <v>6.5</v>
      </c>
      <c r="M411">
        <v>3.25</v>
      </c>
      <c r="N411">
        <v>3.43</v>
      </c>
      <c r="O411">
        <v>1</v>
      </c>
      <c r="P411">
        <v>2</v>
      </c>
      <c r="Q411" s="3">
        <v>0.95833333333333337</v>
      </c>
      <c r="R411">
        <v>10.8</v>
      </c>
      <c r="S411">
        <v>6.18</v>
      </c>
      <c r="T411">
        <v>24.96</v>
      </c>
      <c r="U411">
        <v>12.6</v>
      </c>
      <c r="V411">
        <v>12.6</v>
      </c>
      <c r="W411">
        <v>100</v>
      </c>
      <c r="Y411">
        <v>71</v>
      </c>
      <c r="Z411">
        <v>2.2999999999999998</v>
      </c>
      <c r="AA411">
        <v>0</v>
      </c>
      <c r="AB411" s="4">
        <v>1.1423611111111112</v>
      </c>
      <c r="AC411">
        <v>14</v>
      </c>
      <c r="AD411">
        <v>2.6</v>
      </c>
    </row>
    <row r="412" spans="1:30" x14ac:dyDescent="0.2">
      <c r="A412" t="s">
        <v>34</v>
      </c>
      <c r="C412">
        <v>0</v>
      </c>
      <c r="D412" t="s">
        <v>7</v>
      </c>
      <c r="E412">
        <v>7900</v>
      </c>
      <c r="F412" t="s">
        <v>492</v>
      </c>
      <c r="G412" t="s">
        <v>774</v>
      </c>
      <c r="H412" s="2">
        <v>0.8125</v>
      </c>
      <c r="I412" t="s">
        <v>762</v>
      </c>
      <c r="J412" s="1">
        <v>0.44</v>
      </c>
      <c r="K412">
        <v>-78.5</v>
      </c>
      <c r="L412">
        <v>6.5</v>
      </c>
      <c r="M412">
        <v>3.43</v>
      </c>
      <c r="N412">
        <v>3.25</v>
      </c>
      <c r="O412" t="s">
        <v>780</v>
      </c>
      <c r="Q412" s="4">
        <v>2.4451388888888888</v>
      </c>
      <c r="R412">
        <v>12.4</v>
      </c>
      <c r="S412">
        <v>10.59</v>
      </c>
      <c r="T412">
        <v>33.96</v>
      </c>
      <c r="U412">
        <v>12.78</v>
      </c>
      <c r="V412">
        <v>12.78</v>
      </c>
      <c r="W412">
        <v>100</v>
      </c>
      <c r="Y412">
        <v>57</v>
      </c>
      <c r="Z412">
        <v>1.6</v>
      </c>
      <c r="AA412">
        <v>0</v>
      </c>
      <c r="AB412" s="4">
        <v>2.6333333333333333</v>
      </c>
      <c r="AC412">
        <v>5.5</v>
      </c>
      <c r="AD412">
        <v>0.7</v>
      </c>
    </row>
    <row r="413" spans="1:30" x14ac:dyDescent="0.2">
      <c r="A413" t="s">
        <v>1035</v>
      </c>
      <c r="C413">
        <v>0</v>
      </c>
      <c r="D413" t="s">
        <v>5</v>
      </c>
      <c r="E413">
        <v>2500</v>
      </c>
      <c r="F413" t="s">
        <v>505</v>
      </c>
      <c r="G413" t="s">
        <v>793</v>
      </c>
      <c r="H413" s="2">
        <v>0.91666666666666663</v>
      </c>
      <c r="I413" t="s">
        <v>762</v>
      </c>
      <c r="J413" s="1">
        <v>0.41499999999999998</v>
      </c>
      <c r="K413">
        <v>-71</v>
      </c>
      <c r="L413">
        <v>6</v>
      </c>
      <c r="M413">
        <v>3.02</v>
      </c>
      <c r="N413">
        <v>3</v>
      </c>
      <c r="Q413" s="3">
        <v>0.41944444444444445</v>
      </c>
      <c r="R413">
        <v>1.9</v>
      </c>
      <c r="S413">
        <v>1.69</v>
      </c>
      <c r="T413">
        <v>0</v>
      </c>
      <c r="U413">
        <v>0</v>
      </c>
      <c r="V413">
        <v>0</v>
      </c>
      <c r="W413">
        <v>100</v>
      </c>
      <c r="Y413">
        <v>56</v>
      </c>
      <c r="Z413">
        <v>0</v>
      </c>
      <c r="AA413">
        <v>0</v>
      </c>
    </row>
    <row r="414" spans="1:30" x14ac:dyDescent="0.2">
      <c r="A414" t="s">
        <v>99</v>
      </c>
      <c r="C414">
        <v>0</v>
      </c>
      <c r="D414" t="s">
        <v>17</v>
      </c>
      <c r="E414">
        <v>4200</v>
      </c>
      <c r="F414" t="s">
        <v>764</v>
      </c>
      <c r="G414" t="s">
        <v>765</v>
      </c>
      <c r="H414" s="2">
        <v>0.875</v>
      </c>
      <c r="I414" t="s">
        <v>766</v>
      </c>
      <c r="J414" s="1">
        <v>0.47099999999999997</v>
      </c>
      <c r="K414">
        <v>112.5</v>
      </c>
      <c r="L414">
        <v>7</v>
      </c>
      <c r="M414">
        <v>3.5</v>
      </c>
      <c r="N414">
        <v>4.05</v>
      </c>
      <c r="O414">
        <v>1</v>
      </c>
      <c r="P414">
        <v>1</v>
      </c>
      <c r="Q414" s="3">
        <v>0.89166666666666672</v>
      </c>
      <c r="R414">
        <v>8</v>
      </c>
      <c r="S414">
        <v>5.63</v>
      </c>
      <c r="T414">
        <v>21.98</v>
      </c>
      <c r="U414">
        <v>10.72</v>
      </c>
      <c r="V414">
        <v>10.72</v>
      </c>
      <c r="W414">
        <v>100</v>
      </c>
      <c r="Y414">
        <v>65</v>
      </c>
      <c r="Z414">
        <v>2.6</v>
      </c>
      <c r="AA414">
        <v>0</v>
      </c>
      <c r="AB414" s="3">
        <v>0.68263888888888891</v>
      </c>
      <c r="AC414">
        <v>3</v>
      </c>
      <c r="AD414">
        <v>0.7</v>
      </c>
    </row>
    <row r="415" spans="1:30" x14ac:dyDescent="0.2">
      <c r="A415" t="s">
        <v>543</v>
      </c>
      <c r="C415">
        <v>0</v>
      </c>
      <c r="D415" t="s">
        <v>10</v>
      </c>
      <c r="E415">
        <v>2500</v>
      </c>
      <c r="F415" t="s">
        <v>492</v>
      </c>
      <c r="G415" t="s">
        <v>774</v>
      </c>
      <c r="H415" s="2">
        <v>0.8125</v>
      </c>
      <c r="I415" t="s">
        <v>762</v>
      </c>
      <c r="J415" s="1">
        <v>0.44</v>
      </c>
      <c r="K415">
        <v>-78.5</v>
      </c>
      <c r="L415">
        <v>6.5</v>
      </c>
      <c r="M415">
        <v>3.43</v>
      </c>
      <c r="N415">
        <v>3.25</v>
      </c>
      <c r="Q415" s="3">
        <v>0.50069444444444444</v>
      </c>
      <c r="R415">
        <v>5.4</v>
      </c>
      <c r="S415">
        <v>3.95</v>
      </c>
      <c r="T415">
        <v>0</v>
      </c>
      <c r="U415">
        <v>0</v>
      </c>
      <c r="V415">
        <v>0</v>
      </c>
      <c r="W415">
        <v>100</v>
      </c>
      <c r="Y415">
        <v>63</v>
      </c>
      <c r="Z415">
        <v>0</v>
      </c>
      <c r="AA415">
        <v>0</v>
      </c>
    </row>
    <row r="416" spans="1:30" x14ac:dyDescent="0.2">
      <c r="A416" t="s">
        <v>415</v>
      </c>
      <c r="C416">
        <v>0</v>
      </c>
      <c r="D416" t="s">
        <v>17</v>
      </c>
      <c r="E416">
        <v>2800</v>
      </c>
      <c r="F416" t="s">
        <v>507</v>
      </c>
      <c r="G416" t="s">
        <v>796</v>
      </c>
      <c r="H416" s="2">
        <v>0.79166666666666663</v>
      </c>
      <c r="I416" t="s">
        <v>766</v>
      </c>
      <c r="J416" s="1">
        <v>0.49399999999999999</v>
      </c>
      <c r="K416">
        <v>102.5</v>
      </c>
      <c r="L416">
        <v>6</v>
      </c>
      <c r="M416">
        <v>3</v>
      </c>
      <c r="N416">
        <v>3.44</v>
      </c>
      <c r="O416">
        <v>2</v>
      </c>
      <c r="Q416" s="3">
        <v>0.85277777777777775</v>
      </c>
      <c r="R416">
        <v>5.2</v>
      </c>
      <c r="S416">
        <v>4.99</v>
      </c>
      <c r="T416">
        <v>15.67</v>
      </c>
      <c r="U416">
        <v>5.69</v>
      </c>
      <c r="V416">
        <v>5.69</v>
      </c>
      <c r="W416">
        <v>100</v>
      </c>
      <c r="Y416">
        <v>52</v>
      </c>
      <c r="Z416">
        <v>2</v>
      </c>
      <c r="AA416">
        <v>0</v>
      </c>
      <c r="AB416" s="3">
        <v>0.90416666666666667</v>
      </c>
      <c r="AC416">
        <v>2.6</v>
      </c>
      <c r="AD416">
        <v>0.9</v>
      </c>
    </row>
    <row r="417" spans="1:30" x14ac:dyDescent="0.2">
      <c r="A417" t="s">
        <v>132</v>
      </c>
      <c r="C417">
        <v>0</v>
      </c>
      <c r="D417" t="s">
        <v>5</v>
      </c>
      <c r="E417">
        <v>5800</v>
      </c>
      <c r="F417" t="s">
        <v>490</v>
      </c>
      <c r="G417" t="s">
        <v>771</v>
      </c>
      <c r="H417" s="2">
        <v>0.91666666666666663</v>
      </c>
      <c r="I417" t="s">
        <v>766</v>
      </c>
      <c r="J417" s="1">
        <v>0.58499999999999996</v>
      </c>
      <c r="K417">
        <v>71</v>
      </c>
      <c r="L417">
        <v>6</v>
      </c>
      <c r="M417">
        <v>3</v>
      </c>
      <c r="N417">
        <v>3.02</v>
      </c>
      <c r="O417">
        <v>2</v>
      </c>
      <c r="P417">
        <v>1</v>
      </c>
      <c r="Q417" s="3">
        <v>0.74652777777777779</v>
      </c>
      <c r="R417">
        <v>9.9</v>
      </c>
      <c r="S417">
        <v>7.31</v>
      </c>
      <c r="T417">
        <v>22.82</v>
      </c>
      <c r="U417">
        <v>8.1999999999999993</v>
      </c>
      <c r="V417">
        <v>8.1999999999999993</v>
      </c>
      <c r="W417">
        <v>100</v>
      </c>
      <c r="Y417">
        <v>63</v>
      </c>
      <c r="Z417">
        <v>1.4</v>
      </c>
      <c r="AA417">
        <v>0</v>
      </c>
      <c r="AB417" s="3">
        <v>0.64722222222222225</v>
      </c>
      <c r="AC417">
        <v>4.5</v>
      </c>
      <c r="AD417">
        <v>0.8</v>
      </c>
    </row>
    <row r="418" spans="1:30" x14ac:dyDescent="0.2">
      <c r="A418" t="s">
        <v>251</v>
      </c>
      <c r="C418">
        <v>0</v>
      </c>
      <c r="D418" t="s">
        <v>17</v>
      </c>
      <c r="E418">
        <v>2500</v>
      </c>
      <c r="F418" t="s">
        <v>777</v>
      </c>
      <c r="G418" t="s">
        <v>778</v>
      </c>
      <c r="H418" s="2">
        <v>0.79166666666666663</v>
      </c>
      <c r="I418" t="s">
        <v>762</v>
      </c>
      <c r="J418" s="1">
        <v>0.46400000000000002</v>
      </c>
      <c r="K418">
        <v>-86.5</v>
      </c>
      <c r="L418">
        <v>6</v>
      </c>
      <c r="M418">
        <v>3.19</v>
      </c>
      <c r="N418">
        <v>3</v>
      </c>
      <c r="O418">
        <v>1</v>
      </c>
      <c r="Q418" s="3">
        <v>0.6875</v>
      </c>
      <c r="R418">
        <v>5.6</v>
      </c>
      <c r="S418">
        <v>4.3600000000000003</v>
      </c>
      <c r="T418">
        <v>13.36</v>
      </c>
      <c r="U418">
        <v>4.6399999999999997</v>
      </c>
      <c r="V418">
        <v>4.6399999999999997</v>
      </c>
      <c r="W418">
        <v>100</v>
      </c>
      <c r="Y418">
        <v>61</v>
      </c>
      <c r="Z418">
        <v>1.9</v>
      </c>
      <c r="AA418">
        <v>0</v>
      </c>
      <c r="AB418" s="3">
        <v>0.89236111111111116</v>
      </c>
      <c r="AC418">
        <v>2.8</v>
      </c>
      <c r="AD418">
        <v>1.1000000000000001</v>
      </c>
    </row>
    <row r="419" spans="1:30" x14ac:dyDescent="0.2">
      <c r="A419" t="s">
        <v>986</v>
      </c>
      <c r="C419">
        <v>0</v>
      </c>
      <c r="D419" t="s">
        <v>10</v>
      </c>
      <c r="E419">
        <v>2500</v>
      </c>
      <c r="F419" t="s">
        <v>493</v>
      </c>
      <c r="G419" t="s">
        <v>789</v>
      </c>
      <c r="H419" s="2">
        <v>0.83333333333333337</v>
      </c>
      <c r="I419" t="s">
        <v>762</v>
      </c>
      <c r="J419" s="1">
        <v>0.48699999999999999</v>
      </c>
      <c r="K419">
        <v>-95</v>
      </c>
      <c r="L419">
        <v>5.5</v>
      </c>
      <c r="M419">
        <v>2.75</v>
      </c>
      <c r="N419">
        <v>2.54</v>
      </c>
      <c r="Q419" s="3">
        <v>0.33680555555555558</v>
      </c>
      <c r="R419">
        <v>3.1</v>
      </c>
      <c r="S419">
        <v>2.9</v>
      </c>
      <c r="T419">
        <v>0</v>
      </c>
      <c r="U419">
        <v>0</v>
      </c>
      <c r="V419">
        <v>0</v>
      </c>
      <c r="W419">
        <v>100</v>
      </c>
      <c r="Y419">
        <v>53</v>
      </c>
      <c r="Z419">
        <v>0</v>
      </c>
      <c r="AA419">
        <v>0</v>
      </c>
    </row>
    <row r="420" spans="1:30" x14ac:dyDescent="0.2">
      <c r="A420" t="s">
        <v>890</v>
      </c>
      <c r="C420">
        <v>0</v>
      </c>
      <c r="D420" t="s">
        <v>17</v>
      </c>
      <c r="E420">
        <v>3300</v>
      </c>
      <c r="F420" t="s">
        <v>487</v>
      </c>
      <c r="G420" t="s">
        <v>770</v>
      </c>
      <c r="H420" s="2">
        <v>0.83333333333333337</v>
      </c>
      <c r="I420" t="s">
        <v>762</v>
      </c>
      <c r="J420" s="1">
        <v>0.51300000000000001</v>
      </c>
      <c r="K420">
        <v>-105.5</v>
      </c>
      <c r="L420">
        <v>6</v>
      </c>
      <c r="M420">
        <v>3.46</v>
      </c>
      <c r="N420">
        <v>3</v>
      </c>
      <c r="Q420" s="3">
        <v>0.88749999999999996</v>
      </c>
      <c r="R420">
        <v>7.8</v>
      </c>
      <c r="S420">
        <v>5.66</v>
      </c>
      <c r="T420">
        <v>0</v>
      </c>
      <c r="U420">
        <v>0</v>
      </c>
      <c r="V420">
        <v>0</v>
      </c>
      <c r="W420">
        <v>100</v>
      </c>
      <c r="Y420">
        <v>64</v>
      </c>
      <c r="Z420">
        <v>0</v>
      </c>
      <c r="AA420">
        <v>0</v>
      </c>
    </row>
    <row r="421" spans="1:30" x14ac:dyDescent="0.2">
      <c r="A421" t="s">
        <v>452</v>
      </c>
      <c r="C421">
        <v>0</v>
      </c>
      <c r="D421" t="s">
        <v>7</v>
      </c>
      <c r="E421">
        <v>8500</v>
      </c>
      <c r="F421" t="s">
        <v>768</v>
      </c>
      <c r="G421" t="s">
        <v>769</v>
      </c>
      <c r="H421" s="2">
        <v>0.79166666666666663</v>
      </c>
      <c r="I421" t="s">
        <v>762</v>
      </c>
      <c r="J421" s="1">
        <v>0.51800000000000002</v>
      </c>
      <c r="K421">
        <v>-107.5</v>
      </c>
      <c r="L421">
        <v>5.5</v>
      </c>
      <c r="M421">
        <v>3.2</v>
      </c>
      <c r="N421">
        <v>2.75</v>
      </c>
      <c r="O421" t="s">
        <v>818</v>
      </c>
      <c r="Q421" s="4">
        <v>2.3923611111111112</v>
      </c>
      <c r="R421">
        <v>9.6</v>
      </c>
      <c r="S421">
        <v>8.76</v>
      </c>
      <c r="T421">
        <v>0</v>
      </c>
      <c r="U421">
        <v>0</v>
      </c>
      <c r="V421">
        <v>0</v>
      </c>
      <c r="W421">
        <v>100</v>
      </c>
      <c r="Y421">
        <v>54</v>
      </c>
      <c r="Z421">
        <v>0</v>
      </c>
      <c r="AA421">
        <v>0</v>
      </c>
      <c r="AB421" s="3">
        <v>0</v>
      </c>
      <c r="AC421">
        <v>0</v>
      </c>
    </row>
    <row r="422" spans="1:30" x14ac:dyDescent="0.2">
      <c r="A422" t="s">
        <v>1027</v>
      </c>
      <c r="C422">
        <v>0</v>
      </c>
      <c r="D422" t="s">
        <v>10</v>
      </c>
      <c r="E422">
        <v>2500</v>
      </c>
      <c r="F422" t="s">
        <v>483</v>
      </c>
      <c r="G422" t="s">
        <v>772</v>
      </c>
      <c r="H422" s="2">
        <v>0.91666666666666663</v>
      </c>
      <c r="I422" t="s">
        <v>762</v>
      </c>
      <c r="J422" s="1">
        <v>0.46500000000000002</v>
      </c>
      <c r="K422">
        <v>-87</v>
      </c>
      <c r="L422">
        <v>6</v>
      </c>
      <c r="M422">
        <v>3.14</v>
      </c>
      <c r="N422">
        <v>3</v>
      </c>
      <c r="Q422" s="3">
        <v>0.54791666666666672</v>
      </c>
      <c r="R422">
        <v>4.8</v>
      </c>
      <c r="S422">
        <v>4.75</v>
      </c>
      <c r="T422">
        <v>0</v>
      </c>
      <c r="U422">
        <v>0</v>
      </c>
      <c r="V422">
        <v>0</v>
      </c>
      <c r="W422">
        <v>100</v>
      </c>
      <c r="Y422">
        <v>0</v>
      </c>
      <c r="Z422">
        <v>0</v>
      </c>
      <c r="AA422">
        <v>0</v>
      </c>
    </row>
    <row r="423" spans="1:30" x14ac:dyDescent="0.2">
      <c r="A423" t="s">
        <v>444</v>
      </c>
      <c r="C423">
        <v>0</v>
      </c>
      <c r="D423" t="s">
        <v>17</v>
      </c>
      <c r="E423">
        <v>2700</v>
      </c>
      <c r="F423" t="s">
        <v>777</v>
      </c>
      <c r="G423" t="s">
        <v>778</v>
      </c>
      <c r="H423" s="2">
        <v>0.79166666666666663</v>
      </c>
      <c r="I423" t="s">
        <v>762</v>
      </c>
      <c r="J423" s="1">
        <v>0.46400000000000002</v>
      </c>
      <c r="K423">
        <v>-86.5</v>
      </c>
      <c r="L423">
        <v>6</v>
      </c>
      <c r="M423">
        <v>3.19</v>
      </c>
      <c r="N423">
        <v>3</v>
      </c>
      <c r="O423">
        <v>1</v>
      </c>
      <c r="Q423" s="3">
        <v>0.82638888888888884</v>
      </c>
      <c r="R423">
        <v>4.7</v>
      </c>
      <c r="S423">
        <v>3.82</v>
      </c>
      <c r="T423">
        <v>13.42</v>
      </c>
      <c r="U423">
        <v>5.78</v>
      </c>
      <c r="V423">
        <v>5.78</v>
      </c>
      <c r="W423">
        <v>100</v>
      </c>
      <c r="Y423">
        <v>59</v>
      </c>
      <c r="Z423">
        <v>2.1</v>
      </c>
      <c r="AA423">
        <v>0</v>
      </c>
      <c r="AB423" s="3">
        <v>0.88888888888888884</v>
      </c>
      <c r="AC423">
        <v>6.9</v>
      </c>
      <c r="AD423">
        <v>2.6</v>
      </c>
    </row>
    <row r="424" spans="1:30" x14ac:dyDescent="0.2">
      <c r="A424" t="s">
        <v>253</v>
      </c>
      <c r="C424">
        <v>0</v>
      </c>
      <c r="D424" t="s">
        <v>10</v>
      </c>
      <c r="E424">
        <v>2600</v>
      </c>
      <c r="F424" t="s">
        <v>504</v>
      </c>
      <c r="G424" t="s">
        <v>799</v>
      </c>
      <c r="H424" s="2">
        <v>0.83333333333333337</v>
      </c>
      <c r="I424" t="s">
        <v>766</v>
      </c>
      <c r="J424" s="1">
        <v>0.51300000000000001</v>
      </c>
      <c r="K424">
        <v>95</v>
      </c>
      <c r="L424">
        <v>5.5</v>
      </c>
      <c r="M424">
        <v>2.54</v>
      </c>
      <c r="N424">
        <v>2.75</v>
      </c>
      <c r="O424">
        <v>1</v>
      </c>
      <c r="P424">
        <v>2</v>
      </c>
      <c r="Q424" s="3">
        <v>0.56319444444444444</v>
      </c>
      <c r="R424">
        <v>4.3</v>
      </c>
      <c r="S424">
        <v>5.91</v>
      </c>
      <c r="T424">
        <v>16.170000000000002</v>
      </c>
      <c r="U424">
        <v>4.3499999999999996</v>
      </c>
      <c r="V424">
        <v>4.3499999999999996</v>
      </c>
      <c r="W424">
        <v>100</v>
      </c>
      <c r="Y424">
        <v>31</v>
      </c>
      <c r="Z424">
        <v>1.7</v>
      </c>
      <c r="AA424">
        <v>0</v>
      </c>
      <c r="AB424" s="3">
        <v>0.46597222222222223</v>
      </c>
      <c r="AC424">
        <v>10</v>
      </c>
      <c r="AD424">
        <v>3.8</v>
      </c>
    </row>
    <row r="425" spans="1:30" x14ac:dyDescent="0.2">
      <c r="A425" t="s">
        <v>361</v>
      </c>
      <c r="C425">
        <v>0</v>
      </c>
      <c r="D425" t="s">
        <v>17</v>
      </c>
      <c r="E425">
        <v>2500</v>
      </c>
      <c r="F425" t="s">
        <v>485</v>
      </c>
      <c r="G425" t="s">
        <v>767</v>
      </c>
      <c r="H425" s="2">
        <v>0.79166666666666663</v>
      </c>
      <c r="I425" t="s">
        <v>762</v>
      </c>
      <c r="J425" s="1">
        <v>0.48099999999999998</v>
      </c>
      <c r="K425">
        <v>-92.5</v>
      </c>
      <c r="L425">
        <v>6.5</v>
      </c>
      <c r="M425">
        <v>3.62</v>
      </c>
      <c r="N425">
        <v>3.25</v>
      </c>
      <c r="O425">
        <v>1</v>
      </c>
      <c r="Q425" s="3">
        <v>0.69097222222222221</v>
      </c>
      <c r="R425">
        <v>4.0999999999999996</v>
      </c>
      <c r="S425">
        <v>4.28</v>
      </c>
      <c r="T425">
        <v>14.02</v>
      </c>
      <c r="U425">
        <v>5.46</v>
      </c>
      <c r="V425">
        <v>5.46</v>
      </c>
      <c r="W425">
        <v>100</v>
      </c>
      <c r="Y425">
        <v>48</v>
      </c>
      <c r="Z425">
        <v>2.2000000000000002</v>
      </c>
      <c r="AA425">
        <v>0</v>
      </c>
      <c r="AB425" s="3">
        <v>0.72638888888888886</v>
      </c>
      <c r="AC425">
        <v>10</v>
      </c>
      <c r="AD425">
        <v>4</v>
      </c>
    </row>
    <row r="426" spans="1:30" x14ac:dyDescent="0.2">
      <c r="A426" t="s">
        <v>282</v>
      </c>
      <c r="C426">
        <v>0</v>
      </c>
      <c r="D426" t="s">
        <v>10</v>
      </c>
      <c r="E426">
        <v>3300</v>
      </c>
      <c r="F426" t="s">
        <v>494</v>
      </c>
      <c r="G426" t="s">
        <v>782</v>
      </c>
      <c r="H426" s="2">
        <v>0.79166666666666663</v>
      </c>
      <c r="I426" t="s">
        <v>762</v>
      </c>
      <c r="J426" s="1">
        <v>0.47199999999999998</v>
      </c>
      <c r="K426">
        <v>-89.5</v>
      </c>
      <c r="L426">
        <v>6</v>
      </c>
      <c r="M426">
        <v>3</v>
      </c>
      <c r="N426">
        <v>2.82</v>
      </c>
      <c r="O426">
        <v>2</v>
      </c>
      <c r="P426">
        <v>1</v>
      </c>
      <c r="Q426" s="3">
        <v>0.72430555555555554</v>
      </c>
      <c r="R426">
        <v>5</v>
      </c>
      <c r="S426">
        <v>4.58</v>
      </c>
      <c r="T426">
        <v>13.34</v>
      </c>
      <c r="U426">
        <v>4.18</v>
      </c>
      <c r="V426">
        <v>4.18</v>
      </c>
      <c r="W426">
        <v>100</v>
      </c>
      <c r="Y426">
        <v>54</v>
      </c>
      <c r="Z426">
        <v>1.3</v>
      </c>
      <c r="AA426">
        <v>0</v>
      </c>
      <c r="AB426" s="3">
        <v>0.61944444444444446</v>
      </c>
      <c r="AC426">
        <v>0</v>
      </c>
    </row>
    <row r="427" spans="1:30" x14ac:dyDescent="0.2">
      <c r="A427" t="s">
        <v>352</v>
      </c>
      <c r="C427">
        <v>0</v>
      </c>
      <c r="D427" t="s">
        <v>10</v>
      </c>
      <c r="E427">
        <v>3400</v>
      </c>
      <c r="F427" t="s">
        <v>502</v>
      </c>
      <c r="G427" t="s">
        <v>798</v>
      </c>
      <c r="H427" s="2">
        <v>0.83333333333333337</v>
      </c>
      <c r="I427" t="s">
        <v>766</v>
      </c>
      <c r="J427" s="1">
        <v>0.48699999999999999</v>
      </c>
      <c r="K427">
        <v>105.5</v>
      </c>
      <c r="L427">
        <v>6</v>
      </c>
      <c r="M427">
        <v>3</v>
      </c>
      <c r="N427">
        <v>3.46</v>
      </c>
      <c r="O427">
        <v>3</v>
      </c>
      <c r="P427">
        <v>1</v>
      </c>
      <c r="Q427" s="3">
        <v>0.76180555555555551</v>
      </c>
      <c r="R427">
        <v>6.5</v>
      </c>
      <c r="S427">
        <v>4.97</v>
      </c>
      <c r="T427">
        <v>16.88</v>
      </c>
      <c r="U427">
        <v>6.94</v>
      </c>
      <c r="V427">
        <v>6.94</v>
      </c>
      <c r="W427">
        <v>100</v>
      </c>
      <c r="Y427">
        <v>62</v>
      </c>
      <c r="Z427">
        <v>2</v>
      </c>
      <c r="AA427">
        <v>0</v>
      </c>
      <c r="AB427" s="3">
        <v>0.7</v>
      </c>
      <c r="AC427">
        <v>11</v>
      </c>
      <c r="AD427">
        <v>3.2</v>
      </c>
    </row>
    <row r="428" spans="1:30" x14ac:dyDescent="0.2">
      <c r="A428" t="s">
        <v>216</v>
      </c>
      <c r="C428">
        <v>0</v>
      </c>
      <c r="D428" t="s">
        <v>10</v>
      </c>
      <c r="E428">
        <v>3000</v>
      </c>
      <c r="F428" t="s">
        <v>510</v>
      </c>
      <c r="G428" t="s">
        <v>802</v>
      </c>
      <c r="H428" s="2">
        <v>0.91666666666666663</v>
      </c>
      <c r="I428" t="s">
        <v>766</v>
      </c>
      <c r="J428" s="1">
        <v>0.51200000000000001</v>
      </c>
      <c r="K428">
        <v>95.5</v>
      </c>
      <c r="L428">
        <v>6.5</v>
      </c>
      <c r="M428">
        <v>3.01</v>
      </c>
      <c r="N428">
        <v>3.25</v>
      </c>
      <c r="O428">
        <v>2</v>
      </c>
      <c r="P428">
        <v>1</v>
      </c>
      <c r="Q428" s="3">
        <v>0.4861111111111111</v>
      </c>
      <c r="R428">
        <v>5.0999999999999996</v>
      </c>
      <c r="S428">
        <v>6.4</v>
      </c>
      <c r="T428">
        <v>18.11</v>
      </c>
      <c r="U428">
        <v>5.31</v>
      </c>
      <c r="V428">
        <v>5.31</v>
      </c>
      <c r="W428">
        <v>100</v>
      </c>
      <c r="Y428">
        <v>37</v>
      </c>
      <c r="Z428">
        <v>1.8</v>
      </c>
      <c r="AA428">
        <v>0</v>
      </c>
      <c r="AB428" s="3">
        <v>0.48125000000000001</v>
      </c>
      <c r="AC428">
        <v>0</v>
      </c>
    </row>
    <row r="429" spans="1:30" x14ac:dyDescent="0.2">
      <c r="A429" t="s">
        <v>208</v>
      </c>
      <c r="C429">
        <v>0</v>
      </c>
      <c r="D429" t="s">
        <v>10</v>
      </c>
      <c r="E429">
        <v>3700</v>
      </c>
      <c r="F429" t="s">
        <v>506</v>
      </c>
      <c r="G429" t="s">
        <v>786</v>
      </c>
      <c r="H429" s="2">
        <v>0.79166666666666663</v>
      </c>
      <c r="I429" t="s">
        <v>766</v>
      </c>
      <c r="J429" s="1">
        <v>0.53600000000000003</v>
      </c>
      <c r="K429">
        <v>86.5</v>
      </c>
      <c r="L429">
        <v>6</v>
      </c>
      <c r="M429">
        <v>3</v>
      </c>
      <c r="N429">
        <v>3.19</v>
      </c>
      <c r="O429">
        <v>3</v>
      </c>
      <c r="P429">
        <v>2</v>
      </c>
      <c r="Q429" s="3">
        <v>0.69236111111111109</v>
      </c>
      <c r="R429">
        <v>6.6</v>
      </c>
      <c r="S429">
        <v>5.87</v>
      </c>
      <c r="T429">
        <v>18.239999999999998</v>
      </c>
      <c r="U429">
        <v>6.5</v>
      </c>
      <c r="V429">
        <v>6.5</v>
      </c>
      <c r="W429">
        <v>100</v>
      </c>
      <c r="Y429">
        <v>56</v>
      </c>
      <c r="Z429">
        <v>1.8</v>
      </c>
      <c r="AA429">
        <v>0</v>
      </c>
      <c r="AB429" s="3">
        <v>0.63472222222222219</v>
      </c>
      <c r="AC429">
        <v>9.5</v>
      </c>
      <c r="AD429">
        <v>2.6</v>
      </c>
    </row>
    <row r="430" spans="1:30" x14ac:dyDescent="0.2">
      <c r="A430" t="s">
        <v>339</v>
      </c>
      <c r="C430">
        <v>0</v>
      </c>
      <c r="D430" t="s">
        <v>7</v>
      </c>
      <c r="E430">
        <v>7600</v>
      </c>
      <c r="F430" t="s">
        <v>501</v>
      </c>
      <c r="G430" t="s">
        <v>783</v>
      </c>
      <c r="H430" s="2">
        <v>0.79166666666666663</v>
      </c>
      <c r="I430" t="s">
        <v>766</v>
      </c>
      <c r="J430" s="1">
        <v>0.52800000000000002</v>
      </c>
      <c r="K430">
        <v>89.5</v>
      </c>
      <c r="L430">
        <v>6</v>
      </c>
      <c r="M430">
        <v>2.82</v>
      </c>
      <c r="N430">
        <v>3</v>
      </c>
      <c r="O430" t="s">
        <v>780</v>
      </c>
      <c r="Q430" s="4">
        <v>2.3256944444444443</v>
      </c>
      <c r="R430">
        <v>7.1</v>
      </c>
      <c r="S430">
        <v>11.04</v>
      </c>
      <c r="T430">
        <v>30.58</v>
      </c>
      <c r="U430">
        <v>8.5</v>
      </c>
      <c r="V430">
        <v>8.5</v>
      </c>
      <c r="W430">
        <v>100</v>
      </c>
      <c r="Y430">
        <v>22</v>
      </c>
      <c r="Z430">
        <v>1.1000000000000001</v>
      </c>
      <c r="AA430">
        <v>0</v>
      </c>
      <c r="AB430" s="4">
        <v>2.4520833333333334</v>
      </c>
      <c r="AC430">
        <v>6.3</v>
      </c>
      <c r="AD430">
        <v>0.8</v>
      </c>
    </row>
    <row r="431" spans="1:30" x14ac:dyDescent="0.2">
      <c r="A431" t="s">
        <v>450</v>
      </c>
      <c r="C431">
        <v>0</v>
      </c>
      <c r="D431" t="s">
        <v>5</v>
      </c>
      <c r="E431">
        <v>3000</v>
      </c>
      <c r="F431" t="s">
        <v>496</v>
      </c>
      <c r="G431" t="s">
        <v>787</v>
      </c>
      <c r="H431" s="2">
        <v>0.79166666666666663</v>
      </c>
      <c r="I431" t="s">
        <v>766</v>
      </c>
      <c r="J431" s="1">
        <v>0.48199999999999998</v>
      </c>
      <c r="K431">
        <v>107.5</v>
      </c>
      <c r="L431">
        <v>5.5</v>
      </c>
      <c r="M431">
        <v>2.75</v>
      </c>
      <c r="N431">
        <v>3.2</v>
      </c>
      <c r="O431">
        <v>2</v>
      </c>
      <c r="P431">
        <v>1</v>
      </c>
      <c r="Q431" s="3">
        <v>0.63194444444444442</v>
      </c>
      <c r="R431">
        <v>5.0999999999999996</v>
      </c>
      <c r="S431">
        <v>4.0999999999999996</v>
      </c>
      <c r="T431">
        <v>13.22</v>
      </c>
      <c r="U431">
        <v>5.0199999999999996</v>
      </c>
      <c r="V431">
        <v>5.0199999999999996</v>
      </c>
      <c r="W431">
        <v>100</v>
      </c>
      <c r="Y431">
        <v>60</v>
      </c>
      <c r="Z431">
        <v>1.7</v>
      </c>
      <c r="AA431">
        <v>0</v>
      </c>
      <c r="AB431" s="3">
        <v>0.64513888888888893</v>
      </c>
      <c r="AC431">
        <v>1.3</v>
      </c>
      <c r="AD431">
        <v>0.4</v>
      </c>
    </row>
    <row r="432" spans="1:30" x14ac:dyDescent="0.2">
      <c r="A432" t="s">
        <v>606</v>
      </c>
      <c r="C432">
        <v>0</v>
      </c>
      <c r="D432" t="s">
        <v>10</v>
      </c>
      <c r="E432">
        <v>2500</v>
      </c>
      <c r="F432" t="s">
        <v>501</v>
      </c>
      <c r="G432" t="s">
        <v>783</v>
      </c>
      <c r="H432" s="2">
        <v>0.79166666666666663</v>
      </c>
      <c r="I432" t="s">
        <v>766</v>
      </c>
      <c r="J432" s="1">
        <v>0.52800000000000002</v>
      </c>
      <c r="K432">
        <v>89.5</v>
      </c>
      <c r="L432">
        <v>6</v>
      </c>
      <c r="M432">
        <v>2.82</v>
      </c>
      <c r="N432">
        <v>3</v>
      </c>
      <c r="Q432" s="3">
        <v>0.46111111111111114</v>
      </c>
      <c r="R432">
        <v>3.8</v>
      </c>
      <c r="S432">
        <v>4.37</v>
      </c>
      <c r="T432">
        <v>0</v>
      </c>
      <c r="U432">
        <v>0</v>
      </c>
      <c r="V432">
        <v>0</v>
      </c>
      <c r="W432">
        <v>100</v>
      </c>
      <c r="Y432">
        <v>43</v>
      </c>
      <c r="Z432">
        <v>0</v>
      </c>
      <c r="AA432">
        <v>0</v>
      </c>
    </row>
    <row r="433" spans="1:30" x14ac:dyDescent="0.2">
      <c r="A433" t="s">
        <v>711</v>
      </c>
      <c r="C433">
        <v>0</v>
      </c>
      <c r="D433" t="s">
        <v>10</v>
      </c>
      <c r="E433">
        <v>2500</v>
      </c>
      <c r="F433" t="s">
        <v>499</v>
      </c>
      <c r="G433" t="s">
        <v>775</v>
      </c>
      <c r="H433" s="2">
        <v>0.79166666666666663</v>
      </c>
      <c r="I433" t="s">
        <v>762</v>
      </c>
      <c r="J433" s="1">
        <v>0.50700000000000001</v>
      </c>
      <c r="K433">
        <v>-103</v>
      </c>
      <c r="L433">
        <v>6.5</v>
      </c>
      <c r="M433">
        <v>3.71</v>
      </c>
      <c r="N433">
        <v>3.25</v>
      </c>
      <c r="Q433" s="3">
        <v>0.52152777777777781</v>
      </c>
      <c r="R433">
        <v>2.2999999999999998</v>
      </c>
      <c r="S433">
        <v>2.27</v>
      </c>
      <c r="T433">
        <v>0</v>
      </c>
      <c r="U433">
        <v>0</v>
      </c>
      <c r="V433">
        <v>0</v>
      </c>
      <c r="W433">
        <v>100</v>
      </c>
      <c r="Y433">
        <v>51</v>
      </c>
      <c r="Z433">
        <v>0</v>
      </c>
      <c r="AA433">
        <v>0</v>
      </c>
    </row>
    <row r="434" spans="1:30" x14ac:dyDescent="0.2">
      <c r="A434" t="s">
        <v>821</v>
      </c>
      <c r="C434">
        <v>0</v>
      </c>
      <c r="D434" t="s">
        <v>7</v>
      </c>
      <c r="E434">
        <v>8300</v>
      </c>
      <c r="F434" t="s">
        <v>485</v>
      </c>
      <c r="G434" t="s">
        <v>767</v>
      </c>
      <c r="H434" s="2">
        <v>0.79166666666666663</v>
      </c>
      <c r="I434" t="s">
        <v>762</v>
      </c>
      <c r="J434" s="1">
        <v>0.48099999999999998</v>
      </c>
      <c r="K434">
        <v>-92.5</v>
      </c>
      <c r="L434">
        <v>6.5</v>
      </c>
      <c r="M434">
        <v>3.62</v>
      </c>
      <c r="N434">
        <v>3.25</v>
      </c>
      <c r="O434" t="s">
        <v>818</v>
      </c>
      <c r="Q434" s="4">
        <v>2.2618055555555556</v>
      </c>
      <c r="R434">
        <v>11.3</v>
      </c>
      <c r="S434">
        <v>10.48</v>
      </c>
      <c r="T434">
        <v>0</v>
      </c>
      <c r="U434">
        <v>0</v>
      </c>
      <c r="V434">
        <v>0</v>
      </c>
      <c r="W434">
        <v>100</v>
      </c>
      <c r="Y434">
        <v>54</v>
      </c>
      <c r="Z434">
        <v>0</v>
      </c>
      <c r="AA434">
        <v>0</v>
      </c>
      <c r="AB434" s="3">
        <v>0</v>
      </c>
      <c r="AC434">
        <v>0</v>
      </c>
    </row>
    <row r="435" spans="1:30" x14ac:dyDescent="0.2">
      <c r="A435" t="s">
        <v>846</v>
      </c>
      <c r="C435">
        <v>0</v>
      </c>
      <c r="D435" t="s">
        <v>7</v>
      </c>
      <c r="E435">
        <v>7200</v>
      </c>
      <c r="F435" t="s">
        <v>504</v>
      </c>
      <c r="G435" t="s">
        <v>799</v>
      </c>
      <c r="H435" s="2">
        <v>0.83333333333333337</v>
      </c>
      <c r="I435" t="s">
        <v>766</v>
      </c>
      <c r="J435" s="1">
        <v>0.51300000000000001</v>
      </c>
      <c r="K435">
        <v>95</v>
      </c>
      <c r="L435">
        <v>5.5</v>
      </c>
      <c r="M435">
        <v>2.54</v>
      </c>
      <c r="N435">
        <v>2.75</v>
      </c>
      <c r="O435" t="s">
        <v>818</v>
      </c>
      <c r="Q435" s="4">
        <v>2.3041666666666667</v>
      </c>
      <c r="R435">
        <v>6.5</v>
      </c>
      <c r="S435">
        <v>10.89</v>
      </c>
      <c r="T435">
        <v>0</v>
      </c>
      <c r="U435">
        <v>0</v>
      </c>
      <c r="V435">
        <v>0</v>
      </c>
      <c r="W435">
        <v>100</v>
      </c>
      <c r="Y435">
        <v>16</v>
      </c>
      <c r="Z435">
        <v>0</v>
      </c>
      <c r="AA435">
        <v>0</v>
      </c>
      <c r="AB435" s="3">
        <v>0</v>
      </c>
      <c r="AC435">
        <v>0</v>
      </c>
    </row>
    <row r="436" spans="1:30" x14ac:dyDescent="0.2">
      <c r="A436" t="s">
        <v>24</v>
      </c>
      <c r="C436">
        <v>0</v>
      </c>
      <c r="D436" t="s">
        <v>10</v>
      </c>
      <c r="E436">
        <v>4700</v>
      </c>
      <c r="F436" t="s">
        <v>505</v>
      </c>
      <c r="G436" t="s">
        <v>793</v>
      </c>
      <c r="H436" s="2">
        <v>0.91666666666666663</v>
      </c>
      <c r="I436" t="s">
        <v>762</v>
      </c>
      <c r="J436" s="1">
        <v>0.41499999999999998</v>
      </c>
      <c r="K436">
        <v>-71</v>
      </c>
      <c r="L436">
        <v>6</v>
      </c>
      <c r="M436">
        <v>3.02</v>
      </c>
      <c r="N436">
        <v>3</v>
      </c>
      <c r="O436">
        <v>1</v>
      </c>
      <c r="P436">
        <v>1</v>
      </c>
      <c r="Q436" s="3">
        <v>0.78055555555555556</v>
      </c>
      <c r="R436">
        <v>9.1</v>
      </c>
      <c r="S436">
        <v>6.12</v>
      </c>
      <c r="T436">
        <v>22.18</v>
      </c>
      <c r="U436">
        <v>9.94</v>
      </c>
      <c r="V436">
        <v>9.94</v>
      </c>
      <c r="W436">
        <v>100</v>
      </c>
      <c r="Y436">
        <v>66</v>
      </c>
      <c r="Z436">
        <v>2.1</v>
      </c>
      <c r="AA436">
        <v>0</v>
      </c>
      <c r="AB436" s="3">
        <v>0.6166666666666667</v>
      </c>
      <c r="AC436">
        <v>5</v>
      </c>
      <c r="AD436">
        <v>1.1000000000000001</v>
      </c>
    </row>
    <row r="437" spans="1:30" x14ac:dyDescent="0.2">
      <c r="A437" t="s">
        <v>918</v>
      </c>
      <c r="C437">
        <v>0</v>
      </c>
      <c r="D437" t="s">
        <v>10</v>
      </c>
      <c r="E437">
        <v>2500</v>
      </c>
      <c r="F437" t="s">
        <v>486</v>
      </c>
      <c r="G437" t="s">
        <v>776</v>
      </c>
      <c r="H437" s="2">
        <v>0.79166666666666663</v>
      </c>
      <c r="I437" t="s">
        <v>762</v>
      </c>
      <c r="J437" s="1">
        <v>0.435</v>
      </c>
      <c r="K437">
        <v>-77</v>
      </c>
      <c r="L437">
        <v>5.5</v>
      </c>
      <c r="M437">
        <v>2.87</v>
      </c>
      <c r="N437">
        <v>2.75</v>
      </c>
      <c r="Q437" s="3">
        <v>0.51597222222222228</v>
      </c>
      <c r="R437">
        <v>2.9</v>
      </c>
      <c r="S437">
        <v>3</v>
      </c>
      <c r="T437">
        <v>0</v>
      </c>
      <c r="U437">
        <v>0</v>
      </c>
      <c r="V437">
        <v>0</v>
      </c>
      <c r="W437">
        <v>100</v>
      </c>
      <c r="Y437">
        <v>48</v>
      </c>
      <c r="Z437">
        <v>0</v>
      </c>
      <c r="AA437">
        <v>0</v>
      </c>
    </row>
    <row r="438" spans="1:30" x14ac:dyDescent="0.2">
      <c r="A438" t="s">
        <v>906</v>
      </c>
      <c r="C438">
        <v>0</v>
      </c>
      <c r="D438" t="s">
        <v>17</v>
      </c>
      <c r="E438">
        <v>2500</v>
      </c>
      <c r="F438" t="s">
        <v>485</v>
      </c>
      <c r="G438" t="s">
        <v>767</v>
      </c>
      <c r="H438" s="2">
        <v>0.79166666666666663</v>
      </c>
      <c r="I438" t="s">
        <v>762</v>
      </c>
      <c r="J438" s="1">
        <v>0.48099999999999998</v>
      </c>
      <c r="K438">
        <v>-92.5</v>
      </c>
      <c r="L438">
        <v>6.5</v>
      </c>
      <c r="M438">
        <v>3.62</v>
      </c>
      <c r="N438">
        <v>3.25</v>
      </c>
      <c r="Q438" s="3">
        <v>0.69027777777777777</v>
      </c>
      <c r="R438">
        <v>6.5</v>
      </c>
      <c r="S438">
        <v>4.18</v>
      </c>
      <c r="T438">
        <v>0</v>
      </c>
      <c r="U438">
        <v>0</v>
      </c>
      <c r="V438">
        <v>0</v>
      </c>
      <c r="W438">
        <v>100</v>
      </c>
      <c r="Y438">
        <v>68</v>
      </c>
      <c r="Z438">
        <v>0</v>
      </c>
      <c r="AA438">
        <v>0</v>
      </c>
    </row>
    <row r="439" spans="1:30" x14ac:dyDescent="0.2">
      <c r="A439" t="s">
        <v>298</v>
      </c>
      <c r="C439">
        <v>0</v>
      </c>
      <c r="D439" t="s">
        <v>10</v>
      </c>
      <c r="E439">
        <v>5000</v>
      </c>
      <c r="F439" t="s">
        <v>504</v>
      </c>
      <c r="G439" t="s">
        <v>799</v>
      </c>
      <c r="H439" s="2">
        <v>0.83333333333333337</v>
      </c>
      <c r="I439" t="s">
        <v>766</v>
      </c>
      <c r="J439" s="1">
        <v>0.51300000000000001</v>
      </c>
      <c r="K439">
        <v>95</v>
      </c>
      <c r="L439">
        <v>5.5</v>
      </c>
      <c r="M439">
        <v>2.54</v>
      </c>
      <c r="N439">
        <v>2.75</v>
      </c>
      <c r="O439">
        <v>2</v>
      </c>
      <c r="P439">
        <v>1</v>
      </c>
      <c r="Q439" s="3">
        <v>0.68055555555555558</v>
      </c>
      <c r="R439">
        <v>8.1999999999999993</v>
      </c>
      <c r="S439">
        <v>5.37</v>
      </c>
      <c r="T439">
        <v>18.37</v>
      </c>
      <c r="U439">
        <v>7.63</v>
      </c>
      <c r="V439">
        <v>7.63</v>
      </c>
      <c r="W439">
        <v>100</v>
      </c>
      <c r="Y439">
        <v>67</v>
      </c>
      <c r="Z439">
        <v>1.5</v>
      </c>
      <c r="AA439">
        <v>0</v>
      </c>
      <c r="AB439" s="3">
        <v>0.74375000000000002</v>
      </c>
      <c r="AC439">
        <v>27.3</v>
      </c>
      <c r="AD439">
        <v>5.5</v>
      </c>
    </row>
    <row r="440" spans="1:30" x14ac:dyDescent="0.2">
      <c r="A440" t="s">
        <v>315</v>
      </c>
      <c r="C440">
        <v>0</v>
      </c>
      <c r="D440" t="s">
        <v>10</v>
      </c>
      <c r="E440">
        <v>2800</v>
      </c>
      <c r="F440" t="s">
        <v>498</v>
      </c>
      <c r="G440" t="s">
        <v>779</v>
      </c>
      <c r="H440" s="2">
        <v>0.79166666666666663</v>
      </c>
      <c r="I440" t="s">
        <v>762</v>
      </c>
      <c r="J440" s="1">
        <v>0.50600000000000001</v>
      </c>
      <c r="K440">
        <v>-102.5</v>
      </c>
      <c r="L440">
        <v>6</v>
      </c>
      <c r="M440">
        <v>3.44</v>
      </c>
      <c r="N440">
        <v>3</v>
      </c>
      <c r="O440">
        <v>3</v>
      </c>
      <c r="Q440" s="3">
        <v>0.61458333333333337</v>
      </c>
      <c r="R440">
        <v>5.2</v>
      </c>
      <c r="S440">
        <v>5.13</v>
      </c>
      <c r="T440">
        <v>16.72</v>
      </c>
      <c r="U440">
        <v>6.46</v>
      </c>
      <c r="V440">
        <v>6.46</v>
      </c>
      <c r="W440">
        <v>100</v>
      </c>
      <c r="Y440">
        <v>51</v>
      </c>
      <c r="Z440">
        <v>2.2999999999999998</v>
      </c>
      <c r="AA440">
        <v>0</v>
      </c>
      <c r="AB440" s="3">
        <v>0.6166666666666667</v>
      </c>
      <c r="AC440">
        <v>6.3</v>
      </c>
      <c r="AD440">
        <v>2.2999999999999998</v>
      </c>
    </row>
    <row r="441" spans="1:30" x14ac:dyDescent="0.2">
      <c r="A441" t="s">
        <v>272</v>
      </c>
      <c r="C441">
        <v>0</v>
      </c>
      <c r="D441" t="s">
        <v>5</v>
      </c>
      <c r="E441">
        <v>3000</v>
      </c>
      <c r="F441" t="s">
        <v>498</v>
      </c>
      <c r="G441" t="s">
        <v>779</v>
      </c>
      <c r="H441" s="2">
        <v>0.79166666666666663</v>
      </c>
      <c r="I441" t="s">
        <v>762</v>
      </c>
      <c r="J441" s="1">
        <v>0.50600000000000001</v>
      </c>
      <c r="K441">
        <v>-102.5</v>
      </c>
      <c r="L441">
        <v>6</v>
      </c>
      <c r="M441">
        <v>3.44</v>
      </c>
      <c r="N441">
        <v>3</v>
      </c>
      <c r="O441">
        <v>3</v>
      </c>
      <c r="P441">
        <v>1</v>
      </c>
      <c r="Q441" s="3">
        <v>0.66527777777777775</v>
      </c>
      <c r="R441">
        <v>6</v>
      </c>
      <c r="S441">
        <v>5.71</v>
      </c>
      <c r="T441">
        <v>19.09</v>
      </c>
      <c r="U441">
        <v>7.67</v>
      </c>
      <c r="V441">
        <v>7.67</v>
      </c>
      <c r="W441">
        <v>100</v>
      </c>
      <c r="Y441">
        <v>52</v>
      </c>
      <c r="Z441">
        <v>2.6</v>
      </c>
      <c r="AA441">
        <v>0</v>
      </c>
      <c r="AB441" s="3">
        <v>0.64930555555555558</v>
      </c>
      <c r="AC441">
        <v>11.5</v>
      </c>
      <c r="AD441">
        <v>3.8</v>
      </c>
    </row>
    <row r="442" spans="1:30" x14ac:dyDescent="0.2">
      <c r="A442" t="s">
        <v>834</v>
      </c>
      <c r="C442">
        <v>0</v>
      </c>
      <c r="D442" t="s">
        <v>7</v>
      </c>
      <c r="E442">
        <v>7800</v>
      </c>
      <c r="F442" t="s">
        <v>490</v>
      </c>
      <c r="G442" t="s">
        <v>771</v>
      </c>
      <c r="H442" s="2">
        <v>0.91666666666666663</v>
      </c>
      <c r="I442" t="s">
        <v>766</v>
      </c>
      <c r="J442" s="1">
        <v>0.58499999999999996</v>
      </c>
      <c r="K442">
        <v>71</v>
      </c>
      <c r="L442">
        <v>6</v>
      </c>
      <c r="M442">
        <v>3</v>
      </c>
      <c r="N442">
        <v>3.02</v>
      </c>
      <c r="O442" t="s">
        <v>818</v>
      </c>
      <c r="Q442" s="4">
        <v>2.3451388888888891</v>
      </c>
      <c r="R442">
        <v>13</v>
      </c>
      <c r="S442">
        <v>10.84</v>
      </c>
      <c r="T442">
        <v>0</v>
      </c>
      <c r="U442">
        <v>0</v>
      </c>
      <c r="V442">
        <v>0</v>
      </c>
      <c r="W442">
        <v>100</v>
      </c>
      <c r="Y442">
        <v>58</v>
      </c>
      <c r="Z442">
        <v>0</v>
      </c>
      <c r="AA442">
        <v>0</v>
      </c>
      <c r="AB442" s="3">
        <v>0</v>
      </c>
      <c r="AC442">
        <v>0</v>
      </c>
    </row>
    <row r="443" spans="1:30" x14ac:dyDescent="0.2">
      <c r="A443" t="s">
        <v>532</v>
      </c>
      <c r="C443">
        <v>0</v>
      </c>
      <c r="D443" t="s">
        <v>10</v>
      </c>
      <c r="E443">
        <v>2500</v>
      </c>
      <c r="F443" t="s">
        <v>497</v>
      </c>
      <c r="G443" t="s">
        <v>784</v>
      </c>
      <c r="H443" s="2">
        <v>0.79166666666666663</v>
      </c>
      <c r="I443" t="s">
        <v>766</v>
      </c>
      <c r="J443" s="1">
        <v>0.55100000000000005</v>
      </c>
      <c r="K443">
        <v>81.5</v>
      </c>
      <c r="L443">
        <v>6.5</v>
      </c>
      <c r="M443">
        <v>3.17</v>
      </c>
      <c r="N443">
        <v>3.25</v>
      </c>
      <c r="O443">
        <v>4</v>
      </c>
      <c r="Q443" s="3">
        <v>0.60347222222222219</v>
      </c>
      <c r="R443">
        <v>5.3</v>
      </c>
      <c r="S443">
        <v>5.49</v>
      </c>
      <c r="T443">
        <v>18.440000000000001</v>
      </c>
      <c r="U443">
        <v>7.46</v>
      </c>
      <c r="V443">
        <v>7.46</v>
      </c>
      <c r="W443">
        <v>100</v>
      </c>
      <c r="Y443">
        <v>48</v>
      </c>
      <c r="Z443">
        <v>3</v>
      </c>
      <c r="AA443">
        <v>0</v>
      </c>
      <c r="AB443" s="3">
        <v>0.52500000000000002</v>
      </c>
      <c r="AC443">
        <v>1.5</v>
      </c>
      <c r="AD443">
        <v>0.6</v>
      </c>
    </row>
    <row r="444" spans="1:30" x14ac:dyDescent="0.2">
      <c r="A444" t="s">
        <v>124</v>
      </c>
      <c r="C444">
        <v>0</v>
      </c>
      <c r="D444" t="s">
        <v>10</v>
      </c>
      <c r="E444">
        <v>4900</v>
      </c>
      <c r="F444" t="s">
        <v>486</v>
      </c>
      <c r="G444" t="s">
        <v>776</v>
      </c>
      <c r="H444" s="2">
        <v>0.79166666666666663</v>
      </c>
      <c r="I444" t="s">
        <v>762</v>
      </c>
      <c r="J444" s="1">
        <v>0.435</v>
      </c>
      <c r="K444">
        <v>-77</v>
      </c>
      <c r="L444">
        <v>5.5</v>
      </c>
      <c r="M444">
        <v>2.87</v>
      </c>
      <c r="N444">
        <v>2.75</v>
      </c>
      <c r="O444">
        <v>3</v>
      </c>
      <c r="P444">
        <v>1</v>
      </c>
      <c r="Q444" s="3">
        <v>0.66527777777777775</v>
      </c>
      <c r="R444">
        <v>8.6</v>
      </c>
      <c r="S444">
        <v>7.52</v>
      </c>
      <c r="T444">
        <v>24.02</v>
      </c>
      <c r="U444">
        <v>8.98</v>
      </c>
      <c r="V444">
        <v>8.98</v>
      </c>
      <c r="W444">
        <v>100</v>
      </c>
      <c r="Y444">
        <v>56</v>
      </c>
      <c r="Z444">
        <v>1.8</v>
      </c>
      <c r="AA444">
        <v>0</v>
      </c>
      <c r="AB444" s="3">
        <v>0.60555555555555551</v>
      </c>
      <c r="AC444">
        <v>4.0999999999999996</v>
      </c>
      <c r="AD444">
        <v>0.8</v>
      </c>
    </row>
    <row r="445" spans="1:30" x14ac:dyDescent="0.2">
      <c r="A445" t="s">
        <v>607</v>
      </c>
      <c r="C445">
        <v>0</v>
      </c>
      <c r="D445" t="s">
        <v>17</v>
      </c>
      <c r="E445">
        <v>2500</v>
      </c>
      <c r="F445" t="s">
        <v>505</v>
      </c>
      <c r="G445" t="s">
        <v>793</v>
      </c>
      <c r="H445" s="2">
        <v>0.91666666666666663</v>
      </c>
      <c r="I445" t="s">
        <v>762</v>
      </c>
      <c r="J445" s="1">
        <v>0.41499999999999998</v>
      </c>
      <c r="K445">
        <v>-71</v>
      </c>
      <c r="L445">
        <v>6</v>
      </c>
      <c r="M445">
        <v>3.02</v>
      </c>
      <c r="N445">
        <v>3</v>
      </c>
      <c r="Q445" s="3">
        <v>0.65069444444444446</v>
      </c>
      <c r="R445">
        <v>4.5999999999999996</v>
      </c>
      <c r="S445">
        <v>4.42</v>
      </c>
      <c r="T445">
        <v>0</v>
      </c>
      <c r="U445">
        <v>0</v>
      </c>
      <c r="V445">
        <v>0</v>
      </c>
      <c r="W445">
        <v>100</v>
      </c>
      <c r="Y445">
        <v>52</v>
      </c>
      <c r="Z445">
        <v>0</v>
      </c>
      <c r="AA445">
        <v>0</v>
      </c>
    </row>
    <row r="446" spans="1:30" x14ac:dyDescent="0.2">
      <c r="A446" t="s">
        <v>212</v>
      </c>
      <c r="C446">
        <v>0</v>
      </c>
      <c r="D446" t="s">
        <v>17</v>
      </c>
      <c r="E446">
        <v>3700</v>
      </c>
      <c r="F446" t="s">
        <v>478</v>
      </c>
      <c r="G446" t="s">
        <v>763</v>
      </c>
      <c r="H446" s="2">
        <v>0.79166666666666663</v>
      </c>
      <c r="I446" t="s">
        <v>762</v>
      </c>
      <c r="J446" s="1">
        <v>0.44900000000000001</v>
      </c>
      <c r="K446">
        <v>-81.5</v>
      </c>
      <c r="L446">
        <v>6.5</v>
      </c>
      <c r="M446">
        <v>3.25</v>
      </c>
      <c r="N446">
        <v>3.17</v>
      </c>
      <c r="O446">
        <v>2</v>
      </c>
      <c r="Q446" s="3">
        <v>0.75416666666666665</v>
      </c>
      <c r="R446">
        <v>7.2</v>
      </c>
      <c r="S446">
        <v>7.46</v>
      </c>
      <c r="T446">
        <v>25.88</v>
      </c>
      <c r="U446">
        <v>10.96</v>
      </c>
      <c r="V446">
        <v>10.96</v>
      </c>
      <c r="W446">
        <v>100</v>
      </c>
      <c r="Y446">
        <v>48</v>
      </c>
      <c r="Z446">
        <v>3</v>
      </c>
      <c r="AA446">
        <v>0</v>
      </c>
      <c r="AB446" s="3">
        <v>0.80069444444444449</v>
      </c>
      <c r="AC446">
        <v>8</v>
      </c>
      <c r="AD446">
        <v>2.2000000000000002</v>
      </c>
    </row>
    <row r="447" spans="1:30" x14ac:dyDescent="0.2">
      <c r="A447" t="s">
        <v>319</v>
      </c>
      <c r="C447">
        <v>0</v>
      </c>
      <c r="D447" t="s">
        <v>17</v>
      </c>
      <c r="E447">
        <v>5700</v>
      </c>
      <c r="F447" t="s">
        <v>496</v>
      </c>
      <c r="G447" t="s">
        <v>787</v>
      </c>
      <c r="H447" s="2">
        <v>0.79166666666666663</v>
      </c>
      <c r="I447" t="s">
        <v>766</v>
      </c>
      <c r="J447" s="1">
        <v>0.48199999999999998</v>
      </c>
      <c r="K447">
        <v>107.5</v>
      </c>
      <c r="L447">
        <v>5.5</v>
      </c>
      <c r="M447">
        <v>2.75</v>
      </c>
      <c r="N447">
        <v>3.2</v>
      </c>
      <c r="O447">
        <v>1</v>
      </c>
      <c r="P447">
        <v>1</v>
      </c>
      <c r="Q447" s="4">
        <v>1.0229166666666667</v>
      </c>
      <c r="R447">
        <v>10.6</v>
      </c>
      <c r="S447">
        <v>7.3</v>
      </c>
      <c r="T447">
        <v>24.03</v>
      </c>
      <c r="U447">
        <v>9.43</v>
      </c>
      <c r="V447">
        <v>9.43</v>
      </c>
      <c r="W447">
        <v>100</v>
      </c>
      <c r="Y447">
        <v>66</v>
      </c>
      <c r="Z447">
        <v>1.7</v>
      </c>
      <c r="AA447">
        <v>0</v>
      </c>
      <c r="AB447" s="4">
        <v>1.1076388888888888</v>
      </c>
      <c r="AC447">
        <v>2.8</v>
      </c>
      <c r="AD447">
        <v>0.5</v>
      </c>
    </row>
    <row r="448" spans="1:30" x14ac:dyDescent="0.2">
      <c r="A448" t="s">
        <v>872</v>
      </c>
      <c r="C448">
        <v>0</v>
      </c>
      <c r="D448" t="s">
        <v>5</v>
      </c>
      <c r="E448">
        <v>4900</v>
      </c>
      <c r="F448" t="s">
        <v>486</v>
      </c>
      <c r="G448" t="s">
        <v>776</v>
      </c>
      <c r="H448" s="2">
        <v>0.79166666666666663</v>
      </c>
      <c r="I448" t="s">
        <v>762</v>
      </c>
      <c r="J448" s="1">
        <v>0.435</v>
      </c>
      <c r="K448">
        <v>-77</v>
      </c>
      <c r="L448">
        <v>5.5</v>
      </c>
      <c r="M448">
        <v>2.87</v>
      </c>
      <c r="N448">
        <v>2.75</v>
      </c>
      <c r="Q448" s="3">
        <v>0.67500000000000004</v>
      </c>
      <c r="R448">
        <v>9.1</v>
      </c>
      <c r="S448">
        <v>7.22</v>
      </c>
      <c r="T448">
        <v>0</v>
      </c>
      <c r="U448">
        <v>0</v>
      </c>
      <c r="V448">
        <v>0</v>
      </c>
      <c r="W448">
        <v>100</v>
      </c>
      <c r="Y448">
        <v>60</v>
      </c>
      <c r="Z448">
        <v>0</v>
      </c>
      <c r="AA448">
        <v>0</v>
      </c>
    </row>
    <row r="449" spans="1:30" x14ac:dyDescent="0.2">
      <c r="A449" t="s">
        <v>383</v>
      </c>
      <c r="C449">
        <v>0</v>
      </c>
      <c r="D449" t="s">
        <v>5</v>
      </c>
      <c r="E449">
        <v>2500</v>
      </c>
      <c r="F449" t="s">
        <v>480</v>
      </c>
      <c r="G449" t="s">
        <v>761</v>
      </c>
      <c r="H449" s="2">
        <v>0.875</v>
      </c>
      <c r="I449" t="s">
        <v>762</v>
      </c>
      <c r="J449" s="1">
        <v>0.52900000000000003</v>
      </c>
      <c r="K449">
        <v>-112.5</v>
      </c>
      <c r="L449">
        <v>7</v>
      </c>
      <c r="M449">
        <v>4.05</v>
      </c>
      <c r="N449">
        <v>3.5</v>
      </c>
      <c r="O449">
        <v>3</v>
      </c>
      <c r="T449">
        <v>0</v>
      </c>
      <c r="U449">
        <v>0</v>
      </c>
      <c r="V449">
        <v>0</v>
      </c>
      <c r="W449">
        <v>100</v>
      </c>
      <c r="Y449">
        <v>0</v>
      </c>
      <c r="Z449">
        <v>0</v>
      </c>
      <c r="AA449">
        <v>0</v>
      </c>
      <c r="AB449" s="3">
        <v>0.34166666666666667</v>
      </c>
      <c r="AC449">
        <v>0</v>
      </c>
    </row>
    <row r="450" spans="1:30" x14ac:dyDescent="0.2">
      <c r="A450" t="s">
        <v>917</v>
      </c>
      <c r="C450">
        <v>0</v>
      </c>
      <c r="D450" t="s">
        <v>10</v>
      </c>
      <c r="E450">
        <v>2500</v>
      </c>
      <c r="F450" t="s">
        <v>486</v>
      </c>
      <c r="G450" t="s">
        <v>776</v>
      </c>
      <c r="H450" s="2">
        <v>0.79166666666666663</v>
      </c>
      <c r="I450" t="s">
        <v>762</v>
      </c>
      <c r="J450" s="1">
        <v>0.435</v>
      </c>
      <c r="K450">
        <v>-77</v>
      </c>
      <c r="L450">
        <v>5.5</v>
      </c>
      <c r="M450">
        <v>2.87</v>
      </c>
      <c r="N450">
        <v>2.75</v>
      </c>
      <c r="Q450" s="3">
        <v>0.39583333333333331</v>
      </c>
      <c r="R450">
        <v>2.7</v>
      </c>
      <c r="S450">
        <v>2.77</v>
      </c>
      <c r="T450">
        <v>0</v>
      </c>
      <c r="U450">
        <v>0</v>
      </c>
      <c r="V450">
        <v>0</v>
      </c>
      <c r="W450">
        <v>100</v>
      </c>
      <c r="Y450">
        <v>49</v>
      </c>
      <c r="Z450">
        <v>0</v>
      </c>
      <c r="AA450">
        <v>0</v>
      </c>
    </row>
    <row r="451" spans="1:30" x14ac:dyDescent="0.2">
      <c r="A451" t="s">
        <v>924</v>
      </c>
      <c r="C451">
        <v>0</v>
      </c>
      <c r="D451" t="s">
        <v>10</v>
      </c>
      <c r="E451">
        <v>2500</v>
      </c>
      <c r="F451" t="s">
        <v>497</v>
      </c>
      <c r="G451" t="s">
        <v>784</v>
      </c>
      <c r="H451" s="2">
        <v>0.79166666666666663</v>
      </c>
      <c r="I451" t="s">
        <v>766</v>
      </c>
      <c r="J451" s="1">
        <v>0.55100000000000005</v>
      </c>
      <c r="K451">
        <v>81.5</v>
      </c>
      <c r="L451">
        <v>6.5</v>
      </c>
      <c r="M451">
        <v>3.17</v>
      </c>
      <c r="N451">
        <v>3.25</v>
      </c>
      <c r="Q451" s="3">
        <v>0.40763888888888888</v>
      </c>
      <c r="R451">
        <v>1</v>
      </c>
      <c r="S451">
        <v>0.71</v>
      </c>
      <c r="T451">
        <v>0</v>
      </c>
      <c r="U451">
        <v>0</v>
      </c>
      <c r="V451">
        <v>0</v>
      </c>
      <c r="W451">
        <v>100</v>
      </c>
      <c r="Y451">
        <v>65</v>
      </c>
      <c r="Z451">
        <v>0</v>
      </c>
      <c r="AA451">
        <v>0</v>
      </c>
    </row>
    <row r="452" spans="1:30" x14ac:dyDescent="0.2">
      <c r="A452" t="s">
        <v>1012</v>
      </c>
      <c r="C452">
        <v>0</v>
      </c>
      <c r="D452" t="s">
        <v>5</v>
      </c>
      <c r="E452">
        <v>2500</v>
      </c>
      <c r="F452" t="s">
        <v>480</v>
      </c>
      <c r="G452" t="s">
        <v>761</v>
      </c>
      <c r="H452" s="2">
        <v>0.875</v>
      </c>
      <c r="I452" t="s">
        <v>762</v>
      </c>
      <c r="J452" s="1">
        <v>0.52900000000000003</v>
      </c>
      <c r="K452">
        <v>-112.5</v>
      </c>
      <c r="L452">
        <v>7</v>
      </c>
      <c r="M452">
        <v>4.05</v>
      </c>
      <c r="N452">
        <v>3.5</v>
      </c>
      <c r="T452">
        <v>0</v>
      </c>
      <c r="U452">
        <v>0</v>
      </c>
      <c r="V452">
        <v>0</v>
      </c>
      <c r="W452">
        <v>100</v>
      </c>
      <c r="Y452">
        <v>0</v>
      </c>
      <c r="Z452">
        <v>0</v>
      </c>
      <c r="AA452">
        <v>0</v>
      </c>
    </row>
    <row r="453" spans="1:30" x14ac:dyDescent="0.2">
      <c r="A453" t="s">
        <v>442</v>
      </c>
      <c r="C453">
        <v>0</v>
      </c>
      <c r="D453" t="s">
        <v>5</v>
      </c>
      <c r="E453">
        <v>2500</v>
      </c>
      <c r="F453" t="s">
        <v>777</v>
      </c>
      <c r="G453" t="s">
        <v>778</v>
      </c>
      <c r="H453" s="2">
        <v>0.79166666666666663</v>
      </c>
      <c r="I453" t="s">
        <v>762</v>
      </c>
      <c r="J453" s="1">
        <v>0.46400000000000002</v>
      </c>
      <c r="K453">
        <v>-86.5</v>
      </c>
      <c r="L453">
        <v>6</v>
      </c>
      <c r="M453">
        <v>3.19</v>
      </c>
      <c r="N453">
        <v>3</v>
      </c>
      <c r="Q453" s="3">
        <v>0.41388888888888886</v>
      </c>
      <c r="R453">
        <v>2.4</v>
      </c>
      <c r="S453">
        <v>2.85</v>
      </c>
      <c r="T453">
        <v>0</v>
      </c>
      <c r="U453">
        <v>0</v>
      </c>
      <c r="V453">
        <v>0</v>
      </c>
      <c r="W453">
        <v>100</v>
      </c>
      <c r="Y453">
        <v>41</v>
      </c>
      <c r="Z453">
        <v>0</v>
      </c>
      <c r="AA453">
        <v>0</v>
      </c>
    </row>
    <row r="454" spans="1:30" x14ac:dyDescent="0.2">
      <c r="A454" t="s">
        <v>511</v>
      </c>
      <c r="C454">
        <v>0</v>
      </c>
      <c r="D454" t="s">
        <v>10</v>
      </c>
      <c r="E454">
        <v>5200</v>
      </c>
      <c r="F454" t="s">
        <v>497</v>
      </c>
      <c r="G454" t="s">
        <v>784</v>
      </c>
      <c r="H454" s="2">
        <v>0.79166666666666663</v>
      </c>
      <c r="I454" t="s">
        <v>766</v>
      </c>
      <c r="J454" s="1">
        <v>0.55100000000000005</v>
      </c>
      <c r="K454">
        <v>81.5</v>
      </c>
      <c r="L454">
        <v>6.5</v>
      </c>
      <c r="M454">
        <v>3.17</v>
      </c>
      <c r="N454">
        <v>3.25</v>
      </c>
      <c r="O454">
        <v>2</v>
      </c>
      <c r="P454">
        <v>1</v>
      </c>
      <c r="Q454" s="3">
        <v>0.75277777777777777</v>
      </c>
      <c r="R454">
        <v>9.8000000000000007</v>
      </c>
      <c r="S454">
        <v>7.38</v>
      </c>
      <c r="T454">
        <v>27.99</v>
      </c>
      <c r="U454">
        <v>13.23</v>
      </c>
      <c r="V454">
        <v>13.23</v>
      </c>
      <c r="W454">
        <v>100</v>
      </c>
      <c r="Y454">
        <v>62</v>
      </c>
      <c r="Z454">
        <v>2.5</v>
      </c>
      <c r="AA454">
        <v>0</v>
      </c>
      <c r="AB454" s="3">
        <v>0.70625000000000004</v>
      </c>
      <c r="AC454">
        <v>22.1</v>
      </c>
      <c r="AD454">
        <v>4.3</v>
      </c>
    </row>
    <row r="455" spans="1:30" x14ac:dyDescent="0.2">
      <c r="A455" t="s">
        <v>446</v>
      </c>
      <c r="C455">
        <v>0</v>
      </c>
      <c r="D455" t="s">
        <v>17</v>
      </c>
      <c r="E455">
        <v>2500</v>
      </c>
      <c r="F455" t="s">
        <v>506</v>
      </c>
      <c r="G455" t="s">
        <v>786</v>
      </c>
      <c r="H455" s="2">
        <v>0.79166666666666663</v>
      </c>
      <c r="I455" t="s">
        <v>766</v>
      </c>
      <c r="J455" s="1">
        <v>0.53600000000000003</v>
      </c>
      <c r="K455">
        <v>86.5</v>
      </c>
      <c r="L455">
        <v>6</v>
      </c>
      <c r="M455">
        <v>3</v>
      </c>
      <c r="N455">
        <v>3.19</v>
      </c>
      <c r="O455">
        <v>3</v>
      </c>
      <c r="Q455" s="3">
        <v>0.58472222222222225</v>
      </c>
      <c r="R455">
        <v>3.3</v>
      </c>
      <c r="S455">
        <v>3.02</v>
      </c>
      <c r="T455">
        <v>9.76</v>
      </c>
      <c r="U455">
        <v>3.72</v>
      </c>
      <c r="V455">
        <v>3.72</v>
      </c>
      <c r="W455">
        <v>100</v>
      </c>
      <c r="Y455">
        <v>54</v>
      </c>
      <c r="Z455">
        <v>1.5</v>
      </c>
      <c r="AA455">
        <v>0</v>
      </c>
      <c r="AB455" s="3">
        <v>0.48541666666666666</v>
      </c>
      <c r="AC455">
        <v>2.8</v>
      </c>
      <c r="AD455">
        <v>1.1000000000000001</v>
      </c>
    </row>
    <row r="456" spans="1:30" x14ac:dyDescent="0.2">
      <c r="A456" t="s">
        <v>19</v>
      </c>
      <c r="C456">
        <v>0</v>
      </c>
      <c r="D456" t="s">
        <v>10</v>
      </c>
      <c r="E456">
        <v>3000</v>
      </c>
      <c r="F456" t="s">
        <v>499</v>
      </c>
      <c r="G456" t="s">
        <v>775</v>
      </c>
      <c r="H456" s="2">
        <v>0.79166666666666663</v>
      </c>
      <c r="I456" t="s">
        <v>762</v>
      </c>
      <c r="J456" s="1">
        <v>0.50700000000000001</v>
      </c>
      <c r="K456">
        <v>-103</v>
      </c>
      <c r="L456">
        <v>6.5</v>
      </c>
      <c r="M456">
        <v>3.71</v>
      </c>
      <c r="N456">
        <v>3.25</v>
      </c>
      <c r="O456">
        <v>1</v>
      </c>
      <c r="P456">
        <v>2</v>
      </c>
      <c r="Q456" s="3">
        <v>0.53819444444444442</v>
      </c>
      <c r="R456">
        <v>8.3000000000000007</v>
      </c>
      <c r="S456">
        <v>8.44</v>
      </c>
      <c r="T456">
        <v>26.88</v>
      </c>
      <c r="U456">
        <v>10</v>
      </c>
      <c r="V456">
        <v>10</v>
      </c>
      <c r="W456">
        <v>100</v>
      </c>
      <c r="Y456">
        <v>49</v>
      </c>
      <c r="Z456">
        <v>3.3</v>
      </c>
      <c r="AA456">
        <v>0</v>
      </c>
      <c r="AB456" s="3">
        <v>0.54861111111111116</v>
      </c>
      <c r="AC456">
        <v>3</v>
      </c>
      <c r="AD456">
        <v>1</v>
      </c>
    </row>
    <row r="457" spans="1:30" x14ac:dyDescent="0.2">
      <c r="A457" t="s">
        <v>919</v>
      </c>
      <c r="C457">
        <v>0</v>
      </c>
      <c r="D457" t="s">
        <v>10</v>
      </c>
      <c r="E457">
        <v>2500</v>
      </c>
      <c r="F457" t="s">
        <v>486</v>
      </c>
      <c r="G457" t="s">
        <v>776</v>
      </c>
      <c r="H457" s="2">
        <v>0.79166666666666663</v>
      </c>
      <c r="I457" t="s">
        <v>762</v>
      </c>
      <c r="J457" s="1">
        <v>0.435</v>
      </c>
      <c r="K457">
        <v>-77</v>
      </c>
      <c r="L457">
        <v>5.5</v>
      </c>
      <c r="M457">
        <v>2.87</v>
      </c>
      <c r="N457">
        <v>2.75</v>
      </c>
      <c r="Q457" s="3">
        <v>0.49166666666666664</v>
      </c>
      <c r="R457">
        <v>2.2999999999999998</v>
      </c>
      <c r="S457">
        <v>2.44</v>
      </c>
      <c r="T457">
        <v>0</v>
      </c>
      <c r="U457">
        <v>0</v>
      </c>
      <c r="V457">
        <v>0</v>
      </c>
      <c r="W457">
        <v>100</v>
      </c>
      <c r="Y457">
        <v>47</v>
      </c>
      <c r="Z457">
        <v>0</v>
      </c>
      <c r="AA457">
        <v>0</v>
      </c>
    </row>
    <row r="458" spans="1:30" x14ac:dyDescent="0.2">
      <c r="A458" t="s">
        <v>957</v>
      </c>
      <c r="C458">
        <v>0</v>
      </c>
      <c r="D458" t="s">
        <v>5</v>
      </c>
      <c r="E458">
        <v>2500</v>
      </c>
      <c r="F458" t="s">
        <v>501</v>
      </c>
      <c r="G458" t="s">
        <v>783</v>
      </c>
      <c r="H458" s="2">
        <v>0.79166666666666663</v>
      </c>
      <c r="I458" t="s">
        <v>766</v>
      </c>
      <c r="J458" s="1">
        <v>0.52800000000000002</v>
      </c>
      <c r="K458">
        <v>89.5</v>
      </c>
      <c r="L458">
        <v>6</v>
      </c>
      <c r="M458">
        <v>2.82</v>
      </c>
      <c r="N458">
        <v>3</v>
      </c>
      <c r="Q458" s="3">
        <v>0.29930555555555555</v>
      </c>
      <c r="R458">
        <v>1.4</v>
      </c>
      <c r="S458">
        <v>1.4</v>
      </c>
      <c r="T458">
        <v>0</v>
      </c>
      <c r="U458">
        <v>0</v>
      </c>
      <c r="V458">
        <v>0</v>
      </c>
      <c r="W458">
        <v>100</v>
      </c>
      <c r="Y458">
        <v>0</v>
      </c>
      <c r="Z458">
        <v>0</v>
      </c>
      <c r="AA458">
        <v>0</v>
      </c>
    </row>
    <row r="459" spans="1:30" x14ac:dyDescent="0.2">
      <c r="A459" t="s">
        <v>53</v>
      </c>
      <c r="C459">
        <v>0</v>
      </c>
      <c r="D459" t="s">
        <v>17</v>
      </c>
      <c r="E459">
        <v>3700</v>
      </c>
      <c r="F459" t="s">
        <v>504</v>
      </c>
      <c r="G459" t="s">
        <v>799</v>
      </c>
      <c r="H459" s="2">
        <v>0.83333333333333337</v>
      </c>
      <c r="I459" t="s">
        <v>766</v>
      </c>
      <c r="J459" s="1">
        <v>0.51300000000000001</v>
      </c>
      <c r="K459">
        <v>95</v>
      </c>
      <c r="L459">
        <v>5.5</v>
      </c>
      <c r="M459">
        <v>2.54</v>
      </c>
      <c r="N459">
        <v>2.75</v>
      </c>
      <c r="O459">
        <v>2</v>
      </c>
      <c r="P459">
        <v>1</v>
      </c>
      <c r="Q459" s="3">
        <v>0.93194444444444446</v>
      </c>
      <c r="R459">
        <v>9.3000000000000007</v>
      </c>
      <c r="S459">
        <v>5.7</v>
      </c>
      <c r="T459">
        <v>19.079999999999998</v>
      </c>
      <c r="U459">
        <v>7.68</v>
      </c>
      <c r="V459">
        <v>7.68</v>
      </c>
      <c r="W459">
        <v>100</v>
      </c>
      <c r="Y459">
        <v>69</v>
      </c>
      <c r="Z459">
        <v>2.1</v>
      </c>
      <c r="AA459">
        <v>0</v>
      </c>
      <c r="AB459" s="4">
        <v>1.05</v>
      </c>
      <c r="AC459">
        <v>18.600000000000001</v>
      </c>
      <c r="AD459">
        <v>5</v>
      </c>
    </row>
    <row r="460" spans="1:30" x14ac:dyDescent="0.2">
      <c r="A460" t="s">
        <v>278</v>
      </c>
      <c r="C460">
        <v>0</v>
      </c>
      <c r="D460" t="s">
        <v>10</v>
      </c>
      <c r="E460">
        <v>2700</v>
      </c>
      <c r="F460" t="s">
        <v>488</v>
      </c>
      <c r="G460" t="s">
        <v>781</v>
      </c>
      <c r="H460" s="2">
        <v>0.91666666666666663</v>
      </c>
      <c r="I460" t="s">
        <v>766</v>
      </c>
      <c r="J460" s="1">
        <v>0.53500000000000003</v>
      </c>
      <c r="K460">
        <v>87</v>
      </c>
      <c r="L460">
        <v>6</v>
      </c>
      <c r="M460">
        <v>3</v>
      </c>
      <c r="N460">
        <v>3.14</v>
      </c>
      <c r="O460">
        <v>1</v>
      </c>
      <c r="Q460" s="3">
        <v>0.50972222222222219</v>
      </c>
      <c r="R460">
        <v>4.3</v>
      </c>
      <c r="S460">
        <v>5.07</v>
      </c>
      <c r="T460">
        <v>15.65</v>
      </c>
      <c r="U460">
        <v>5.51</v>
      </c>
      <c r="V460">
        <v>5.51</v>
      </c>
      <c r="W460">
        <v>100</v>
      </c>
      <c r="Y460">
        <v>41</v>
      </c>
      <c r="Z460">
        <v>2</v>
      </c>
      <c r="AA460">
        <v>0</v>
      </c>
      <c r="AB460" s="3">
        <v>0.62708333333333333</v>
      </c>
      <c r="AC460">
        <v>3</v>
      </c>
      <c r="AD460">
        <v>1.1000000000000001</v>
      </c>
    </row>
    <row r="461" spans="1:30" x14ac:dyDescent="0.2">
      <c r="A461" t="s">
        <v>709</v>
      </c>
      <c r="C461">
        <v>0</v>
      </c>
      <c r="D461" t="s">
        <v>5</v>
      </c>
      <c r="E461">
        <v>2500</v>
      </c>
      <c r="F461" t="s">
        <v>502</v>
      </c>
      <c r="G461" t="s">
        <v>798</v>
      </c>
      <c r="H461" s="2">
        <v>0.83333333333333337</v>
      </c>
      <c r="I461" t="s">
        <v>766</v>
      </c>
      <c r="J461" s="1">
        <v>0.48699999999999999</v>
      </c>
      <c r="K461">
        <v>105.5</v>
      </c>
      <c r="L461">
        <v>6</v>
      </c>
      <c r="M461">
        <v>3</v>
      </c>
      <c r="N461">
        <v>3.46</v>
      </c>
      <c r="O461">
        <v>4</v>
      </c>
      <c r="Q461" s="3">
        <v>0.40416666666666667</v>
      </c>
      <c r="R461">
        <v>2.1</v>
      </c>
      <c r="S461">
        <v>2.85</v>
      </c>
      <c r="T461">
        <v>8.0399999999999991</v>
      </c>
      <c r="U461">
        <v>2.34</v>
      </c>
      <c r="V461">
        <v>2.34</v>
      </c>
      <c r="W461">
        <v>100</v>
      </c>
      <c r="Y461">
        <v>32</v>
      </c>
      <c r="Z461">
        <v>0.9</v>
      </c>
      <c r="AA461">
        <v>0</v>
      </c>
      <c r="AB461" s="3">
        <v>0.44097222222222221</v>
      </c>
      <c r="AC461">
        <v>1.5</v>
      </c>
      <c r="AD461">
        <v>0.6</v>
      </c>
    </row>
    <row r="462" spans="1:30" x14ac:dyDescent="0.2">
      <c r="A462" t="s">
        <v>449</v>
      </c>
      <c r="C462">
        <v>0</v>
      </c>
      <c r="D462" t="s">
        <v>5</v>
      </c>
      <c r="E462">
        <v>2500</v>
      </c>
      <c r="F462" t="s">
        <v>498</v>
      </c>
      <c r="G462" t="s">
        <v>779</v>
      </c>
      <c r="H462" s="2">
        <v>0.79166666666666663</v>
      </c>
      <c r="I462" t="s">
        <v>762</v>
      </c>
      <c r="J462" s="1">
        <v>0.50600000000000001</v>
      </c>
      <c r="K462">
        <v>-102.5</v>
      </c>
      <c r="L462">
        <v>6</v>
      </c>
      <c r="M462">
        <v>3.44</v>
      </c>
      <c r="N462">
        <v>3</v>
      </c>
      <c r="Q462" s="3">
        <v>0.44513888888888886</v>
      </c>
      <c r="R462">
        <v>4.7</v>
      </c>
      <c r="S462">
        <v>1.85</v>
      </c>
      <c r="T462">
        <v>0</v>
      </c>
      <c r="U462">
        <v>0</v>
      </c>
      <c r="V462">
        <v>0</v>
      </c>
      <c r="W462">
        <v>100</v>
      </c>
      <c r="Y462">
        <v>0</v>
      </c>
      <c r="Z462">
        <v>0</v>
      </c>
      <c r="AA462">
        <v>0</v>
      </c>
    </row>
    <row r="463" spans="1:30" x14ac:dyDescent="0.2">
      <c r="A463" t="s">
        <v>260</v>
      </c>
      <c r="C463">
        <v>0</v>
      </c>
      <c r="D463" t="s">
        <v>5</v>
      </c>
      <c r="E463">
        <v>4200</v>
      </c>
      <c r="F463" t="s">
        <v>500</v>
      </c>
      <c r="G463" t="s">
        <v>785</v>
      </c>
      <c r="H463" s="2">
        <v>0.8125</v>
      </c>
      <c r="I463" t="s">
        <v>766</v>
      </c>
      <c r="J463" s="1">
        <v>0.56000000000000005</v>
      </c>
      <c r="K463">
        <v>78.5</v>
      </c>
      <c r="L463">
        <v>6.5</v>
      </c>
      <c r="M463">
        <v>3.25</v>
      </c>
      <c r="N463">
        <v>3.43</v>
      </c>
      <c r="O463">
        <v>2</v>
      </c>
      <c r="P463">
        <v>2</v>
      </c>
      <c r="Q463" s="3">
        <v>0.60624999999999996</v>
      </c>
      <c r="R463">
        <v>6</v>
      </c>
      <c r="S463">
        <v>7.74</v>
      </c>
      <c r="T463">
        <v>25.39</v>
      </c>
      <c r="U463">
        <v>9.91</v>
      </c>
      <c r="V463">
        <v>9.91</v>
      </c>
      <c r="W463">
        <v>100</v>
      </c>
      <c r="Y463">
        <v>36</v>
      </c>
      <c r="Z463">
        <v>2.4</v>
      </c>
      <c r="AA463">
        <v>0</v>
      </c>
      <c r="AB463" s="3">
        <v>0.71527777777777779</v>
      </c>
      <c r="AC463">
        <v>2.8</v>
      </c>
      <c r="AD463">
        <v>0.7</v>
      </c>
    </row>
    <row r="464" spans="1:30" x14ac:dyDescent="0.2">
      <c r="A464" t="s">
        <v>312</v>
      </c>
      <c r="C464">
        <v>0</v>
      </c>
      <c r="D464" t="s">
        <v>7</v>
      </c>
      <c r="E464">
        <v>7300</v>
      </c>
      <c r="F464" t="s">
        <v>506</v>
      </c>
      <c r="G464" t="s">
        <v>786</v>
      </c>
      <c r="H464" s="2">
        <v>0.79166666666666663</v>
      </c>
      <c r="I464" t="s">
        <v>766</v>
      </c>
      <c r="J464" s="1">
        <v>0.53600000000000003</v>
      </c>
      <c r="K464">
        <v>86.5</v>
      </c>
      <c r="L464">
        <v>6</v>
      </c>
      <c r="M464">
        <v>3</v>
      </c>
      <c r="N464">
        <v>3.19</v>
      </c>
      <c r="O464" t="s">
        <v>780</v>
      </c>
      <c r="Q464" s="4">
        <v>2.1</v>
      </c>
      <c r="R464">
        <v>6.7</v>
      </c>
      <c r="S464">
        <v>9.07</v>
      </c>
      <c r="T464">
        <v>25.68</v>
      </c>
      <c r="U464">
        <v>7.54</v>
      </c>
      <c r="V464">
        <v>7.54</v>
      </c>
      <c r="W464">
        <v>100</v>
      </c>
      <c r="Y464">
        <v>32</v>
      </c>
      <c r="Z464">
        <v>1</v>
      </c>
      <c r="AA464">
        <v>0</v>
      </c>
      <c r="AB464" s="4">
        <v>2.5291666666666668</v>
      </c>
      <c r="AC464">
        <v>13.9</v>
      </c>
      <c r="AD464">
        <v>1.9</v>
      </c>
    </row>
    <row r="465" spans="1:30" x14ac:dyDescent="0.2">
      <c r="A465" t="s">
        <v>258</v>
      </c>
      <c r="C465">
        <v>0</v>
      </c>
      <c r="D465" t="s">
        <v>7</v>
      </c>
      <c r="E465">
        <v>7300</v>
      </c>
      <c r="F465" t="s">
        <v>506</v>
      </c>
      <c r="G465" t="s">
        <v>786</v>
      </c>
      <c r="H465" s="2">
        <v>0.79166666666666663</v>
      </c>
      <c r="I465" t="s">
        <v>766</v>
      </c>
      <c r="J465" s="1">
        <v>0.53600000000000003</v>
      </c>
      <c r="K465">
        <v>86.5</v>
      </c>
      <c r="L465">
        <v>6</v>
      </c>
      <c r="M465">
        <v>3</v>
      </c>
      <c r="N465">
        <v>3.19</v>
      </c>
      <c r="O465" t="s">
        <v>818</v>
      </c>
      <c r="Q465" s="4">
        <v>2.4069444444444446</v>
      </c>
      <c r="R465">
        <v>10.7</v>
      </c>
      <c r="S465">
        <v>9.65</v>
      </c>
      <c r="T465">
        <v>0</v>
      </c>
      <c r="U465">
        <v>0</v>
      </c>
      <c r="V465">
        <v>0</v>
      </c>
      <c r="W465">
        <v>100</v>
      </c>
      <c r="Y465">
        <v>55</v>
      </c>
      <c r="Z465">
        <v>0</v>
      </c>
      <c r="AA465">
        <v>0</v>
      </c>
      <c r="AB465" s="3">
        <v>0</v>
      </c>
      <c r="AC465">
        <v>2</v>
      </c>
      <c r="AD465">
        <v>0.3</v>
      </c>
    </row>
    <row r="466" spans="1:30" x14ac:dyDescent="0.2">
      <c r="A466" t="s">
        <v>627</v>
      </c>
      <c r="C466">
        <v>0</v>
      </c>
      <c r="D466" t="s">
        <v>10</v>
      </c>
      <c r="E466">
        <v>2500</v>
      </c>
      <c r="F466" t="s">
        <v>501</v>
      </c>
      <c r="G466" t="s">
        <v>783</v>
      </c>
      <c r="H466" s="2">
        <v>0.79166666666666663</v>
      </c>
      <c r="I466" t="s">
        <v>766</v>
      </c>
      <c r="J466" s="1">
        <v>0.52800000000000002</v>
      </c>
      <c r="K466">
        <v>89.5</v>
      </c>
      <c r="L466">
        <v>6</v>
      </c>
      <c r="M466">
        <v>2.82</v>
      </c>
      <c r="N466">
        <v>3</v>
      </c>
      <c r="Q466" s="3">
        <v>0.40486111111111112</v>
      </c>
      <c r="R466">
        <v>3.3</v>
      </c>
      <c r="S466">
        <v>3.62</v>
      </c>
      <c r="T466">
        <v>0</v>
      </c>
      <c r="U466">
        <v>0</v>
      </c>
      <c r="V466">
        <v>0</v>
      </c>
      <c r="W466">
        <v>100</v>
      </c>
      <c r="Y466">
        <v>45</v>
      </c>
      <c r="Z466">
        <v>0</v>
      </c>
      <c r="AA466">
        <v>0</v>
      </c>
    </row>
    <row r="467" spans="1:30" x14ac:dyDescent="0.2">
      <c r="A467" t="s">
        <v>269</v>
      </c>
      <c r="C467">
        <v>0</v>
      </c>
      <c r="D467" t="s">
        <v>17</v>
      </c>
      <c r="E467">
        <v>3200</v>
      </c>
      <c r="F467" t="s">
        <v>498</v>
      </c>
      <c r="G467" t="s">
        <v>779</v>
      </c>
      <c r="H467" s="2">
        <v>0.79166666666666663</v>
      </c>
      <c r="I467" t="s">
        <v>762</v>
      </c>
      <c r="J467" s="1">
        <v>0.50600000000000001</v>
      </c>
      <c r="K467">
        <v>-102.5</v>
      </c>
      <c r="L467">
        <v>6</v>
      </c>
      <c r="M467">
        <v>3.44</v>
      </c>
      <c r="N467">
        <v>3</v>
      </c>
      <c r="O467">
        <v>2</v>
      </c>
      <c r="Q467" s="3">
        <v>0.94791666666666663</v>
      </c>
      <c r="R467">
        <v>7</v>
      </c>
      <c r="S467">
        <v>5.96</v>
      </c>
      <c r="T467">
        <v>20.149999999999999</v>
      </c>
      <c r="U467">
        <v>8.23</v>
      </c>
      <c r="V467">
        <v>8.23</v>
      </c>
      <c r="W467">
        <v>100</v>
      </c>
      <c r="Y467">
        <v>57</v>
      </c>
      <c r="Z467">
        <v>2.6</v>
      </c>
      <c r="AA467">
        <v>0</v>
      </c>
      <c r="AB467" s="3">
        <v>0.77361111111111114</v>
      </c>
      <c r="AC467">
        <v>3</v>
      </c>
      <c r="AD467">
        <v>0.9</v>
      </c>
    </row>
    <row r="468" spans="1:30" x14ac:dyDescent="0.2">
      <c r="A468" t="s">
        <v>229</v>
      </c>
      <c r="C468">
        <v>0</v>
      </c>
      <c r="D468" t="s">
        <v>10</v>
      </c>
      <c r="E468">
        <v>3500</v>
      </c>
      <c r="F468" t="s">
        <v>505</v>
      </c>
      <c r="G468" t="s">
        <v>793</v>
      </c>
      <c r="H468" s="2">
        <v>0.91666666666666663</v>
      </c>
      <c r="I468" t="s">
        <v>762</v>
      </c>
      <c r="J468" s="1">
        <v>0.41499999999999998</v>
      </c>
      <c r="K468">
        <v>-71</v>
      </c>
      <c r="L468">
        <v>6</v>
      </c>
      <c r="M468">
        <v>3.02</v>
      </c>
      <c r="N468">
        <v>3</v>
      </c>
      <c r="O468">
        <v>3</v>
      </c>
      <c r="P468">
        <v>2</v>
      </c>
      <c r="Q468" s="3">
        <v>0.59791666666666665</v>
      </c>
      <c r="R468">
        <v>5.6</v>
      </c>
      <c r="S468">
        <v>5.47</v>
      </c>
      <c r="T468">
        <v>18.04</v>
      </c>
      <c r="U468">
        <v>7.1</v>
      </c>
      <c r="V468">
        <v>7.1</v>
      </c>
      <c r="W468">
        <v>100</v>
      </c>
      <c r="Y468">
        <v>51</v>
      </c>
      <c r="Z468">
        <v>2</v>
      </c>
      <c r="AA468">
        <v>0</v>
      </c>
      <c r="AB468" s="3">
        <v>0.6069444444444444</v>
      </c>
      <c r="AC468">
        <v>1.5</v>
      </c>
      <c r="AD468">
        <v>0.4</v>
      </c>
    </row>
    <row r="469" spans="1:30" x14ac:dyDescent="0.2">
      <c r="A469" t="s">
        <v>448</v>
      </c>
      <c r="C469">
        <v>0</v>
      </c>
      <c r="D469" t="s">
        <v>17</v>
      </c>
      <c r="E469">
        <v>2500</v>
      </c>
      <c r="F469" t="s">
        <v>483</v>
      </c>
      <c r="G469" t="s">
        <v>772</v>
      </c>
      <c r="H469" s="2">
        <v>0.91666666666666663</v>
      </c>
      <c r="I469" t="s">
        <v>762</v>
      </c>
      <c r="J469" s="1">
        <v>0.46500000000000002</v>
      </c>
      <c r="K469">
        <v>-87</v>
      </c>
      <c r="L469">
        <v>6</v>
      </c>
      <c r="M469">
        <v>3.14</v>
      </c>
      <c r="N469">
        <v>3</v>
      </c>
      <c r="O469">
        <v>3</v>
      </c>
      <c r="Q469" s="3">
        <v>0.70694444444444449</v>
      </c>
      <c r="R469">
        <v>5.2</v>
      </c>
      <c r="S469">
        <v>3.74</v>
      </c>
      <c r="T469">
        <v>13.76</v>
      </c>
      <c r="U469">
        <v>6.28</v>
      </c>
      <c r="V469">
        <v>6.28</v>
      </c>
      <c r="W469">
        <v>100</v>
      </c>
      <c r="Y469">
        <v>64</v>
      </c>
      <c r="Z469">
        <v>2.5</v>
      </c>
      <c r="AA469">
        <v>0</v>
      </c>
      <c r="AB469" s="3">
        <v>0.62638888888888888</v>
      </c>
      <c r="AC469">
        <v>1.3</v>
      </c>
      <c r="AD469">
        <v>0.5</v>
      </c>
    </row>
    <row r="470" spans="1:30" x14ac:dyDescent="0.2">
      <c r="A470" t="s">
        <v>293</v>
      </c>
      <c r="C470">
        <v>0</v>
      </c>
      <c r="D470" t="s">
        <v>17</v>
      </c>
      <c r="E470">
        <v>2500</v>
      </c>
      <c r="F470" t="s">
        <v>497</v>
      </c>
      <c r="G470" t="s">
        <v>784</v>
      </c>
      <c r="H470" s="2">
        <v>0.79166666666666663</v>
      </c>
      <c r="I470" t="s">
        <v>766</v>
      </c>
      <c r="J470" s="1">
        <v>0.55100000000000005</v>
      </c>
      <c r="K470">
        <v>81.5</v>
      </c>
      <c r="L470">
        <v>6.5</v>
      </c>
      <c r="M470">
        <v>3.17</v>
      </c>
      <c r="N470">
        <v>3.25</v>
      </c>
      <c r="O470">
        <v>3</v>
      </c>
      <c r="Q470" s="3">
        <v>0.76111111111111107</v>
      </c>
      <c r="R470">
        <v>4.8</v>
      </c>
      <c r="S470">
        <v>3.84</v>
      </c>
      <c r="T470">
        <v>14.67</v>
      </c>
      <c r="U470">
        <v>6.99</v>
      </c>
      <c r="V470">
        <v>6.99</v>
      </c>
      <c r="W470">
        <v>100</v>
      </c>
      <c r="Y470">
        <v>60</v>
      </c>
      <c r="Z470">
        <v>2.8</v>
      </c>
      <c r="AA470">
        <v>0</v>
      </c>
      <c r="AB470" s="3">
        <v>0.9555555555555556</v>
      </c>
      <c r="AC470">
        <v>6.5</v>
      </c>
      <c r="AD470">
        <v>2.6</v>
      </c>
    </row>
    <row r="471" spans="1:30" x14ac:dyDescent="0.2">
      <c r="A471" t="s">
        <v>615</v>
      </c>
      <c r="C471">
        <v>0</v>
      </c>
      <c r="D471" t="s">
        <v>10</v>
      </c>
      <c r="E471">
        <v>2600</v>
      </c>
      <c r="F471" t="s">
        <v>507</v>
      </c>
      <c r="G471" t="s">
        <v>796</v>
      </c>
      <c r="H471" s="2">
        <v>0.79166666666666663</v>
      </c>
      <c r="I471" t="s">
        <v>766</v>
      </c>
      <c r="J471" s="1">
        <v>0.49399999999999999</v>
      </c>
      <c r="K471">
        <v>102.5</v>
      </c>
      <c r="L471">
        <v>6</v>
      </c>
      <c r="M471">
        <v>3</v>
      </c>
      <c r="N471">
        <v>3.44</v>
      </c>
      <c r="O471">
        <v>3</v>
      </c>
      <c r="Q471" s="3">
        <v>0.48819444444444443</v>
      </c>
      <c r="R471">
        <v>4.0999999999999996</v>
      </c>
      <c r="S471">
        <v>4.6100000000000003</v>
      </c>
      <c r="T471">
        <v>13.67</v>
      </c>
      <c r="U471">
        <v>4.45</v>
      </c>
      <c r="V471">
        <v>4.45</v>
      </c>
      <c r="W471">
        <v>100</v>
      </c>
      <c r="Y471">
        <v>44</v>
      </c>
      <c r="Z471">
        <v>1.7</v>
      </c>
      <c r="AA471">
        <v>0</v>
      </c>
      <c r="AB471" s="3">
        <v>0.47569444444444442</v>
      </c>
      <c r="AC471">
        <v>35.5</v>
      </c>
      <c r="AD471">
        <v>13.7</v>
      </c>
    </row>
    <row r="472" spans="1:30" x14ac:dyDescent="0.2">
      <c r="A472" t="s">
        <v>87</v>
      </c>
      <c r="C472">
        <v>0</v>
      </c>
      <c r="D472" t="s">
        <v>7</v>
      </c>
      <c r="E472">
        <v>7200</v>
      </c>
      <c r="F472" t="s">
        <v>507</v>
      </c>
      <c r="G472" t="s">
        <v>796</v>
      </c>
      <c r="H472" s="2">
        <v>0.79166666666666663</v>
      </c>
      <c r="I472" t="s">
        <v>766</v>
      </c>
      <c r="J472" s="1">
        <v>0.49399999999999999</v>
      </c>
      <c r="K472">
        <v>102.5</v>
      </c>
      <c r="L472">
        <v>6</v>
      </c>
      <c r="M472">
        <v>3</v>
      </c>
      <c r="N472">
        <v>3.44</v>
      </c>
      <c r="Q472" s="4">
        <v>2.4465277777777779</v>
      </c>
      <c r="R472">
        <v>10.8</v>
      </c>
      <c r="S472">
        <v>8.9600000000000009</v>
      </c>
      <c r="T472">
        <v>28.59</v>
      </c>
      <c r="U472">
        <v>10.67</v>
      </c>
      <c r="V472">
        <v>10.67</v>
      </c>
      <c r="W472">
        <v>100</v>
      </c>
      <c r="Y472">
        <v>59</v>
      </c>
      <c r="Z472">
        <v>1.5</v>
      </c>
      <c r="AA472">
        <v>0</v>
      </c>
      <c r="AB472" s="4">
        <v>2.5</v>
      </c>
      <c r="AC472">
        <v>2.1</v>
      </c>
      <c r="AD472">
        <v>0.3</v>
      </c>
    </row>
    <row r="473" spans="1:30" x14ac:dyDescent="0.2">
      <c r="A473" t="s">
        <v>134</v>
      </c>
      <c r="C473">
        <v>0</v>
      </c>
      <c r="D473" t="s">
        <v>10</v>
      </c>
      <c r="E473">
        <v>3000</v>
      </c>
      <c r="F473" t="s">
        <v>480</v>
      </c>
      <c r="G473" t="s">
        <v>761</v>
      </c>
      <c r="H473" s="2">
        <v>0.875</v>
      </c>
      <c r="I473" t="s">
        <v>762</v>
      </c>
      <c r="J473" s="1">
        <v>0.52900000000000003</v>
      </c>
      <c r="K473">
        <v>-112.5</v>
      </c>
      <c r="L473">
        <v>7</v>
      </c>
      <c r="M473">
        <v>4.05</v>
      </c>
      <c r="N473">
        <v>3.5</v>
      </c>
      <c r="O473">
        <v>2</v>
      </c>
      <c r="P473">
        <v>2</v>
      </c>
      <c r="Q473" s="3">
        <v>0.57361111111111107</v>
      </c>
      <c r="R473">
        <v>6.6</v>
      </c>
      <c r="S473">
        <v>5.64</v>
      </c>
      <c r="T473">
        <v>21.67</v>
      </c>
      <c r="U473">
        <v>10.39</v>
      </c>
      <c r="V473">
        <v>10.39</v>
      </c>
      <c r="W473">
        <v>100</v>
      </c>
      <c r="Y473">
        <v>57</v>
      </c>
      <c r="Z473">
        <v>3.5</v>
      </c>
      <c r="AA473">
        <v>0</v>
      </c>
      <c r="AB473" s="3">
        <v>0.77569444444444446</v>
      </c>
      <c r="AC473">
        <v>17.899999999999999</v>
      </c>
      <c r="AD473">
        <v>6</v>
      </c>
    </row>
    <row r="474" spans="1:30" x14ac:dyDescent="0.2">
      <c r="A474" t="s">
        <v>277</v>
      </c>
      <c r="C474">
        <v>0</v>
      </c>
      <c r="D474" t="s">
        <v>17</v>
      </c>
      <c r="E474">
        <v>2500</v>
      </c>
      <c r="F474" t="s">
        <v>478</v>
      </c>
      <c r="G474" t="s">
        <v>763</v>
      </c>
      <c r="H474" s="2">
        <v>0.79166666666666663</v>
      </c>
      <c r="I474" t="s">
        <v>762</v>
      </c>
      <c r="J474" s="1">
        <v>0.44900000000000001</v>
      </c>
      <c r="K474">
        <v>-81.5</v>
      </c>
      <c r="L474">
        <v>6.5</v>
      </c>
      <c r="M474">
        <v>3.25</v>
      </c>
      <c r="N474">
        <v>3.17</v>
      </c>
      <c r="O474">
        <v>3</v>
      </c>
      <c r="Q474" s="3">
        <v>0.43263888888888891</v>
      </c>
      <c r="R474">
        <v>5</v>
      </c>
      <c r="S474">
        <v>0</v>
      </c>
      <c r="T474">
        <v>5.18</v>
      </c>
      <c r="U474">
        <v>5.18</v>
      </c>
      <c r="V474">
        <v>5.18</v>
      </c>
      <c r="W474">
        <v>100</v>
      </c>
      <c r="Y474">
        <v>0</v>
      </c>
      <c r="Z474">
        <v>2.1</v>
      </c>
      <c r="AA474">
        <v>0</v>
      </c>
      <c r="AB474" s="3">
        <v>0.54027777777777775</v>
      </c>
      <c r="AC474">
        <v>1.3</v>
      </c>
      <c r="AD474">
        <v>0.5</v>
      </c>
    </row>
    <row r="475" spans="1:30" x14ac:dyDescent="0.2">
      <c r="A475" t="s">
        <v>610</v>
      </c>
      <c r="C475">
        <v>0</v>
      </c>
      <c r="D475" t="s">
        <v>10</v>
      </c>
      <c r="E475">
        <v>2600</v>
      </c>
      <c r="F475" t="s">
        <v>483</v>
      </c>
      <c r="G475" t="s">
        <v>772</v>
      </c>
      <c r="H475" s="2">
        <v>0.91666666666666663</v>
      </c>
      <c r="I475" t="s">
        <v>762</v>
      </c>
      <c r="J475" s="1">
        <v>0.46500000000000002</v>
      </c>
      <c r="K475">
        <v>-87</v>
      </c>
      <c r="L475">
        <v>6</v>
      </c>
      <c r="M475">
        <v>3.14</v>
      </c>
      <c r="N475">
        <v>3</v>
      </c>
      <c r="O475">
        <v>3</v>
      </c>
      <c r="Q475" s="3">
        <v>0.46944444444444444</v>
      </c>
      <c r="R475">
        <v>3.5</v>
      </c>
      <c r="S475">
        <v>3.93</v>
      </c>
      <c r="T475">
        <v>12.61</v>
      </c>
      <c r="U475">
        <v>4.75</v>
      </c>
      <c r="V475">
        <v>4.75</v>
      </c>
      <c r="W475">
        <v>100</v>
      </c>
      <c r="Y475">
        <v>44</v>
      </c>
      <c r="Z475">
        <v>1.8</v>
      </c>
      <c r="AA475">
        <v>0</v>
      </c>
      <c r="AB475" s="3">
        <v>0.60972222222222228</v>
      </c>
      <c r="AC475">
        <v>17.8</v>
      </c>
      <c r="AD475">
        <v>6.8</v>
      </c>
    </row>
    <row r="476" spans="1:30" x14ac:dyDescent="0.2">
      <c r="A476" t="s">
        <v>921</v>
      </c>
      <c r="C476">
        <v>0</v>
      </c>
      <c r="D476" t="s">
        <v>5</v>
      </c>
      <c r="E476">
        <v>2500</v>
      </c>
      <c r="F476" t="s">
        <v>794</v>
      </c>
      <c r="G476" t="s">
        <v>795</v>
      </c>
      <c r="H476" s="2">
        <v>0.79166666666666663</v>
      </c>
      <c r="I476" t="s">
        <v>766</v>
      </c>
      <c r="J476" s="1">
        <v>0.56499999999999995</v>
      </c>
      <c r="K476">
        <v>77</v>
      </c>
      <c r="L476">
        <v>5.5</v>
      </c>
      <c r="M476">
        <v>2.75</v>
      </c>
      <c r="N476">
        <v>2.87</v>
      </c>
      <c r="T476">
        <v>0</v>
      </c>
      <c r="U476">
        <v>0</v>
      </c>
      <c r="V476">
        <v>0</v>
      </c>
      <c r="W476">
        <v>100</v>
      </c>
      <c r="Y476">
        <v>0</v>
      </c>
      <c r="Z476">
        <v>0</v>
      </c>
      <c r="AA476">
        <v>0</v>
      </c>
    </row>
    <row r="477" spans="1:30" x14ac:dyDescent="0.2">
      <c r="A477" t="s">
        <v>410</v>
      </c>
      <c r="C477">
        <v>0</v>
      </c>
      <c r="D477" t="s">
        <v>17</v>
      </c>
      <c r="E477">
        <v>3000</v>
      </c>
      <c r="F477" t="s">
        <v>502</v>
      </c>
      <c r="G477" t="s">
        <v>798</v>
      </c>
      <c r="H477" s="2">
        <v>0.83333333333333337</v>
      </c>
      <c r="I477" t="s">
        <v>766</v>
      </c>
      <c r="J477" s="1">
        <v>0.48699999999999999</v>
      </c>
      <c r="K477">
        <v>105.5</v>
      </c>
      <c r="L477">
        <v>6</v>
      </c>
      <c r="M477">
        <v>3</v>
      </c>
      <c r="N477">
        <v>3.46</v>
      </c>
      <c r="O477">
        <v>2</v>
      </c>
      <c r="Q477" s="3">
        <v>0.90416666666666667</v>
      </c>
      <c r="R477">
        <v>5.2</v>
      </c>
      <c r="S477">
        <v>4.07</v>
      </c>
      <c r="T477">
        <v>13.59</v>
      </c>
      <c r="U477">
        <v>5.45</v>
      </c>
      <c r="V477">
        <v>5.45</v>
      </c>
      <c r="W477">
        <v>100</v>
      </c>
      <c r="Y477">
        <v>61</v>
      </c>
      <c r="Z477">
        <v>1.8</v>
      </c>
      <c r="AA477">
        <v>0</v>
      </c>
      <c r="AB477" s="3">
        <v>0.96388888888888891</v>
      </c>
      <c r="AC477">
        <v>2.6</v>
      </c>
      <c r="AD477">
        <v>0.9</v>
      </c>
    </row>
    <row r="478" spans="1:30" x14ac:dyDescent="0.2">
      <c r="A478" t="s">
        <v>170</v>
      </c>
      <c r="C478">
        <v>0</v>
      </c>
      <c r="D478" t="s">
        <v>10</v>
      </c>
      <c r="E478">
        <v>5400</v>
      </c>
      <c r="F478" t="s">
        <v>794</v>
      </c>
      <c r="G478" t="s">
        <v>795</v>
      </c>
      <c r="H478" s="2">
        <v>0.79166666666666663</v>
      </c>
      <c r="I478" t="s">
        <v>766</v>
      </c>
      <c r="J478" s="1">
        <v>0.56499999999999995</v>
      </c>
      <c r="K478">
        <v>77</v>
      </c>
      <c r="L478">
        <v>5.5</v>
      </c>
      <c r="M478">
        <v>2.75</v>
      </c>
      <c r="N478">
        <v>2.87</v>
      </c>
      <c r="O478">
        <v>3</v>
      </c>
      <c r="P478">
        <v>1</v>
      </c>
      <c r="Q478" s="3">
        <v>0.79791666666666672</v>
      </c>
      <c r="R478">
        <v>10.1</v>
      </c>
      <c r="S478">
        <v>6.32</v>
      </c>
      <c r="T478">
        <v>21.61</v>
      </c>
      <c r="U478">
        <v>8.9700000000000006</v>
      </c>
      <c r="V478">
        <v>8.9700000000000006</v>
      </c>
      <c r="W478">
        <v>100</v>
      </c>
      <c r="Y478">
        <v>69</v>
      </c>
      <c r="Z478">
        <v>1.7</v>
      </c>
      <c r="AA478">
        <v>0</v>
      </c>
      <c r="AB478" s="3">
        <v>0.72430555555555554</v>
      </c>
      <c r="AC478">
        <v>8</v>
      </c>
      <c r="AD478">
        <v>1.5</v>
      </c>
    </row>
    <row r="479" spans="1:30" x14ac:dyDescent="0.2">
      <c r="A479" t="s">
        <v>405</v>
      </c>
      <c r="C479">
        <v>0</v>
      </c>
      <c r="D479" t="s">
        <v>5</v>
      </c>
      <c r="E479">
        <v>2500</v>
      </c>
      <c r="F479" t="s">
        <v>499</v>
      </c>
      <c r="G479" t="s">
        <v>775</v>
      </c>
      <c r="H479" s="2">
        <v>0.79166666666666663</v>
      </c>
      <c r="I479" t="s">
        <v>762</v>
      </c>
      <c r="J479" s="1">
        <v>0.50700000000000001</v>
      </c>
      <c r="K479">
        <v>-103</v>
      </c>
      <c r="L479">
        <v>6.5</v>
      </c>
      <c r="M479">
        <v>3.71</v>
      </c>
      <c r="N479">
        <v>3.25</v>
      </c>
      <c r="Q479" s="3">
        <v>0.52847222222222223</v>
      </c>
      <c r="R479">
        <v>4.5</v>
      </c>
      <c r="S479">
        <v>3.72</v>
      </c>
      <c r="T479">
        <v>0</v>
      </c>
      <c r="U479">
        <v>0</v>
      </c>
      <c r="V479">
        <v>0</v>
      </c>
      <c r="W479">
        <v>100</v>
      </c>
      <c r="Y479">
        <v>59</v>
      </c>
      <c r="Z479">
        <v>0</v>
      </c>
      <c r="AA479">
        <v>0</v>
      </c>
    </row>
    <row r="480" spans="1:30" x14ac:dyDescent="0.2">
      <c r="A480" t="s">
        <v>514</v>
      </c>
      <c r="C480">
        <v>0</v>
      </c>
      <c r="D480" t="s">
        <v>7</v>
      </c>
      <c r="E480">
        <v>7500</v>
      </c>
      <c r="F480" t="s">
        <v>510</v>
      </c>
      <c r="G480" t="s">
        <v>802</v>
      </c>
      <c r="H480" s="2">
        <v>0.91666666666666663</v>
      </c>
      <c r="I480" t="s">
        <v>766</v>
      </c>
      <c r="J480" s="1">
        <v>0.51200000000000001</v>
      </c>
      <c r="K480">
        <v>95.5</v>
      </c>
      <c r="L480">
        <v>6.5</v>
      </c>
      <c r="M480">
        <v>3.01</v>
      </c>
      <c r="N480">
        <v>3.25</v>
      </c>
      <c r="O480" t="s">
        <v>818</v>
      </c>
      <c r="Q480" s="4">
        <v>2.3277777777777779</v>
      </c>
      <c r="R480">
        <v>8.1</v>
      </c>
      <c r="S480">
        <v>9.9</v>
      </c>
      <c r="T480">
        <v>0</v>
      </c>
      <c r="U480">
        <v>0</v>
      </c>
      <c r="V480">
        <v>0</v>
      </c>
      <c r="W480">
        <v>100</v>
      </c>
      <c r="Y480">
        <v>39</v>
      </c>
      <c r="Z480">
        <v>0</v>
      </c>
      <c r="AA480">
        <v>0</v>
      </c>
      <c r="AB480" s="3">
        <v>9.0972222222222218E-2</v>
      </c>
      <c r="AC480">
        <v>4.7</v>
      </c>
      <c r="AD480">
        <v>0.6</v>
      </c>
    </row>
    <row r="481" spans="1:30" x14ac:dyDescent="0.2">
      <c r="A481" t="s">
        <v>668</v>
      </c>
      <c r="C481">
        <v>0</v>
      </c>
      <c r="D481" t="s">
        <v>5</v>
      </c>
      <c r="E481">
        <v>2500</v>
      </c>
      <c r="F481" t="s">
        <v>507</v>
      </c>
      <c r="G481" t="s">
        <v>796</v>
      </c>
      <c r="H481" s="2">
        <v>0.79166666666666663</v>
      </c>
      <c r="I481" t="s">
        <v>766</v>
      </c>
      <c r="J481" s="1">
        <v>0.49399999999999999</v>
      </c>
      <c r="K481">
        <v>102.5</v>
      </c>
      <c r="L481">
        <v>6</v>
      </c>
      <c r="M481">
        <v>3</v>
      </c>
      <c r="N481">
        <v>3.44</v>
      </c>
      <c r="O481">
        <v>4</v>
      </c>
      <c r="Q481" s="3">
        <v>0.61597222222222225</v>
      </c>
      <c r="R481">
        <v>4</v>
      </c>
      <c r="S481">
        <v>4.95</v>
      </c>
      <c r="T481">
        <v>14.62</v>
      </c>
      <c r="U481">
        <v>4.72</v>
      </c>
      <c r="V481">
        <v>4.72</v>
      </c>
      <c r="W481">
        <v>100</v>
      </c>
      <c r="Y481">
        <v>38</v>
      </c>
      <c r="Z481">
        <v>1.9</v>
      </c>
      <c r="AA481">
        <v>0</v>
      </c>
      <c r="AB481" s="3">
        <v>0.67361111111111116</v>
      </c>
      <c r="AC481">
        <v>2.8</v>
      </c>
      <c r="AD481">
        <v>1.1000000000000001</v>
      </c>
    </row>
    <row r="482" spans="1:30" x14ac:dyDescent="0.2">
      <c r="A482" t="s">
        <v>887</v>
      </c>
      <c r="C482">
        <v>0</v>
      </c>
      <c r="D482" t="s">
        <v>10</v>
      </c>
      <c r="E482">
        <v>3500</v>
      </c>
      <c r="F482" t="s">
        <v>764</v>
      </c>
      <c r="G482" t="s">
        <v>765</v>
      </c>
      <c r="H482" s="2">
        <v>0.875</v>
      </c>
      <c r="I482" t="s">
        <v>766</v>
      </c>
      <c r="J482" s="1">
        <v>0.47099999999999997</v>
      </c>
      <c r="K482">
        <v>112.5</v>
      </c>
      <c r="L482">
        <v>7</v>
      </c>
      <c r="M482">
        <v>3.5</v>
      </c>
      <c r="N482">
        <v>4.05</v>
      </c>
      <c r="Q482" s="3">
        <v>0.72152777777777777</v>
      </c>
      <c r="R482">
        <v>8.8000000000000007</v>
      </c>
      <c r="S482">
        <v>8.6300000000000008</v>
      </c>
      <c r="T482">
        <v>0</v>
      </c>
      <c r="U482">
        <v>0</v>
      </c>
      <c r="V482">
        <v>0</v>
      </c>
      <c r="W482">
        <v>100</v>
      </c>
      <c r="Y482">
        <v>51</v>
      </c>
      <c r="Z482">
        <v>0</v>
      </c>
      <c r="AA482">
        <v>0</v>
      </c>
    </row>
    <row r="483" spans="1:30" x14ac:dyDescent="0.2">
      <c r="A483" t="s">
        <v>406</v>
      </c>
      <c r="C483">
        <v>0</v>
      </c>
      <c r="D483" t="s">
        <v>10</v>
      </c>
      <c r="E483">
        <v>2700</v>
      </c>
      <c r="F483" t="s">
        <v>497</v>
      </c>
      <c r="G483" t="s">
        <v>784</v>
      </c>
      <c r="H483" s="2">
        <v>0.79166666666666663</v>
      </c>
      <c r="I483" t="s">
        <v>766</v>
      </c>
      <c r="J483" s="1">
        <v>0.55100000000000005</v>
      </c>
      <c r="K483">
        <v>81.5</v>
      </c>
      <c r="L483">
        <v>6.5</v>
      </c>
      <c r="M483">
        <v>3.17</v>
      </c>
      <c r="N483">
        <v>3.25</v>
      </c>
      <c r="O483">
        <v>3</v>
      </c>
      <c r="Q483" s="3">
        <v>0.57847222222222228</v>
      </c>
      <c r="R483">
        <v>6.2</v>
      </c>
      <c r="S483">
        <v>6.26</v>
      </c>
      <c r="T483">
        <v>18.95</v>
      </c>
      <c r="U483">
        <v>6.43</v>
      </c>
      <c r="V483">
        <v>6.43</v>
      </c>
      <c r="W483">
        <v>100</v>
      </c>
      <c r="Y483">
        <v>50</v>
      </c>
      <c r="Z483">
        <v>2.4</v>
      </c>
      <c r="AA483">
        <v>0</v>
      </c>
      <c r="AB483" s="3">
        <v>0.60833333333333328</v>
      </c>
      <c r="AC483">
        <v>17.8</v>
      </c>
      <c r="AD483">
        <v>6.6</v>
      </c>
    </row>
    <row r="484" spans="1:30" x14ac:dyDescent="0.2">
      <c r="A484" t="s">
        <v>58</v>
      </c>
      <c r="C484">
        <v>0</v>
      </c>
      <c r="D484" t="s">
        <v>10</v>
      </c>
      <c r="E484">
        <v>9400</v>
      </c>
      <c r="F484" t="s">
        <v>487</v>
      </c>
      <c r="G484" t="s">
        <v>770</v>
      </c>
      <c r="H484" s="2">
        <v>0.83333333333333337</v>
      </c>
      <c r="I484" t="s">
        <v>762</v>
      </c>
      <c r="J484" s="1">
        <v>0.51300000000000001</v>
      </c>
      <c r="K484">
        <v>-105.5</v>
      </c>
      <c r="L484">
        <v>6</v>
      </c>
      <c r="M484">
        <v>3.46</v>
      </c>
      <c r="N484">
        <v>3</v>
      </c>
      <c r="O484">
        <v>1</v>
      </c>
      <c r="P484">
        <v>1</v>
      </c>
      <c r="Q484" s="3">
        <v>0.93541666666666667</v>
      </c>
      <c r="R484">
        <v>14.5</v>
      </c>
      <c r="S484">
        <v>9.52</v>
      </c>
      <c r="T484">
        <v>38.31</v>
      </c>
      <c r="U484">
        <v>19.27</v>
      </c>
      <c r="V484">
        <v>19.27</v>
      </c>
      <c r="W484">
        <v>100</v>
      </c>
      <c r="Y484">
        <v>67</v>
      </c>
      <c r="Z484">
        <v>2.1</v>
      </c>
      <c r="AA484">
        <v>0</v>
      </c>
      <c r="AB484" s="3">
        <v>0.81041666666666667</v>
      </c>
      <c r="AC484">
        <v>18</v>
      </c>
      <c r="AD484">
        <v>1.9</v>
      </c>
    </row>
    <row r="485" spans="1:30" x14ac:dyDescent="0.2">
      <c r="A485" t="s">
        <v>197</v>
      </c>
      <c r="C485">
        <v>0</v>
      </c>
      <c r="D485" t="s">
        <v>10</v>
      </c>
      <c r="E485">
        <v>2900</v>
      </c>
      <c r="F485" t="s">
        <v>486</v>
      </c>
      <c r="G485" t="s">
        <v>776</v>
      </c>
      <c r="H485" s="2">
        <v>0.79166666666666663</v>
      </c>
      <c r="I485" t="s">
        <v>762</v>
      </c>
      <c r="J485" s="1">
        <v>0.435</v>
      </c>
      <c r="K485">
        <v>-77</v>
      </c>
      <c r="L485">
        <v>5.5</v>
      </c>
      <c r="M485">
        <v>2.87</v>
      </c>
      <c r="N485">
        <v>2.75</v>
      </c>
      <c r="O485">
        <v>3</v>
      </c>
      <c r="Q485" s="3">
        <v>0.51944444444444449</v>
      </c>
      <c r="R485">
        <v>8.5</v>
      </c>
      <c r="S485">
        <v>10.44</v>
      </c>
      <c r="T485">
        <v>28.08</v>
      </c>
      <c r="U485">
        <v>7.2</v>
      </c>
      <c r="V485">
        <v>7.2</v>
      </c>
      <c r="W485">
        <v>100</v>
      </c>
      <c r="Y485">
        <v>39</v>
      </c>
      <c r="Z485">
        <v>2.5</v>
      </c>
      <c r="AA485">
        <v>0</v>
      </c>
      <c r="AB485" s="3">
        <v>0.54652777777777772</v>
      </c>
      <c r="AC485">
        <v>3</v>
      </c>
      <c r="AD485">
        <v>1</v>
      </c>
    </row>
    <row r="486" spans="1:30" x14ac:dyDescent="0.2">
      <c r="A486" t="s">
        <v>117</v>
      </c>
      <c r="C486">
        <v>0</v>
      </c>
      <c r="D486" t="s">
        <v>17</v>
      </c>
      <c r="E486">
        <v>4000</v>
      </c>
      <c r="F486" t="s">
        <v>499</v>
      </c>
      <c r="G486" t="s">
        <v>775</v>
      </c>
      <c r="H486" s="2">
        <v>0.79166666666666663</v>
      </c>
      <c r="I486" t="s">
        <v>762</v>
      </c>
      <c r="J486" s="1">
        <v>0.50700000000000001</v>
      </c>
      <c r="K486">
        <v>-103</v>
      </c>
      <c r="L486">
        <v>6.5</v>
      </c>
      <c r="M486">
        <v>3.71</v>
      </c>
      <c r="N486">
        <v>3.25</v>
      </c>
      <c r="O486">
        <v>2</v>
      </c>
      <c r="P486">
        <v>2</v>
      </c>
      <c r="Q486" s="3">
        <v>0.9194444444444444</v>
      </c>
      <c r="R486">
        <v>7.2</v>
      </c>
      <c r="S486">
        <v>4.8600000000000003</v>
      </c>
      <c r="T486">
        <v>19.41</v>
      </c>
      <c r="U486">
        <v>9.69</v>
      </c>
      <c r="V486">
        <v>9.69</v>
      </c>
      <c r="W486">
        <v>100</v>
      </c>
      <c r="Y486">
        <v>66</v>
      </c>
      <c r="Z486">
        <v>2.4</v>
      </c>
      <c r="AA486">
        <v>0</v>
      </c>
      <c r="AB486" s="3">
        <v>0.88541666666666663</v>
      </c>
      <c r="AC486">
        <v>7.1</v>
      </c>
      <c r="AD486">
        <v>1.8</v>
      </c>
    </row>
    <row r="487" spans="1:30" x14ac:dyDescent="0.2">
      <c r="A487" t="s">
        <v>916</v>
      </c>
      <c r="C487">
        <v>0</v>
      </c>
      <c r="D487" t="s">
        <v>17</v>
      </c>
      <c r="E487">
        <v>2500</v>
      </c>
      <c r="F487" t="s">
        <v>794</v>
      </c>
      <c r="G487" t="s">
        <v>795</v>
      </c>
      <c r="H487" s="2">
        <v>0.79166666666666663</v>
      </c>
      <c r="I487" t="s">
        <v>766</v>
      </c>
      <c r="J487" s="1">
        <v>0.56499999999999995</v>
      </c>
      <c r="K487">
        <v>77</v>
      </c>
      <c r="L487">
        <v>5.5</v>
      </c>
      <c r="M487">
        <v>2.75</v>
      </c>
      <c r="N487">
        <v>2.87</v>
      </c>
      <c r="T487">
        <v>0</v>
      </c>
      <c r="U487">
        <v>0</v>
      </c>
      <c r="V487">
        <v>0</v>
      </c>
      <c r="W487">
        <v>100</v>
      </c>
      <c r="Y487">
        <v>0</v>
      </c>
      <c r="Z487">
        <v>0</v>
      </c>
      <c r="AA487">
        <v>0</v>
      </c>
    </row>
    <row r="488" spans="1:30" x14ac:dyDescent="0.2">
      <c r="A488" t="s">
        <v>598</v>
      </c>
      <c r="C488">
        <v>0</v>
      </c>
      <c r="D488" t="s">
        <v>17</v>
      </c>
      <c r="E488">
        <v>2500</v>
      </c>
      <c r="F488" t="s">
        <v>488</v>
      </c>
      <c r="G488" t="s">
        <v>781</v>
      </c>
      <c r="H488" s="2">
        <v>0.91666666666666663</v>
      </c>
      <c r="I488" t="s">
        <v>766</v>
      </c>
      <c r="J488" s="1">
        <v>0.53500000000000003</v>
      </c>
      <c r="K488">
        <v>87</v>
      </c>
      <c r="L488">
        <v>6</v>
      </c>
      <c r="M488">
        <v>3</v>
      </c>
      <c r="N488">
        <v>3.14</v>
      </c>
      <c r="O488">
        <v>3</v>
      </c>
      <c r="Q488" s="3">
        <v>0.50347222222222221</v>
      </c>
      <c r="R488">
        <v>3</v>
      </c>
      <c r="S488">
        <v>3.15</v>
      </c>
      <c r="T488">
        <v>9.41</v>
      </c>
      <c r="U488">
        <v>3.11</v>
      </c>
      <c r="V488">
        <v>3.11</v>
      </c>
      <c r="W488">
        <v>100</v>
      </c>
      <c r="Y488">
        <v>48</v>
      </c>
      <c r="Z488">
        <v>1.2</v>
      </c>
      <c r="AA488">
        <v>0</v>
      </c>
      <c r="AB488" s="3">
        <v>0.51388888888888884</v>
      </c>
      <c r="AC488">
        <v>4.0999999999999996</v>
      </c>
      <c r="AD488">
        <v>1.6</v>
      </c>
    </row>
    <row r="489" spans="1:30" x14ac:dyDescent="0.2">
      <c r="A489" t="s">
        <v>244</v>
      </c>
      <c r="C489">
        <v>0</v>
      </c>
      <c r="D489" t="s">
        <v>10</v>
      </c>
      <c r="E489">
        <v>6900</v>
      </c>
      <c r="F489" t="s">
        <v>496</v>
      </c>
      <c r="G489" t="s">
        <v>787</v>
      </c>
      <c r="H489" s="2">
        <v>0.79166666666666663</v>
      </c>
      <c r="I489" t="s">
        <v>766</v>
      </c>
      <c r="J489" s="1">
        <v>0.48199999999999998</v>
      </c>
      <c r="K489">
        <v>107.5</v>
      </c>
      <c r="L489">
        <v>5.5</v>
      </c>
      <c r="M489">
        <v>2.75</v>
      </c>
      <c r="N489">
        <v>3.2</v>
      </c>
      <c r="O489">
        <v>1</v>
      </c>
      <c r="P489">
        <v>1</v>
      </c>
      <c r="Q489" s="3">
        <v>0.87430555555555556</v>
      </c>
      <c r="R489">
        <v>13.3</v>
      </c>
      <c r="S489">
        <v>8.02</v>
      </c>
      <c r="T489">
        <v>28.56</v>
      </c>
      <c r="U489">
        <v>12.52</v>
      </c>
      <c r="V489">
        <v>12.52</v>
      </c>
      <c r="W489">
        <v>100</v>
      </c>
      <c r="Y489">
        <v>70</v>
      </c>
      <c r="Z489">
        <v>1.8</v>
      </c>
      <c r="AA489">
        <v>0</v>
      </c>
      <c r="AB489" s="3">
        <v>0.93611111111111112</v>
      </c>
      <c r="AC489">
        <v>19</v>
      </c>
      <c r="AD489">
        <v>2.8</v>
      </c>
    </row>
    <row r="490" spans="1:30" x14ac:dyDescent="0.2">
      <c r="A490" t="s">
        <v>681</v>
      </c>
      <c r="C490">
        <v>0</v>
      </c>
      <c r="D490" t="s">
        <v>10</v>
      </c>
      <c r="E490">
        <v>2500</v>
      </c>
      <c r="F490" t="s">
        <v>494</v>
      </c>
      <c r="G490" t="s">
        <v>782</v>
      </c>
      <c r="H490" s="2">
        <v>0.79166666666666663</v>
      </c>
      <c r="I490" t="s">
        <v>762</v>
      </c>
      <c r="J490" s="1">
        <v>0.47199999999999998</v>
      </c>
      <c r="K490">
        <v>-89.5</v>
      </c>
      <c r="L490">
        <v>6</v>
      </c>
      <c r="M490">
        <v>3</v>
      </c>
      <c r="N490">
        <v>2.82</v>
      </c>
      <c r="O490">
        <v>4</v>
      </c>
      <c r="Q490" s="3">
        <v>0.45</v>
      </c>
      <c r="R490">
        <v>2.7</v>
      </c>
      <c r="S490">
        <v>2.94</v>
      </c>
      <c r="T490">
        <v>9.24</v>
      </c>
      <c r="U490">
        <v>3.36</v>
      </c>
      <c r="V490">
        <v>3.36</v>
      </c>
      <c r="W490">
        <v>100</v>
      </c>
      <c r="Y490">
        <v>46</v>
      </c>
      <c r="Z490">
        <v>1.3</v>
      </c>
      <c r="AA490">
        <v>0</v>
      </c>
      <c r="AB490" s="3">
        <v>0.35902777777777778</v>
      </c>
      <c r="AC490">
        <v>1.5</v>
      </c>
      <c r="AD490">
        <v>0.6</v>
      </c>
    </row>
    <row r="491" spans="1:30" x14ac:dyDescent="0.2">
      <c r="A491" t="s">
        <v>1024</v>
      </c>
      <c r="C491">
        <v>0</v>
      </c>
      <c r="D491" t="s">
        <v>10</v>
      </c>
      <c r="E491">
        <v>2500</v>
      </c>
      <c r="F491" t="s">
        <v>488</v>
      </c>
      <c r="G491" t="s">
        <v>781</v>
      </c>
      <c r="H491" s="2">
        <v>0.91666666666666663</v>
      </c>
      <c r="I491" t="s">
        <v>766</v>
      </c>
      <c r="J491" s="1">
        <v>0.53500000000000003</v>
      </c>
      <c r="K491">
        <v>87</v>
      </c>
      <c r="L491">
        <v>6</v>
      </c>
      <c r="M491">
        <v>3</v>
      </c>
      <c r="N491">
        <v>3.14</v>
      </c>
      <c r="T491">
        <v>0</v>
      </c>
      <c r="U491">
        <v>0</v>
      </c>
      <c r="V491">
        <v>0</v>
      </c>
      <c r="W491">
        <v>100</v>
      </c>
      <c r="Y491">
        <v>0</v>
      </c>
      <c r="Z491">
        <v>0</v>
      </c>
      <c r="AA491">
        <v>0</v>
      </c>
    </row>
    <row r="492" spans="1:30" x14ac:dyDescent="0.2">
      <c r="A492" t="s">
        <v>956</v>
      </c>
      <c r="C492">
        <v>0</v>
      </c>
      <c r="D492" t="s">
        <v>10</v>
      </c>
      <c r="E492">
        <v>2500</v>
      </c>
      <c r="F492" t="s">
        <v>494</v>
      </c>
      <c r="G492" t="s">
        <v>782</v>
      </c>
      <c r="H492" s="2">
        <v>0.79166666666666663</v>
      </c>
      <c r="I492" t="s">
        <v>762</v>
      </c>
      <c r="J492" s="1">
        <v>0.47199999999999998</v>
      </c>
      <c r="K492">
        <v>-89.5</v>
      </c>
      <c r="L492">
        <v>6</v>
      </c>
      <c r="M492">
        <v>3</v>
      </c>
      <c r="N492">
        <v>2.82</v>
      </c>
      <c r="Q492" s="3">
        <v>0.77638888888888891</v>
      </c>
      <c r="R492">
        <v>9.5</v>
      </c>
      <c r="S492">
        <v>5.73</v>
      </c>
      <c r="T492">
        <v>0</v>
      </c>
      <c r="U492">
        <v>0</v>
      </c>
      <c r="V492">
        <v>0</v>
      </c>
      <c r="W492">
        <v>100</v>
      </c>
      <c r="Y492">
        <v>70</v>
      </c>
      <c r="Z492">
        <v>0</v>
      </c>
      <c r="AA492">
        <v>0</v>
      </c>
    </row>
    <row r="493" spans="1:30" x14ac:dyDescent="0.2">
      <c r="A493" t="s">
        <v>665</v>
      </c>
      <c r="C493">
        <v>0</v>
      </c>
      <c r="D493" t="s">
        <v>10</v>
      </c>
      <c r="E493">
        <v>2500</v>
      </c>
      <c r="F493" t="s">
        <v>491</v>
      </c>
      <c r="G493" t="s">
        <v>773</v>
      </c>
      <c r="H493" s="2">
        <v>0.79166666666666663</v>
      </c>
      <c r="I493" t="s">
        <v>766</v>
      </c>
      <c r="J493" s="1">
        <v>0.49299999999999999</v>
      </c>
      <c r="K493">
        <v>103</v>
      </c>
      <c r="L493">
        <v>6.5</v>
      </c>
      <c r="M493">
        <v>3.25</v>
      </c>
      <c r="N493">
        <v>3.71</v>
      </c>
      <c r="Q493" s="3">
        <v>0.45902777777777776</v>
      </c>
      <c r="R493">
        <v>3.2</v>
      </c>
      <c r="S493">
        <v>3.98</v>
      </c>
      <c r="T493">
        <v>0</v>
      </c>
      <c r="U493">
        <v>0</v>
      </c>
      <c r="V493">
        <v>0</v>
      </c>
      <c r="W493">
        <v>100</v>
      </c>
      <c r="Y493">
        <v>38</v>
      </c>
      <c r="Z493">
        <v>0</v>
      </c>
      <c r="AA493">
        <v>0</v>
      </c>
    </row>
    <row r="494" spans="1:30" x14ac:dyDescent="0.2">
      <c r="A494" t="s">
        <v>320</v>
      </c>
      <c r="C494">
        <v>0</v>
      </c>
      <c r="D494" t="s">
        <v>17</v>
      </c>
      <c r="E494">
        <v>6100</v>
      </c>
      <c r="F494" t="s">
        <v>497</v>
      </c>
      <c r="G494" t="s">
        <v>784</v>
      </c>
      <c r="H494" s="2">
        <v>0.79166666666666663</v>
      </c>
      <c r="I494" t="s">
        <v>766</v>
      </c>
      <c r="J494" s="1">
        <v>0.55100000000000005</v>
      </c>
      <c r="K494">
        <v>81.5</v>
      </c>
      <c r="L494">
        <v>6.5</v>
      </c>
      <c r="M494">
        <v>3.17</v>
      </c>
      <c r="N494">
        <v>3.25</v>
      </c>
      <c r="O494">
        <v>2</v>
      </c>
      <c r="P494">
        <v>1</v>
      </c>
      <c r="Q494" s="3">
        <v>0.99305555555555558</v>
      </c>
      <c r="R494">
        <v>11.1</v>
      </c>
      <c r="S494">
        <v>5.82</v>
      </c>
      <c r="T494">
        <v>26.14</v>
      </c>
      <c r="U494">
        <v>14.5</v>
      </c>
      <c r="V494">
        <v>14.5</v>
      </c>
      <c r="W494">
        <v>100</v>
      </c>
      <c r="Y494">
        <v>74</v>
      </c>
      <c r="Z494">
        <v>2.4</v>
      </c>
      <c r="AA494">
        <v>0</v>
      </c>
      <c r="AB494" s="3">
        <v>0.84930555555555554</v>
      </c>
      <c r="AC494">
        <v>12.6</v>
      </c>
      <c r="AD494">
        <v>2.1</v>
      </c>
    </row>
    <row r="495" spans="1:30" x14ac:dyDescent="0.2">
      <c r="A495" t="s">
        <v>729</v>
      </c>
      <c r="C495">
        <v>0</v>
      </c>
      <c r="D495" t="s">
        <v>5</v>
      </c>
      <c r="E495">
        <v>2500</v>
      </c>
      <c r="F495" t="s">
        <v>509</v>
      </c>
      <c r="G495" t="s">
        <v>791</v>
      </c>
      <c r="H495" s="2">
        <v>0.79166666666666663</v>
      </c>
      <c r="I495" t="s">
        <v>766</v>
      </c>
      <c r="J495" s="1">
        <v>0.51900000000000002</v>
      </c>
      <c r="K495">
        <v>92.5</v>
      </c>
      <c r="L495">
        <v>6.5</v>
      </c>
      <c r="M495">
        <v>3.25</v>
      </c>
      <c r="N495">
        <v>3.62</v>
      </c>
      <c r="Q495" s="3">
        <v>0.36875000000000002</v>
      </c>
      <c r="R495">
        <v>0.8</v>
      </c>
      <c r="S495">
        <v>0.64</v>
      </c>
      <c r="T495">
        <v>0</v>
      </c>
      <c r="U495">
        <v>0</v>
      </c>
      <c r="V495">
        <v>0</v>
      </c>
      <c r="W495">
        <v>100</v>
      </c>
      <c r="Y495">
        <v>60</v>
      </c>
      <c r="Z495">
        <v>0</v>
      </c>
      <c r="AA495">
        <v>0</v>
      </c>
    </row>
    <row r="496" spans="1:30" x14ac:dyDescent="0.2">
      <c r="A496" t="s">
        <v>261</v>
      </c>
      <c r="C496">
        <v>0</v>
      </c>
      <c r="D496" t="s">
        <v>10</v>
      </c>
      <c r="E496">
        <v>3600</v>
      </c>
      <c r="F496" t="s">
        <v>507</v>
      </c>
      <c r="G496" t="s">
        <v>796</v>
      </c>
      <c r="H496" s="2">
        <v>0.79166666666666663</v>
      </c>
      <c r="I496" t="s">
        <v>766</v>
      </c>
      <c r="J496" s="1">
        <v>0.49399999999999999</v>
      </c>
      <c r="K496">
        <v>102.5</v>
      </c>
      <c r="L496">
        <v>6</v>
      </c>
      <c r="M496">
        <v>3</v>
      </c>
      <c r="N496">
        <v>3.44</v>
      </c>
      <c r="O496">
        <v>1</v>
      </c>
      <c r="P496">
        <v>2</v>
      </c>
      <c r="Q496" s="3">
        <v>0.68055555555555558</v>
      </c>
      <c r="R496">
        <v>7.1</v>
      </c>
      <c r="S496">
        <v>6.2</v>
      </c>
      <c r="T496">
        <v>20.93</v>
      </c>
      <c r="U496">
        <v>8.5299999999999994</v>
      </c>
      <c r="V496">
        <v>8.5299999999999994</v>
      </c>
      <c r="W496">
        <v>100</v>
      </c>
      <c r="Y496">
        <v>56</v>
      </c>
      <c r="Z496">
        <v>2.4</v>
      </c>
      <c r="AA496">
        <v>0</v>
      </c>
      <c r="AB496" s="3">
        <v>0.82638888888888884</v>
      </c>
      <c r="AC496">
        <v>4.3</v>
      </c>
      <c r="AD496">
        <v>1.2</v>
      </c>
    </row>
    <row r="497" spans="1:30" x14ac:dyDescent="0.2">
      <c r="A497" t="s">
        <v>161</v>
      </c>
      <c r="C497">
        <v>0</v>
      </c>
      <c r="D497" t="s">
        <v>10</v>
      </c>
      <c r="E497">
        <v>2600</v>
      </c>
      <c r="F497" t="s">
        <v>777</v>
      </c>
      <c r="G497" t="s">
        <v>778</v>
      </c>
      <c r="H497" s="2">
        <v>0.79166666666666663</v>
      </c>
      <c r="I497" t="s">
        <v>762</v>
      </c>
      <c r="J497" s="1">
        <v>0.46400000000000002</v>
      </c>
      <c r="K497">
        <v>-86.5</v>
      </c>
      <c r="L497">
        <v>6</v>
      </c>
      <c r="M497">
        <v>3.19</v>
      </c>
      <c r="N497">
        <v>3</v>
      </c>
      <c r="O497">
        <v>3</v>
      </c>
      <c r="Q497" s="3">
        <v>0.5493055555555556</v>
      </c>
      <c r="R497">
        <v>7.7</v>
      </c>
      <c r="S497">
        <v>6.32</v>
      </c>
      <c r="T497">
        <v>20.260000000000002</v>
      </c>
      <c r="U497">
        <v>7.62</v>
      </c>
      <c r="V497">
        <v>7.62</v>
      </c>
      <c r="W497">
        <v>100</v>
      </c>
      <c r="Y497">
        <v>59</v>
      </c>
      <c r="Z497">
        <v>2.9</v>
      </c>
      <c r="AA497">
        <v>0</v>
      </c>
      <c r="AB497" s="3">
        <v>0.65833333333333333</v>
      </c>
      <c r="AC497">
        <v>10.6</v>
      </c>
      <c r="AD497">
        <v>4.0999999999999996</v>
      </c>
    </row>
    <row r="498" spans="1:30" x14ac:dyDescent="0.2">
      <c r="A498" t="s">
        <v>867</v>
      </c>
      <c r="C498">
        <v>0</v>
      </c>
      <c r="D498" t="s">
        <v>5</v>
      </c>
      <c r="E498">
        <v>5700</v>
      </c>
      <c r="F498" t="s">
        <v>489</v>
      </c>
      <c r="G498" t="s">
        <v>788</v>
      </c>
      <c r="H498" s="2">
        <v>0.91666666666666663</v>
      </c>
      <c r="I498" t="s">
        <v>762</v>
      </c>
      <c r="J498" s="1">
        <v>0.48799999999999999</v>
      </c>
      <c r="K498">
        <v>-95.5</v>
      </c>
      <c r="L498">
        <v>6.5</v>
      </c>
      <c r="M498">
        <v>3.25</v>
      </c>
      <c r="N498">
        <v>3.01</v>
      </c>
      <c r="Q498" s="3">
        <v>0.81111111111111112</v>
      </c>
      <c r="R498">
        <v>11.3</v>
      </c>
      <c r="S498">
        <v>9.25</v>
      </c>
      <c r="T498">
        <v>0</v>
      </c>
      <c r="U498">
        <v>0</v>
      </c>
      <c r="V498">
        <v>0</v>
      </c>
      <c r="W498">
        <v>100</v>
      </c>
      <c r="Y498">
        <v>59</v>
      </c>
      <c r="Z498">
        <v>0</v>
      </c>
      <c r="AA498">
        <v>0</v>
      </c>
    </row>
    <row r="499" spans="1:30" x14ac:dyDescent="0.2">
      <c r="A499" t="s">
        <v>41</v>
      </c>
      <c r="C499">
        <v>0</v>
      </c>
      <c r="D499" t="s">
        <v>5</v>
      </c>
      <c r="E499">
        <v>9500</v>
      </c>
      <c r="F499" t="s">
        <v>480</v>
      </c>
      <c r="G499" t="s">
        <v>761</v>
      </c>
      <c r="H499" s="2">
        <v>0.875</v>
      </c>
      <c r="I499" t="s">
        <v>762</v>
      </c>
      <c r="J499" s="1">
        <v>0.52900000000000003</v>
      </c>
      <c r="K499">
        <v>-112.5</v>
      </c>
      <c r="L499">
        <v>7</v>
      </c>
      <c r="M499">
        <v>4.05</v>
      </c>
      <c r="N499">
        <v>3.5</v>
      </c>
      <c r="O499">
        <v>2</v>
      </c>
      <c r="P499">
        <v>1</v>
      </c>
      <c r="Q499" s="3">
        <v>0.91249999999999998</v>
      </c>
      <c r="R499">
        <v>14.4</v>
      </c>
      <c r="S499">
        <v>9.15</v>
      </c>
      <c r="T499">
        <v>42.46</v>
      </c>
      <c r="U499">
        <v>24.16</v>
      </c>
      <c r="V499">
        <v>24.16</v>
      </c>
      <c r="W499">
        <v>100</v>
      </c>
      <c r="Y499">
        <v>68</v>
      </c>
      <c r="Z499">
        <v>2.5</v>
      </c>
      <c r="AA499">
        <v>0</v>
      </c>
      <c r="AB499" s="4">
        <v>1.0555555555555556</v>
      </c>
      <c r="AC499">
        <v>24.5</v>
      </c>
      <c r="AD499">
        <v>2.6</v>
      </c>
    </row>
    <row r="500" spans="1:30" x14ac:dyDescent="0.2">
      <c r="A500" t="s">
        <v>703</v>
      </c>
      <c r="C500">
        <v>0</v>
      </c>
      <c r="D500" t="s">
        <v>10</v>
      </c>
      <c r="E500">
        <v>2500</v>
      </c>
      <c r="F500" t="s">
        <v>507</v>
      </c>
      <c r="G500" t="s">
        <v>796</v>
      </c>
      <c r="H500" s="2">
        <v>0.79166666666666663</v>
      </c>
      <c r="I500" t="s">
        <v>766</v>
      </c>
      <c r="J500" s="1">
        <v>0.49399999999999999</v>
      </c>
      <c r="K500">
        <v>102.5</v>
      </c>
      <c r="L500">
        <v>6</v>
      </c>
      <c r="M500">
        <v>3</v>
      </c>
      <c r="N500">
        <v>3.44</v>
      </c>
      <c r="O500">
        <v>4</v>
      </c>
      <c r="Q500" s="3">
        <v>0.375</v>
      </c>
      <c r="R500">
        <v>2.5</v>
      </c>
      <c r="S500">
        <v>3.44</v>
      </c>
      <c r="T500">
        <v>9.86</v>
      </c>
      <c r="U500">
        <v>2.98</v>
      </c>
      <c r="V500">
        <v>2.98</v>
      </c>
      <c r="W500">
        <v>100</v>
      </c>
      <c r="Y500">
        <v>31</v>
      </c>
      <c r="Z500">
        <v>1.2</v>
      </c>
      <c r="AA500">
        <v>0</v>
      </c>
      <c r="AB500" s="3">
        <v>0.4513888888888889</v>
      </c>
      <c r="AC500">
        <v>0</v>
      </c>
    </row>
    <row r="501" spans="1:30" x14ac:dyDescent="0.2">
      <c r="A501" t="s">
        <v>810</v>
      </c>
      <c r="C501">
        <v>0</v>
      </c>
      <c r="D501" t="s">
        <v>10</v>
      </c>
      <c r="E501">
        <v>3100</v>
      </c>
      <c r="F501" t="s">
        <v>510</v>
      </c>
      <c r="G501" t="s">
        <v>802</v>
      </c>
      <c r="H501" s="2">
        <v>0.91666666666666663</v>
      </c>
      <c r="I501" t="s">
        <v>766</v>
      </c>
      <c r="J501" s="1">
        <v>0.51200000000000001</v>
      </c>
      <c r="K501">
        <v>95.5</v>
      </c>
      <c r="L501">
        <v>6.5</v>
      </c>
      <c r="M501">
        <v>3.01</v>
      </c>
      <c r="N501">
        <v>3.25</v>
      </c>
      <c r="O501">
        <v>2</v>
      </c>
      <c r="P501">
        <v>2</v>
      </c>
      <c r="Q501" s="3">
        <v>0.46388888888888891</v>
      </c>
      <c r="R501">
        <v>3.7</v>
      </c>
      <c r="S501">
        <v>3.92</v>
      </c>
      <c r="T501">
        <v>12.56</v>
      </c>
      <c r="U501">
        <v>4.72</v>
      </c>
      <c r="V501">
        <v>4.72</v>
      </c>
      <c r="W501">
        <v>100</v>
      </c>
      <c r="Y501">
        <v>47</v>
      </c>
      <c r="Z501">
        <v>1.5</v>
      </c>
      <c r="AA501">
        <v>0</v>
      </c>
      <c r="AB501" s="3">
        <v>0.44305555555555554</v>
      </c>
      <c r="AC501">
        <v>0</v>
      </c>
    </row>
    <row r="502" spans="1:30" x14ac:dyDescent="0.2">
      <c r="A502" t="s">
        <v>1021</v>
      </c>
      <c r="C502">
        <v>0</v>
      </c>
      <c r="D502" t="s">
        <v>17</v>
      </c>
      <c r="E502">
        <v>2500</v>
      </c>
      <c r="F502" t="s">
        <v>488</v>
      </c>
      <c r="G502" t="s">
        <v>781</v>
      </c>
      <c r="H502" s="2">
        <v>0.91666666666666663</v>
      </c>
      <c r="I502" t="s">
        <v>766</v>
      </c>
      <c r="J502" s="1">
        <v>0.53500000000000003</v>
      </c>
      <c r="K502">
        <v>87</v>
      </c>
      <c r="L502">
        <v>6</v>
      </c>
      <c r="M502">
        <v>3</v>
      </c>
      <c r="N502">
        <v>3.14</v>
      </c>
      <c r="Q502" s="3">
        <v>0.66180555555555554</v>
      </c>
      <c r="R502">
        <v>2.6</v>
      </c>
      <c r="S502">
        <v>2.78</v>
      </c>
      <c r="T502">
        <v>0</v>
      </c>
      <c r="U502">
        <v>0</v>
      </c>
      <c r="V502">
        <v>0</v>
      </c>
      <c r="W502">
        <v>100</v>
      </c>
      <c r="Y502">
        <v>47</v>
      </c>
      <c r="Z502">
        <v>0</v>
      </c>
      <c r="AA502">
        <v>0</v>
      </c>
    </row>
    <row r="503" spans="1:30" x14ac:dyDescent="0.2">
      <c r="A503" t="s">
        <v>167</v>
      </c>
      <c r="C503">
        <v>0</v>
      </c>
      <c r="D503" t="s">
        <v>10</v>
      </c>
      <c r="E503">
        <v>3800</v>
      </c>
      <c r="F503" t="s">
        <v>510</v>
      </c>
      <c r="G503" t="s">
        <v>802</v>
      </c>
      <c r="H503" s="2">
        <v>0.91666666666666663</v>
      </c>
      <c r="I503" t="s">
        <v>766</v>
      </c>
      <c r="J503" s="1">
        <v>0.51200000000000001</v>
      </c>
      <c r="K503">
        <v>95.5</v>
      </c>
      <c r="L503">
        <v>6.5</v>
      </c>
      <c r="M503">
        <v>3.01</v>
      </c>
      <c r="N503">
        <v>3.25</v>
      </c>
      <c r="O503">
        <v>4</v>
      </c>
      <c r="P503">
        <v>1</v>
      </c>
      <c r="Q503" s="3">
        <v>0.47083333333333333</v>
      </c>
      <c r="R503">
        <v>6</v>
      </c>
      <c r="S503">
        <v>5.8</v>
      </c>
      <c r="T503">
        <v>19.18</v>
      </c>
      <c r="U503">
        <v>7.58</v>
      </c>
      <c r="V503">
        <v>7.58</v>
      </c>
      <c r="W503">
        <v>100</v>
      </c>
      <c r="Y503">
        <v>52</v>
      </c>
      <c r="Z503">
        <v>2</v>
      </c>
      <c r="AA503">
        <v>0</v>
      </c>
      <c r="AB503" s="3">
        <v>0.63749999999999996</v>
      </c>
      <c r="AC503">
        <v>3</v>
      </c>
      <c r="AD503">
        <v>0.8</v>
      </c>
    </row>
    <row r="504" spans="1:30" x14ac:dyDescent="0.2">
      <c r="A504" t="s">
        <v>1033</v>
      </c>
      <c r="C504">
        <v>0</v>
      </c>
      <c r="D504" t="s">
        <v>10</v>
      </c>
      <c r="E504">
        <v>2500</v>
      </c>
      <c r="F504" t="s">
        <v>505</v>
      </c>
      <c r="G504" t="s">
        <v>793</v>
      </c>
      <c r="H504" s="2">
        <v>0.91666666666666663</v>
      </c>
      <c r="I504" t="s">
        <v>762</v>
      </c>
      <c r="J504" s="1">
        <v>0.41499999999999998</v>
      </c>
      <c r="K504">
        <v>-71</v>
      </c>
      <c r="L504">
        <v>6</v>
      </c>
      <c r="M504">
        <v>3.02</v>
      </c>
      <c r="N504">
        <v>3</v>
      </c>
      <c r="T504">
        <v>0</v>
      </c>
      <c r="U504">
        <v>0</v>
      </c>
      <c r="V504">
        <v>0</v>
      </c>
      <c r="W504">
        <v>100</v>
      </c>
      <c r="Y504">
        <v>0</v>
      </c>
      <c r="Z504">
        <v>0</v>
      </c>
      <c r="AA504">
        <v>0</v>
      </c>
    </row>
    <row r="505" spans="1:30" x14ac:dyDescent="0.2">
      <c r="A505" t="s">
        <v>871</v>
      </c>
      <c r="C505">
        <v>0</v>
      </c>
      <c r="D505" t="s">
        <v>5</v>
      </c>
      <c r="E505">
        <v>5000</v>
      </c>
      <c r="F505" t="s">
        <v>507</v>
      </c>
      <c r="G505" t="s">
        <v>796</v>
      </c>
      <c r="H505" s="2">
        <v>0.79166666666666663</v>
      </c>
      <c r="I505" t="s">
        <v>766</v>
      </c>
      <c r="J505" s="1">
        <v>0.49399999999999999</v>
      </c>
      <c r="K505">
        <v>102.5</v>
      </c>
      <c r="L505">
        <v>6</v>
      </c>
      <c r="M505">
        <v>3</v>
      </c>
      <c r="N505">
        <v>3.44</v>
      </c>
      <c r="Q505" s="3">
        <v>0.74236111111111114</v>
      </c>
      <c r="R505">
        <v>10.1</v>
      </c>
      <c r="S505">
        <v>12.87</v>
      </c>
      <c r="T505">
        <v>0</v>
      </c>
      <c r="U505">
        <v>0</v>
      </c>
      <c r="V505">
        <v>0</v>
      </c>
      <c r="W505">
        <v>100</v>
      </c>
      <c r="Y505">
        <v>36</v>
      </c>
      <c r="Z505">
        <v>0</v>
      </c>
      <c r="AA505">
        <v>0</v>
      </c>
    </row>
    <row r="506" spans="1:30" x14ac:dyDescent="0.2">
      <c r="A506" t="s">
        <v>1009</v>
      </c>
      <c r="C506">
        <v>0</v>
      </c>
      <c r="D506" t="s">
        <v>5</v>
      </c>
      <c r="E506">
        <v>2500</v>
      </c>
      <c r="F506" t="s">
        <v>764</v>
      </c>
      <c r="G506" t="s">
        <v>765</v>
      </c>
      <c r="H506" s="2">
        <v>0.875</v>
      </c>
      <c r="I506" t="s">
        <v>766</v>
      </c>
      <c r="J506" s="1">
        <v>0.47099999999999997</v>
      </c>
      <c r="K506">
        <v>112.5</v>
      </c>
      <c r="L506">
        <v>7</v>
      </c>
      <c r="M506">
        <v>3.5</v>
      </c>
      <c r="N506">
        <v>4.05</v>
      </c>
      <c r="T506">
        <v>0</v>
      </c>
      <c r="U506">
        <v>0</v>
      </c>
      <c r="V506">
        <v>0</v>
      </c>
      <c r="W506">
        <v>100</v>
      </c>
      <c r="Y506">
        <v>0</v>
      </c>
      <c r="Z506">
        <v>0</v>
      </c>
      <c r="AA506">
        <v>0</v>
      </c>
    </row>
    <row r="507" spans="1:30" x14ac:dyDescent="0.2">
      <c r="A507" t="s">
        <v>612</v>
      </c>
      <c r="C507">
        <v>0</v>
      </c>
      <c r="D507" t="s">
        <v>17</v>
      </c>
      <c r="E507">
        <v>2500</v>
      </c>
      <c r="F507" t="s">
        <v>504</v>
      </c>
      <c r="G507" t="s">
        <v>799</v>
      </c>
      <c r="H507" s="2">
        <v>0.83333333333333337</v>
      </c>
      <c r="I507" t="s">
        <v>766</v>
      </c>
      <c r="J507" s="1">
        <v>0.51300000000000001</v>
      </c>
      <c r="K507">
        <v>95</v>
      </c>
      <c r="L507">
        <v>5.5</v>
      </c>
      <c r="M507">
        <v>2.54</v>
      </c>
      <c r="N507">
        <v>2.75</v>
      </c>
      <c r="O507">
        <v>3</v>
      </c>
      <c r="Q507" s="3">
        <v>0.59166666666666667</v>
      </c>
      <c r="R507">
        <v>3</v>
      </c>
      <c r="S507">
        <v>3.25</v>
      </c>
      <c r="T507">
        <v>9.16</v>
      </c>
      <c r="U507">
        <v>2.66</v>
      </c>
      <c r="V507">
        <v>2.66</v>
      </c>
      <c r="W507">
        <v>100</v>
      </c>
      <c r="Y507">
        <v>46</v>
      </c>
      <c r="Z507">
        <v>1.1000000000000001</v>
      </c>
      <c r="AA507">
        <v>0</v>
      </c>
      <c r="AB507" s="3">
        <v>0.50416666666666665</v>
      </c>
      <c r="AC507">
        <v>2.8</v>
      </c>
      <c r="AD507">
        <v>1.1000000000000001</v>
      </c>
    </row>
    <row r="508" spans="1:30" x14ac:dyDescent="0.2">
      <c r="A508" t="s">
        <v>928</v>
      </c>
      <c r="C508">
        <v>0</v>
      </c>
      <c r="D508" t="s">
        <v>10</v>
      </c>
      <c r="E508">
        <v>2500</v>
      </c>
      <c r="F508" t="s">
        <v>478</v>
      </c>
      <c r="G508" t="s">
        <v>763</v>
      </c>
      <c r="H508" s="2">
        <v>0.79166666666666663</v>
      </c>
      <c r="I508" t="s">
        <v>762</v>
      </c>
      <c r="J508" s="1">
        <v>0.44900000000000001</v>
      </c>
      <c r="K508">
        <v>-81.5</v>
      </c>
      <c r="L508">
        <v>6.5</v>
      </c>
      <c r="M508">
        <v>3.25</v>
      </c>
      <c r="N508">
        <v>3.17</v>
      </c>
      <c r="T508">
        <v>0</v>
      </c>
      <c r="U508">
        <v>0</v>
      </c>
      <c r="V508">
        <v>0</v>
      </c>
      <c r="W508">
        <v>100</v>
      </c>
      <c r="Y508">
        <v>0</v>
      </c>
      <c r="Z508">
        <v>0</v>
      </c>
      <c r="AA508">
        <v>0</v>
      </c>
    </row>
    <row r="509" spans="1:30" x14ac:dyDescent="0.2">
      <c r="A509" t="s">
        <v>303</v>
      </c>
      <c r="C509">
        <v>0</v>
      </c>
      <c r="D509" t="s">
        <v>5</v>
      </c>
      <c r="E509">
        <v>3600</v>
      </c>
      <c r="F509" t="s">
        <v>498</v>
      </c>
      <c r="G509" t="s">
        <v>779</v>
      </c>
      <c r="H509" s="2">
        <v>0.79166666666666663</v>
      </c>
      <c r="I509" t="s">
        <v>762</v>
      </c>
      <c r="J509" s="1">
        <v>0.50600000000000001</v>
      </c>
      <c r="K509">
        <v>-102.5</v>
      </c>
      <c r="L509">
        <v>6</v>
      </c>
      <c r="M509">
        <v>3.44</v>
      </c>
      <c r="N509">
        <v>3</v>
      </c>
      <c r="O509">
        <v>2</v>
      </c>
      <c r="P509">
        <v>2</v>
      </c>
      <c r="Q509" s="3">
        <v>0.63611111111111107</v>
      </c>
      <c r="R509">
        <v>6.4</v>
      </c>
      <c r="S509">
        <v>5.35</v>
      </c>
      <c r="T509">
        <v>18.55</v>
      </c>
      <c r="U509">
        <v>7.85</v>
      </c>
      <c r="V509">
        <v>7.85</v>
      </c>
      <c r="W509">
        <v>100</v>
      </c>
      <c r="Y509">
        <v>58</v>
      </c>
      <c r="Z509">
        <v>2.2000000000000002</v>
      </c>
      <c r="AA509">
        <v>0</v>
      </c>
      <c r="AB509" s="3">
        <v>0.63749999999999996</v>
      </c>
      <c r="AC509">
        <v>4.3</v>
      </c>
      <c r="AD509">
        <v>1.2</v>
      </c>
    </row>
    <row r="510" spans="1:30" x14ac:dyDescent="0.2">
      <c r="A510" t="s">
        <v>359</v>
      </c>
      <c r="C510">
        <v>0</v>
      </c>
      <c r="D510" t="s">
        <v>17</v>
      </c>
      <c r="E510">
        <v>2500</v>
      </c>
      <c r="F510" t="s">
        <v>496</v>
      </c>
      <c r="G510" t="s">
        <v>787</v>
      </c>
      <c r="H510" s="2">
        <v>0.79166666666666663</v>
      </c>
      <c r="I510" t="s">
        <v>766</v>
      </c>
      <c r="J510" s="1">
        <v>0.48199999999999998</v>
      </c>
      <c r="K510">
        <v>107.5</v>
      </c>
      <c r="L510">
        <v>5.5</v>
      </c>
      <c r="M510">
        <v>2.75</v>
      </c>
      <c r="N510">
        <v>3.2</v>
      </c>
      <c r="O510">
        <v>3</v>
      </c>
      <c r="P510">
        <v>2</v>
      </c>
      <c r="Q510" s="3">
        <v>0.68958333333333333</v>
      </c>
      <c r="R510">
        <v>5.6</v>
      </c>
      <c r="S510">
        <v>4.88</v>
      </c>
      <c r="T510">
        <v>15.02</v>
      </c>
      <c r="U510">
        <v>5.26</v>
      </c>
      <c r="V510">
        <v>5.26</v>
      </c>
      <c r="W510">
        <v>100</v>
      </c>
      <c r="Y510">
        <v>56</v>
      </c>
      <c r="Z510">
        <v>2.1</v>
      </c>
      <c r="AA510">
        <v>0</v>
      </c>
      <c r="AB510" s="3">
        <v>0.69305555555555554</v>
      </c>
      <c r="AC510">
        <v>2.6</v>
      </c>
      <c r="AD510">
        <v>1</v>
      </c>
    </row>
    <row r="511" spans="1:30" x14ac:dyDescent="0.2">
      <c r="A511" t="s">
        <v>838</v>
      </c>
      <c r="C511">
        <v>0</v>
      </c>
      <c r="D511" t="s">
        <v>7</v>
      </c>
      <c r="E511">
        <v>7500</v>
      </c>
      <c r="F511" t="s">
        <v>500</v>
      </c>
      <c r="G511" t="s">
        <v>785</v>
      </c>
      <c r="H511" s="2">
        <v>0.8125</v>
      </c>
      <c r="I511" t="s">
        <v>766</v>
      </c>
      <c r="J511" s="1">
        <v>0.56000000000000005</v>
      </c>
      <c r="K511">
        <v>78.5</v>
      </c>
      <c r="L511">
        <v>6.5</v>
      </c>
      <c r="M511">
        <v>3.25</v>
      </c>
      <c r="N511">
        <v>3.43</v>
      </c>
      <c r="O511" t="s">
        <v>818</v>
      </c>
      <c r="Q511" s="4">
        <v>2.4624999999999999</v>
      </c>
      <c r="R511">
        <v>12.8</v>
      </c>
      <c r="S511">
        <v>10.5</v>
      </c>
      <c r="T511">
        <v>0</v>
      </c>
      <c r="U511">
        <v>0</v>
      </c>
      <c r="V511">
        <v>0</v>
      </c>
      <c r="W511">
        <v>100</v>
      </c>
      <c r="Y511">
        <v>59</v>
      </c>
      <c r="Z511">
        <v>0</v>
      </c>
      <c r="AA511">
        <v>0</v>
      </c>
    </row>
    <row r="512" spans="1:30" x14ac:dyDescent="0.2">
      <c r="A512" t="s">
        <v>290</v>
      </c>
      <c r="C512">
        <v>0</v>
      </c>
      <c r="D512" t="s">
        <v>17</v>
      </c>
      <c r="E512">
        <v>2900</v>
      </c>
      <c r="F512" t="s">
        <v>491</v>
      </c>
      <c r="G512" t="s">
        <v>773</v>
      </c>
      <c r="H512" s="2">
        <v>0.79166666666666663</v>
      </c>
      <c r="I512" t="s">
        <v>766</v>
      </c>
      <c r="J512" s="1">
        <v>0.49299999999999999</v>
      </c>
      <c r="K512">
        <v>103</v>
      </c>
      <c r="L512">
        <v>6.5</v>
      </c>
      <c r="M512">
        <v>3.25</v>
      </c>
      <c r="N512">
        <v>3.71</v>
      </c>
      <c r="O512">
        <v>1</v>
      </c>
      <c r="Q512" s="3">
        <v>0.67638888888888893</v>
      </c>
      <c r="R512">
        <v>5.6</v>
      </c>
      <c r="S512">
        <v>4.37</v>
      </c>
      <c r="T512">
        <v>15.71</v>
      </c>
      <c r="U512">
        <v>6.97</v>
      </c>
      <c r="V512">
        <v>6.97</v>
      </c>
      <c r="W512">
        <v>100</v>
      </c>
      <c r="Y512">
        <v>61</v>
      </c>
      <c r="Z512">
        <v>2.4</v>
      </c>
      <c r="AA512">
        <v>0</v>
      </c>
      <c r="AB512" s="3">
        <v>0.78263888888888888</v>
      </c>
      <c r="AC512">
        <v>2.6</v>
      </c>
      <c r="AD512">
        <v>0.9</v>
      </c>
    </row>
    <row r="513" spans="1:30" x14ac:dyDescent="0.2">
      <c r="A513" t="s">
        <v>57</v>
      </c>
      <c r="C513">
        <v>0</v>
      </c>
      <c r="D513" t="s">
        <v>10</v>
      </c>
      <c r="E513">
        <v>5600</v>
      </c>
      <c r="F513" t="s">
        <v>492</v>
      </c>
      <c r="G513" t="s">
        <v>774</v>
      </c>
      <c r="H513" s="2">
        <v>0.8125</v>
      </c>
      <c r="I513" t="s">
        <v>762</v>
      </c>
      <c r="J513" s="1">
        <v>0.44</v>
      </c>
      <c r="K513">
        <v>-78.5</v>
      </c>
      <c r="L513">
        <v>6.5</v>
      </c>
      <c r="M513">
        <v>3.43</v>
      </c>
      <c r="N513">
        <v>3.25</v>
      </c>
      <c r="O513">
        <v>1</v>
      </c>
      <c r="P513">
        <v>1</v>
      </c>
      <c r="Q513" s="3">
        <v>0.7729166666666667</v>
      </c>
      <c r="R513">
        <v>10.9</v>
      </c>
      <c r="S513">
        <v>7.36</v>
      </c>
      <c r="T513">
        <v>28.5</v>
      </c>
      <c r="U513">
        <v>13.78</v>
      </c>
      <c r="V513">
        <v>13.78</v>
      </c>
      <c r="W513">
        <v>100</v>
      </c>
      <c r="Y513">
        <v>66</v>
      </c>
      <c r="Z513">
        <v>2.5</v>
      </c>
      <c r="AA513">
        <v>0</v>
      </c>
      <c r="AB513" s="3">
        <v>0.8618055555555556</v>
      </c>
      <c r="AC513">
        <v>3</v>
      </c>
      <c r="AD513">
        <v>0.5</v>
      </c>
    </row>
    <row r="514" spans="1:30" x14ac:dyDescent="0.2">
      <c r="A514" t="s">
        <v>47</v>
      </c>
      <c r="C514">
        <v>0</v>
      </c>
      <c r="D514" t="s">
        <v>7</v>
      </c>
      <c r="E514">
        <v>7900</v>
      </c>
      <c r="F514" t="s">
        <v>489</v>
      </c>
      <c r="G514" t="s">
        <v>788</v>
      </c>
      <c r="H514" s="2">
        <v>0.91666666666666663</v>
      </c>
      <c r="I514" t="s">
        <v>762</v>
      </c>
      <c r="J514" s="1">
        <v>0.48799999999999999</v>
      </c>
      <c r="K514">
        <v>-95.5</v>
      </c>
      <c r="L514">
        <v>6.5</v>
      </c>
      <c r="M514">
        <v>3.25</v>
      </c>
      <c r="N514">
        <v>3.01</v>
      </c>
      <c r="O514" t="s">
        <v>780</v>
      </c>
      <c r="Q514" s="4">
        <v>2.3868055555555556</v>
      </c>
      <c r="R514">
        <v>10.5</v>
      </c>
      <c r="S514">
        <v>9.41</v>
      </c>
      <c r="T514">
        <v>28.85</v>
      </c>
      <c r="U514">
        <v>10.029999999999999</v>
      </c>
      <c r="V514">
        <v>10.029999999999999</v>
      </c>
      <c r="W514">
        <v>100</v>
      </c>
      <c r="Y514">
        <v>55</v>
      </c>
      <c r="Z514">
        <v>1.3</v>
      </c>
      <c r="AA514">
        <v>0</v>
      </c>
      <c r="AB514" s="4">
        <v>2.4076388888888891</v>
      </c>
      <c r="AC514">
        <v>13.3</v>
      </c>
      <c r="AD514">
        <v>1.7</v>
      </c>
    </row>
    <row r="515" spans="1:30" x14ac:dyDescent="0.2">
      <c r="A515" t="s">
        <v>1016</v>
      </c>
      <c r="C515">
        <v>0</v>
      </c>
      <c r="D515" t="s">
        <v>5</v>
      </c>
      <c r="E515">
        <v>2500</v>
      </c>
      <c r="F515" t="s">
        <v>510</v>
      </c>
      <c r="G515" t="s">
        <v>802</v>
      </c>
      <c r="H515" s="2">
        <v>0.91666666666666663</v>
      </c>
      <c r="I515" t="s">
        <v>766</v>
      </c>
      <c r="J515" s="1">
        <v>0.51200000000000001</v>
      </c>
      <c r="K515">
        <v>95.5</v>
      </c>
      <c r="L515">
        <v>6.5</v>
      </c>
      <c r="M515">
        <v>3.01</v>
      </c>
      <c r="N515">
        <v>3.25</v>
      </c>
      <c r="Q515" s="3">
        <v>0.52152777777777781</v>
      </c>
      <c r="R515">
        <v>3.8</v>
      </c>
      <c r="S515">
        <v>7.6</v>
      </c>
      <c r="T515">
        <v>0</v>
      </c>
      <c r="U515">
        <v>0</v>
      </c>
      <c r="V515">
        <v>0</v>
      </c>
      <c r="W515">
        <v>100</v>
      </c>
      <c r="Y515">
        <v>0</v>
      </c>
      <c r="Z515">
        <v>0</v>
      </c>
      <c r="AA515">
        <v>0</v>
      </c>
    </row>
    <row r="516" spans="1:30" x14ac:dyDescent="0.2">
      <c r="A516" t="s">
        <v>206</v>
      </c>
      <c r="C516">
        <v>0</v>
      </c>
      <c r="D516" t="s">
        <v>10</v>
      </c>
      <c r="E516">
        <v>4600</v>
      </c>
      <c r="F516" t="s">
        <v>506</v>
      </c>
      <c r="G516" t="s">
        <v>786</v>
      </c>
      <c r="H516" s="2">
        <v>0.79166666666666663</v>
      </c>
      <c r="I516" t="s">
        <v>766</v>
      </c>
      <c r="J516" s="1">
        <v>0.53600000000000003</v>
      </c>
      <c r="K516">
        <v>86.5</v>
      </c>
      <c r="L516">
        <v>6</v>
      </c>
      <c r="M516">
        <v>3</v>
      </c>
      <c r="N516">
        <v>3.19</v>
      </c>
      <c r="O516">
        <v>1</v>
      </c>
      <c r="P516">
        <v>1</v>
      </c>
      <c r="Q516" s="3">
        <v>0.69444444444444442</v>
      </c>
      <c r="R516">
        <v>8</v>
      </c>
      <c r="S516">
        <v>5.25</v>
      </c>
      <c r="T516">
        <v>20.350000000000001</v>
      </c>
      <c r="U516">
        <v>9.85</v>
      </c>
      <c r="V516">
        <v>9.85</v>
      </c>
      <c r="W516">
        <v>100</v>
      </c>
      <c r="Y516">
        <v>67</v>
      </c>
      <c r="Z516">
        <v>2.1</v>
      </c>
      <c r="AA516">
        <v>0</v>
      </c>
      <c r="AB516" s="3">
        <v>0.77083333333333337</v>
      </c>
      <c r="AC516">
        <v>3</v>
      </c>
      <c r="AD516">
        <v>0.7</v>
      </c>
    </row>
    <row r="517" spans="1:30" x14ac:dyDescent="0.2">
      <c r="A517" t="s">
        <v>714</v>
      </c>
      <c r="C517">
        <v>0</v>
      </c>
      <c r="D517" t="s">
        <v>5</v>
      </c>
      <c r="E517">
        <v>2500</v>
      </c>
      <c r="F517" t="s">
        <v>777</v>
      </c>
      <c r="G517" t="s">
        <v>778</v>
      </c>
      <c r="H517" s="2">
        <v>0.79166666666666663</v>
      </c>
      <c r="I517" t="s">
        <v>762</v>
      </c>
      <c r="J517" s="1">
        <v>0.46400000000000002</v>
      </c>
      <c r="K517">
        <v>-86.5</v>
      </c>
      <c r="L517">
        <v>6</v>
      </c>
      <c r="M517">
        <v>3.19</v>
      </c>
      <c r="N517">
        <v>3</v>
      </c>
      <c r="O517">
        <v>4</v>
      </c>
      <c r="Q517" s="3">
        <v>0.42499999999999999</v>
      </c>
      <c r="R517">
        <v>2.7</v>
      </c>
      <c r="S517">
        <v>2.81</v>
      </c>
      <c r="T517">
        <v>8.73</v>
      </c>
      <c r="U517">
        <v>3.11</v>
      </c>
      <c r="V517">
        <v>3.11</v>
      </c>
      <c r="W517">
        <v>100</v>
      </c>
      <c r="Y517">
        <v>48</v>
      </c>
      <c r="Z517">
        <v>1.2</v>
      </c>
      <c r="AA517">
        <v>0</v>
      </c>
      <c r="AB517" s="3">
        <v>0.35833333333333334</v>
      </c>
      <c r="AC517">
        <v>4.0999999999999996</v>
      </c>
      <c r="AD517">
        <v>1.6</v>
      </c>
    </row>
    <row r="518" spans="1:30" x14ac:dyDescent="0.2">
      <c r="A518" t="s">
        <v>880</v>
      </c>
      <c r="C518">
        <v>0</v>
      </c>
      <c r="D518" t="s">
        <v>17</v>
      </c>
      <c r="E518">
        <v>4300</v>
      </c>
      <c r="F518" t="s">
        <v>777</v>
      </c>
      <c r="G518" t="s">
        <v>778</v>
      </c>
      <c r="H518" s="2">
        <v>0.79166666666666663</v>
      </c>
      <c r="I518" t="s">
        <v>762</v>
      </c>
      <c r="J518" s="1">
        <v>0.46400000000000002</v>
      </c>
      <c r="K518">
        <v>-86.5</v>
      </c>
      <c r="L518">
        <v>6</v>
      </c>
      <c r="M518">
        <v>3.19</v>
      </c>
      <c r="N518">
        <v>3</v>
      </c>
      <c r="Q518" s="3">
        <v>0.96388888888888891</v>
      </c>
      <c r="R518">
        <v>7.7</v>
      </c>
      <c r="S518">
        <v>5.63</v>
      </c>
      <c r="T518">
        <v>0</v>
      </c>
      <c r="U518">
        <v>0</v>
      </c>
      <c r="V518">
        <v>0</v>
      </c>
      <c r="W518">
        <v>100</v>
      </c>
      <c r="Y518">
        <v>63</v>
      </c>
      <c r="Z518">
        <v>0</v>
      </c>
      <c r="AA518">
        <v>0</v>
      </c>
    </row>
    <row r="519" spans="1:30" x14ac:dyDescent="0.2">
      <c r="A519" t="s">
        <v>702</v>
      </c>
      <c r="C519">
        <v>0</v>
      </c>
      <c r="D519" t="s">
        <v>5</v>
      </c>
      <c r="E519">
        <v>2500</v>
      </c>
      <c r="F519" t="s">
        <v>493</v>
      </c>
      <c r="G519" t="s">
        <v>789</v>
      </c>
      <c r="H519" s="2">
        <v>0.83333333333333337</v>
      </c>
      <c r="I519" t="s">
        <v>762</v>
      </c>
      <c r="J519" s="1">
        <v>0.48699999999999999</v>
      </c>
      <c r="K519">
        <v>-95</v>
      </c>
      <c r="L519">
        <v>5.5</v>
      </c>
      <c r="M519">
        <v>2.75</v>
      </c>
      <c r="N519">
        <v>2.54</v>
      </c>
      <c r="O519">
        <v>4</v>
      </c>
      <c r="Q519" s="3">
        <v>0.35833333333333334</v>
      </c>
      <c r="R519">
        <v>2.8</v>
      </c>
      <c r="S519">
        <v>3.64</v>
      </c>
      <c r="T519">
        <v>10.039999999999999</v>
      </c>
      <c r="U519">
        <v>2.76</v>
      </c>
      <c r="V519">
        <v>2.76</v>
      </c>
      <c r="W519">
        <v>100</v>
      </c>
      <c r="Y519">
        <v>35</v>
      </c>
      <c r="Z519">
        <v>1.1000000000000001</v>
      </c>
      <c r="AA519">
        <v>0</v>
      </c>
      <c r="AB519" s="3">
        <v>0.34791666666666665</v>
      </c>
      <c r="AC519">
        <v>6.5</v>
      </c>
      <c r="AD519">
        <v>2.6</v>
      </c>
    </row>
    <row r="520" spans="1:30" x14ac:dyDescent="0.2">
      <c r="A520" t="s">
        <v>594</v>
      </c>
      <c r="C520">
        <v>0</v>
      </c>
      <c r="D520" t="s">
        <v>17</v>
      </c>
      <c r="E520">
        <v>2500</v>
      </c>
      <c r="F520" t="s">
        <v>496</v>
      </c>
      <c r="G520" t="s">
        <v>787</v>
      </c>
      <c r="H520" s="2">
        <v>0.79166666666666663</v>
      </c>
      <c r="I520" t="s">
        <v>766</v>
      </c>
      <c r="J520" s="1">
        <v>0.48199999999999998</v>
      </c>
      <c r="K520">
        <v>107.5</v>
      </c>
      <c r="L520">
        <v>5.5</v>
      </c>
      <c r="M520">
        <v>2.75</v>
      </c>
      <c r="N520">
        <v>3.2</v>
      </c>
      <c r="O520">
        <v>3</v>
      </c>
      <c r="Q520" s="3">
        <v>0.58611111111111114</v>
      </c>
      <c r="R520">
        <v>4.2</v>
      </c>
      <c r="S520">
        <v>3.74</v>
      </c>
      <c r="T520">
        <v>12.01</v>
      </c>
      <c r="U520">
        <v>4.53</v>
      </c>
      <c r="V520">
        <v>4.53</v>
      </c>
      <c r="W520">
        <v>100</v>
      </c>
      <c r="Y520">
        <v>55</v>
      </c>
      <c r="Z520">
        <v>1.8</v>
      </c>
      <c r="AA520">
        <v>0</v>
      </c>
      <c r="AB520" s="3">
        <v>0.49166666666666664</v>
      </c>
      <c r="AC520">
        <v>2.6</v>
      </c>
      <c r="AD520">
        <v>1</v>
      </c>
    </row>
    <row r="521" spans="1:30" x14ac:dyDescent="0.2">
      <c r="A521" t="s">
        <v>824</v>
      </c>
      <c r="C521">
        <v>0</v>
      </c>
      <c r="D521" t="s">
        <v>7</v>
      </c>
      <c r="E521">
        <v>8100</v>
      </c>
      <c r="F521" t="s">
        <v>478</v>
      </c>
      <c r="G521" t="s">
        <v>763</v>
      </c>
      <c r="H521" s="2">
        <v>0.79166666666666663</v>
      </c>
      <c r="I521" t="s">
        <v>762</v>
      </c>
      <c r="J521" s="1">
        <v>0.44900000000000001</v>
      </c>
      <c r="K521">
        <v>-81.5</v>
      </c>
      <c r="L521">
        <v>6.5</v>
      </c>
      <c r="M521">
        <v>3.25</v>
      </c>
      <c r="N521">
        <v>3.17</v>
      </c>
      <c r="O521" t="s">
        <v>818</v>
      </c>
      <c r="Q521" s="4">
        <v>2.4222222222222221</v>
      </c>
      <c r="R521">
        <v>13.8</v>
      </c>
      <c r="S521">
        <v>10.66</v>
      </c>
      <c r="T521">
        <v>0</v>
      </c>
      <c r="U521">
        <v>0</v>
      </c>
      <c r="V521">
        <v>0</v>
      </c>
      <c r="W521">
        <v>100</v>
      </c>
      <c r="Y521">
        <v>61</v>
      </c>
      <c r="Z521">
        <v>0</v>
      </c>
      <c r="AA521">
        <v>0</v>
      </c>
      <c r="AB521" s="3">
        <v>0</v>
      </c>
      <c r="AC521">
        <v>0</v>
      </c>
    </row>
    <row r="522" spans="1:30" x14ac:dyDescent="0.2">
      <c r="A522" t="s">
        <v>1015</v>
      </c>
      <c r="C522">
        <v>0</v>
      </c>
      <c r="D522" t="s">
        <v>10</v>
      </c>
      <c r="E522">
        <v>2500</v>
      </c>
      <c r="F522" t="s">
        <v>510</v>
      </c>
      <c r="G522" t="s">
        <v>802</v>
      </c>
      <c r="H522" s="2">
        <v>0.91666666666666663</v>
      </c>
      <c r="I522" t="s">
        <v>766</v>
      </c>
      <c r="J522" s="1">
        <v>0.51200000000000001</v>
      </c>
      <c r="K522">
        <v>95.5</v>
      </c>
      <c r="L522">
        <v>6.5</v>
      </c>
      <c r="M522">
        <v>3.01</v>
      </c>
      <c r="N522">
        <v>3.25</v>
      </c>
      <c r="Q522" s="3">
        <v>0.42430555555555555</v>
      </c>
      <c r="R522">
        <v>5</v>
      </c>
      <c r="S522">
        <v>5.01</v>
      </c>
      <c r="T522">
        <v>0</v>
      </c>
      <c r="U522">
        <v>0</v>
      </c>
      <c r="V522">
        <v>0</v>
      </c>
      <c r="W522">
        <v>100</v>
      </c>
      <c r="Y522">
        <v>50</v>
      </c>
      <c r="Z522">
        <v>0</v>
      </c>
      <c r="AA522">
        <v>0</v>
      </c>
    </row>
    <row r="523" spans="1:30" x14ac:dyDescent="0.2">
      <c r="A523" t="s">
        <v>800</v>
      </c>
      <c r="C523">
        <v>0</v>
      </c>
      <c r="D523" t="s">
        <v>17</v>
      </c>
      <c r="E523">
        <v>5400</v>
      </c>
      <c r="F523" t="s">
        <v>502</v>
      </c>
      <c r="G523" t="s">
        <v>798</v>
      </c>
      <c r="H523" s="2">
        <v>0.83333333333333337</v>
      </c>
      <c r="I523" t="s">
        <v>766</v>
      </c>
      <c r="J523" s="1">
        <v>0.48699999999999999</v>
      </c>
      <c r="K523">
        <v>105.5</v>
      </c>
      <c r="L523">
        <v>6</v>
      </c>
      <c r="M523">
        <v>3</v>
      </c>
      <c r="N523">
        <v>3.46</v>
      </c>
      <c r="O523">
        <v>1</v>
      </c>
      <c r="P523">
        <v>1</v>
      </c>
      <c r="Q523" s="3">
        <v>0.97083333333333333</v>
      </c>
      <c r="R523">
        <v>9.4</v>
      </c>
      <c r="S523">
        <v>6.17</v>
      </c>
      <c r="T523">
        <v>24.6</v>
      </c>
      <c r="U523">
        <v>12.26</v>
      </c>
      <c r="V523">
        <v>12.26</v>
      </c>
      <c r="W523">
        <v>100</v>
      </c>
      <c r="Y523">
        <v>67</v>
      </c>
      <c r="Z523">
        <v>2.2999999999999998</v>
      </c>
      <c r="AA523">
        <v>0</v>
      </c>
      <c r="AB523" s="3">
        <v>0.83472222222222225</v>
      </c>
      <c r="AC523">
        <v>13.6</v>
      </c>
      <c r="AD523">
        <v>2.5</v>
      </c>
    </row>
    <row r="524" spans="1:30" x14ac:dyDescent="0.2">
      <c r="A524" t="s">
        <v>267</v>
      </c>
      <c r="C524">
        <v>0</v>
      </c>
      <c r="D524" t="s">
        <v>10</v>
      </c>
      <c r="E524">
        <v>2700</v>
      </c>
      <c r="F524" t="s">
        <v>493</v>
      </c>
      <c r="G524" t="s">
        <v>789</v>
      </c>
      <c r="H524" s="2">
        <v>0.83333333333333337</v>
      </c>
      <c r="I524" t="s">
        <v>762</v>
      </c>
      <c r="J524" s="1">
        <v>0.48699999999999999</v>
      </c>
      <c r="K524">
        <v>-95</v>
      </c>
      <c r="L524">
        <v>5.5</v>
      </c>
      <c r="M524">
        <v>2.75</v>
      </c>
      <c r="N524">
        <v>2.54</v>
      </c>
      <c r="O524">
        <v>2</v>
      </c>
      <c r="P524">
        <v>2</v>
      </c>
      <c r="Q524" s="3">
        <v>0.6</v>
      </c>
      <c r="R524">
        <v>7</v>
      </c>
      <c r="S524">
        <v>6.14</v>
      </c>
      <c r="T524">
        <v>19.03</v>
      </c>
      <c r="U524">
        <v>6.75</v>
      </c>
      <c r="V524">
        <v>6.75</v>
      </c>
      <c r="W524">
        <v>100</v>
      </c>
      <c r="Y524">
        <v>56</v>
      </c>
      <c r="Z524">
        <v>2.5</v>
      </c>
      <c r="AA524">
        <v>0</v>
      </c>
      <c r="AB524" s="3">
        <v>0.64583333333333337</v>
      </c>
      <c r="AC524">
        <v>4.3</v>
      </c>
      <c r="AD524">
        <v>1.6</v>
      </c>
    </row>
    <row r="525" spans="1:30" x14ac:dyDescent="0.2">
      <c r="A525" t="s">
        <v>14</v>
      </c>
      <c r="C525">
        <v>0</v>
      </c>
      <c r="D525" t="s">
        <v>5</v>
      </c>
      <c r="E525">
        <v>9800</v>
      </c>
      <c r="F525" t="s">
        <v>764</v>
      </c>
      <c r="G525" t="s">
        <v>765</v>
      </c>
      <c r="H525" s="2">
        <v>0.875</v>
      </c>
      <c r="I525" t="s">
        <v>766</v>
      </c>
      <c r="J525" s="1">
        <v>0.47099999999999997</v>
      </c>
      <c r="K525">
        <v>112.5</v>
      </c>
      <c r="L525">
        <v>7</v>
      </c>
      <c r="M525">
        <v>3.5</v>
      </c>
      <c r="N525">
        <v>4.05</v>
      </c>
      <c r="O525">
        <v>1</v>
      </c>
      <c r="P525">
        <v>1</v>
      </c>
      <c r="Q525" s="3">
        <v>0.87847222222222221</v>
      </c>
      <c r="R525">
        <v>17.100000000000001</v>
      </c>
      <c r="S525">
        <v>11.72</v>
      </c>
      <c r="T525">
        <v>47.16</v>
      </c>
      <c r="U525">
        <v>23.72</v>
      </c>
      <c r="V525">
        <v>23.72</v>
      </c>
      <c r="W525">
        <v>100</v>
      </c>
      <c r="Y525">
        <v>66</v>
      </c>
      <c r="Z525">
        <v>2.4</v>
      </c>
      <c r="AA525">
        <v>0</v>
      </c>
      <c r="AB525" s="3">
        <v>0.9506944444444444</v>
      </c>
      <c r="AC525">
        <v>6.5</v>
      </c>
      <c r="AD525">
        <v>0.7</v>
      </c>
    </row>
    <row r="526" spans="1:30" x14ac:dyDescent="0.2">
      <c r="A526" t="s">
        <v>313</v>
      </c>
      <c r="C526">
        <v>0</v>
      </c>
      <c r="D526" t="s">
        <v>10</v>
      </c>
      <c r="E526">
        <v>2900</v>
      </c>
      <c r="F526" t="s">
        <v>485</v>
      </c>
      <c r="G526" t="s">
        <v>767</v>
      </c>
      <c r="H526" s="2">
        <v>0.79166666666666663</v>
      </c>
      <c r="I526" t="s">
        <v>762</v>
      </c>
      <c r="J526" s="1">
        <v>0.48099999999999998</v>
      </c>
      <c r="K526">
        <v>-92.5</v>
      </c>
      <c r="L526">
        <v>6.5</v>
      </c>
      <c r="M526">
        <v>3.62</v>
      </c>
      <c r="N526">
        <v>3.25</v>
      </c>
      <c r="O526">
        <v>3</v>
      </c>
      <c r="Q526" s="3">
        <v>0.59097222222222223</v>
      </c>
      <c r="R526">
        <v>5.3</v>
      </c>
      <c r="S526">
        <v>7.84</v>
      </c>
      <c r="T526">
        <v>24.2</v>
      </c>
      <c r="U526">
        <v>8.52</v>
      </c>
      <c r="V526">
        <v>8.52</v>
      </c>
      <c r="W526">
        <v>100</v>
      </c>
      <c r="Y526">
        <v>26</v>
      </c>
      <c r="Z526">
        <v>2.9</v>
      </c>
      <c r="AA526">
        <v>0</v>
      </c>
      <c r="AB526" s="3">
        <v>0.52569444444444446</v>
      </c>
      <c r="AC526">
        <v>11.5</v>
      </c>
      <c r="AD526">
        <v>4</v>
      </c>
    </row>
    <row r="527" spans="1:30" x14ac:dyDescent="0.2">
      <c r="A527" t="s">
        <v>639</v>
      </c>
      <c r="C527">
        <v>0</v>
      </c>
      <c r="D527" t="s">
        <v>10</v>
      </c>
      <c r="E527">
        <v>2500</v>
      </c>
      <c r="F527" t="s">
        <v>494</v>
      </c>
      <c r="G527" t="s">
        <v>782</v>
      </c>
      <c r="H527" s="2">
        <v>0.79166666666666663</v>
      </c>
      <c r="I527" t="s">
        <v>762</v>
      </c>
      <c r="J527" s="1">
        <v>0.47199999999999998</v>
      </c>
      <c r="K527">
        <v>-89.5</v>
      </c>
      <c r="L527">
        <v>6</v>
      </c>
      <c r="M527">
        <v>3</v>
      </c>
      <c r="N527">
        <v>2.82</v>
      </c>
      <c r="O527">
        <v>4</v>
      </c>
      <c r="Q527" s="3">
        <v>0.43402777777777779</v>
      </c>
      <c r="R527">
        <v>3.5</v>
      </c>
      <c r="S527">
        <v>2.5499999999999998</v>
      </c>
      <c r="T527">
        <v>9.32</v>
      </c>
      <c r="U527">
        <v>4.22</v>
      </c>
      <c r="V527">
        <v>4.22</v>
      </c>
      <c r="W527">
        <v>100</v>
      </c>
      <c r="Y527">
        <v>64</v>
      </c>
      <c r="Z527">
        <v>1.7</v>
      </c>
      <c r="AA527">
        <v>0</v>
      </c>
      <c r="AB527" s="3">
        <v>0.3972222222222222</v>
      </c>
      <c r="AC527">
        <v>2.8</v>
      </c>
      <c r="AD527">
        <v>1.1000000000000001</v>
      </c>
    </row>
    <row r="528" spans="1:30" x14ac:dyDescent="0.2">
      <c r="A528" t="s">
        <v>948</v>
      </c>
      <c r="C528">
        <v>0</v>
      </c>
      <c r="D528" t="s">
        <v>5</v>
      </c>
      <c r="E528">
        <v>2500</v>
      </c>
      <c r="F528" t="s">
        <v>777</v>
      </c>
      <c r="G528" t="s">
        <v>778</v>
      </c>
      <c r="H528" s="2">
        <v>0.79166666666666663</v>
      </c>
      <c r="I528" t="s">
        <v>762</v>
      </c>
      <c r="J528" s="1">
        <v>0.46400000000000002</v>
      </c>
      <c r="K528">
        <v>-86.5</v>
      </c>
      <c r="L528">
        <v>6</v>
      </c>
      <c r="M528">
        <v>3.19</v>
      </c>
      <c r="N528">
        <v>3</v>
      </c>
      <c r="T528">
        <v>0</v>
      </c>
      <c r="U528">
        <v>0</v>
      </c>
      <c r="V528">
        <v>0</v>
      </c>
      <c r="W528">
        <v>100</v>
      </c>
      <c r="Y528">
        <v>0</v>
      </c>
      <c r="Z528">
        <v>0</v>
      </c>
      <c r="AA528">
        <v>0</v>
      </c>
    </row>
    <row r="529" spans="1:30" x14ac:dyDescent="0.2">
      <c r="A529" t="s">
        <v>86</v>
      </c>
      <c r="C529">
        <v>0</v>
      </c>
      <c r="D529" t="s">
        <v>10</v>
      </c>
      <c r="E529">
        <v>3100</v>
      </c>
      <c r="F529" t="s">
        <v>492</v>
      </c>
      <c r="G529" t="s">
        <v>774</v>
      </c>
      <c r="H529" s="2">
        <v>0.8125</v>
      </c>
      <c r="I529" t="s">
        <v>762</v>
      </c>
      <c r="J529" s="1">
        <v>0.44</v>
      </c>
      <c r="K529">
        <v>-78.5</v>
      </c>
      <c r="L529">
        <v>6.5</v>
      </c>
      <c r="M529">
        <v>3.43</v>
      </c>
      <c r="N529">
        <v>3.25</v>
      </c>
      <c r="O529">
        <v>1</v>
      </c>
      <c r="P529">
        <v>2</v>
      </c>
      <c r="Q529" s="3">
        <v>0.56736111111111109</v>
      </c>
      <c r="R529">
        <v>5</v>
      </c>
      <c r="S529">
        <v>5.41</v>
      </c>
      <c r="T529">
        <v>17.190000000000001</v>
      </c>
      <c r="U529">
        <v>6.37</v>
      </c>
      <c r="V529">
        <v>6.37</v>
      </c>
      <c r="W529">
        <v>100</v>
      </c>
      <c r="Y529">
        <v>46</v>
      </c>
      <c r="Z529">
        <v>2.1</v>
      </c>
      <c r="AA529">
        <v>0</v>
      </c>
      <c r="AB529" s="3">
        <v>0.66388888888888886</v>
      </c>
      <c r="AC529">
        <v>3</v>
      </c>
      <c r="AD529">
        <v>1</v>
      </c>
    </row>
    <row r="530" spans="1:30" x14ac:dyDescent="0.2">
      <c r="A530" t="s">
        <v>878</v>
      </c>
      <c r="C530">
        <v>0</v>
      </c>
      <c r="D530" t="s">
        <v>5</v>
      </c>
      <c r="E530">
        <v>4600</v>
      </c>
      <c r="F530" t="s">
        <v>510</v>
      </c>
      <c r="G530" t="s">
        <v>802</v>
      </c>
      <c r="H530" s="2">
        <v>0.91666666666666663</v>
      </c>
      <c r="I530" t="s">
        <v>766</v>
      </c>
      <c r="J530" s="1">
        <v>0.51200000000000001</v>
      </c>
      <c r="K530">
        <v>95.5</v>
      </c>
      <c r="L530">
        <v>6.5</v>
      </c>
      <c r="M530">
        <v>3.01</v>
      </c>
      <c r="N530">
        <v>3.25</v>
      </c>
      <c r="Q530" s="3">
        <v>0.75972222222222219</v>
      </c>
      <c r="R530">
        <v>6.9</v>
      </c>
      <c r="S530">
        <v>5.19</v>
      </c>
      <c r="T530">
        <v>0</v>
      </c>
      <c r="U530">
        <v>0</v>
      </c>
      <c r="V530">
        <v>0</v>
      </c>
      <c r="W530">
        <v>100</v>
      </c>
      <c r="Y530">
        <v>62</v>
      </c>
      <c r="Z530">
        <v>0</v>
      </c>
      <c r="AA530">
        <v>0</v>
      </c>
    </row>
    <row r="531" spans="1:30" x14ac:dyDescent="0.2">
      <c r="A531" t="s">
        <v>329</v>
      </c>
      <c r="C531">
        <v>0</v>
      </c>
      <c r="D531" t="s">
        <v>10</v>
      </c>
      <c r="E531">
        <v>2600</v>
      </c>
      <c r="F531" t="s">
        <v>487</v>
      </c>
      <c r="G531" t="s">
        <v>770</v>
      </c>
      <c r="H531" s="2">
        <v>0.83333333333333337</v>
      </c>
      <c r="I531" t="s">
        <v>762</v>
      </c>
      <c r="J531" s="1">
        <v>0.51300000000000001</v>
      </c>
      <c r="K531">
        <v>-105.5</v>
      </c>
      <c r="L531">
        <v>6</v>
      </c>
      <c r="M531">
        <v>3.46</v>
      </c>
      <c r="N531">
        <v>3</v>
      </c>
      <c r="O531">
        <v>3</v>
      </c>
      <c r="Q531" s="3">
        <v>0.54583333333333328</v>
      </c>
      <c r="R531">
        <v>4.7</v>
      </c>
      <c r="S531">
        <v>6.02</v>
      </c>
      <c r="T531">
        <v>19.440000000000001</v>
      </c>
      <c r="U531">
        <v>7.4</v>
      </c>
      <c r="V531">
        <v>7.4</v>
      </c>
      <c r="W531">
        <v>100</v>
      </c>
      <c r="Y531">
        <v>36</v>
      </c>
      <c r="Z531">
        <v>2.8</v>
      </c>
      <c r="AA531">
        <v>0</v>
      </c>
      <c r="AB531" s="3">
        <v>0.35694444444444445</v>
      </c>
      <c r="AC531">
        <v>3</v>
      </c>
      <c r="AD531">
        <v>1.2</v>
      </c>
    </row>
    <row r="532" spans="1:30" x14ac:dyDescent="0.2">
      <c r="A532" t="s">
        <v>854</v>
      </c>
      <c r="C532">
        <v>0</v>
      </c>
      <c r="D532" t="s">
        <v>7</v>
      </c>
      <c r="E532">
        <v>6500</v>
      </c>
      <c r="F532" t="s">
        <v>494</v>
      </c>
      <c r="G532" t="s">
        <v>782</v>
      </c>
      <c r="H532" s="2">
        <v>0.79166666666666663</v>
      </c>
      <c r="I532" t="s">
        <v>762</v>
      </c>
      <c r="J532" s="1">
        <v>0.47199999999999998</v>
      </c>
      <c r="K532">
        <v>-89.5</v>
      </c>
      <c r="L532">
        <v>6</v>
      </c>
      <c r="M532">
        <v>3</v>
      </c>
      <c r="N532">
        <v>2.82</v>
      </c>
      <c r="O532" t="s">
        <v>818</v>
      </c>
      <c r="Q532" s="3">
        <v>0.56180555555555556</v>
      </c>
      <c r="R532">
        <v>-3.5</v>
      </c>
      <c r="S532">
        <v>0</v>
      </c>
      <c r="T532">
        <v>0</v>
      </c>
      <c r="U532">
        <v>0</v>
      </c>
      <c r="V532">
        <v>0</v>
      </c>
      <c r="W532">
        <v>100</v>
      </c>
      <c r="Y532">
        <v>0</v>
      </c>
      <c r="Z532">
        <v>0</v>
      </c>
      <c r="AA532">
        <v>0</v>
      </c>
    </row>
    <row r="533" spans="1:30" x14ac:dyDescent="0.2">
      <c r="A533" t="s">
        <v>183</v>
      </c>
      <c r="C533">
        <v>0</v>
      </c>
      <c r="D533" t="s">
        <v>10</v>
      </c>
      <c r="E533">
        <v>2900</v>
      </c>
      <c r="F533" t="s">
        <v>487</v>
      </c>
      <c r="G533" t="s">
        <v>770</v>
      </c>
      <c r="H533" s="2">
        <v>0.83333333333333337</v>
      </c>
      <c r="I533" t="s">
        <v>762</v>
      </c>
      <c r="J533" s="1">
        <v>0.51300000000000001</v>
      </c>
      <c r="K533">
        <v>-105.5</v>
      </c>
      <c r="L533">
        <v>6</v>
      </c>
      <c r="M533">
        <v>3.46</v>
      </c>
      <c r="N533">
        <v>3</v>
      </c>
      <c r="O533">
        <v>2</v>
      </c>
      <c r="P533">
        <v>2</v>
      </c>
      <c r="Q533" s="3">
        <v>0.66111111111111109</v>
      </c>
      <c r="R533">
        <v>7</v>
      </c>
      <c r="S533">
        <v>6</v>
      </c>
      <c r="T533">
        <v>20.38</v>
      </c>
      <c r="U533">
        <v>8.3800000000000008</v>
      </c>
      <c r="V533">
        <v>8.3800000000000008</v>
      </c>
      <c r="W533">
        <v>100</v>
      </c>
      <c r="Y533">
        <v>57</v>
      </c>
      <c r="Z533">
        <v>2.9</v>
      </c>
      <c r="AA533">
        <v>0</v>
      </c>
      <c r="AB533" s="3">
        <v>0.57916666666666672</v>
      </c>
      <c r="AC533">
        <v>1.5</v>
      </c>
      <c r="AD533">
        <v>0.5</v>
      </c>
    </row>
    <row r="534" spans="1:30" x14ac:dyDescent="0.2">
      <c r="A534" t="s">
        <v>342</v>
      </c>
      <c r="C534">
        <v>0</v>
      </c>
      <c r="D534" t="s">
        <v>17</v>
      </c>
      <c r="E534">
        <v>3000</v>
      </c>
      <c r="F534" t="s">
        <v>510</v>
      </c>
      <c r="G534" t="s">
        <v>802</v>
      </c>
      <c r="H534" s="2">
        <v>0.91666666666666663</v>
      </c>
      <c r="I534" t="s">
        <v>766</v>
      </c>
      <c r="J534" s="1">
        <v>0.51200000000000001</v>
      </c>
      <c r="K534">
        <v>95.5</v>
      </c>
      <c r="L534">
        <v>6.5</v>
      </c>
      <c r="M534">
        <v>3.01</v>
      </c>
      <c r="N534">
        <v>3.25</v>
      </c>
      <c r="O534">
        <v>2</v>
      </c>
      <c r="Q534" s="3">
        <v>0.87847222222222221</v>
      </c>
      <c r="R534">
        <v>5</v>
      </c>
      <c r="S534">
        <v>3.89</v>
      </c>
      <c r="T534">
        <v>13.88</v>
      </c>
      <c r="U534">
        <v>6.1</v>
      </c>
      <c r="V534">
        <v>6.1</v>
      </c>
      <c r="W534">
        <v>100</v>
      </c>
      <c r="Y534">
        <v>61</v>
      </c>
      <c r="Z534">
        <v>2</v>
      </c>
      <c r="AA534">
        <v>0</v>
      </c>
      <c r="AB534" s="3">
        <v>0.99930555555555556</v>
      </c>
      <c r="AC534">
        <v>1.3</v>
      </c>
      <c r="AD534">
        <v>0.4</v>
      </c>
    </row>
    <row r="535" spans="1:30" x14ac:dyDescent="0.2">
      <c r="A535" t="s">
        <v>174</v>
      </c>
      <c r="C535">
        <v>0</v>
      </c>
      <c r="D535" t="s">
        <v>17</v>
      </c>
      <c r="E535">
        <v>2800</v>
      </c>
      <c r="F535" t="s">
        <v>764</v>
      </c>
      <c r="G535" t="s">
        <v>765</v>
      </c>
      <c r="H535" s="2">
        <v>0.875</v>
      </c>
      <c r="I535" t="s">
        <v>766</v>
      </c>
      <c r="J535" s="1">
        <v>0.47099999999999997</v>
      </c>
      <c r="K535">
        <v>112.5</v>
      </c>
      <c r="L535">
        <v>7</v>
      </c>
      <c r="M535">
        <v>3.5</v>
      </c>
      <c r="N535">
        <v>4.05</v>
      </c>
      <c r="O535">
        <v>2</v>
      </c>
      <c r="Q535" s="3">
        <v>0.86736111111111114</v>
      </c>
      <c r="R535">
        <v>6.7</v>
      </c>
      <c r="S535">
        <v>5</v>
      </c>
      <c r="T535">
        <v>18.18</v>
      </c>
      <c r="U535">
        <v>8.18</v>
      </c>
      <c r="V535">
        <v>8.18</v>
      </c>
      <c r="W535">
        <v>100</v>
      </c>
      <c r="Y535">
        <v>63</v>
      </c>
      <c r="Z535">
        <v>2.9</v>
      </c>
      <c r="AA535">
        <v>0</v>
      </c>
      <c r="AB535" s="3">
        <v>0.99097222222222225</v>
      </c>
      <c r="AC535">
        <v>1.3</v>
      </c>
      <c r="AD535">
        <v>0.5</v>
      </c>
    </row>
    <row r="536" spans="1:30" x14ac:dyDescent="0.2">
      <c r="A536" t="s">
        <v>617</v>
      </c>
      <c r="C536">
        <v>0</v>
      </c>
      <c r="D536" t="s">
        <v>5</v>
      </c>
      <c r="E536">
        <v>2500</v>
      </c>
      <c r="F536" t="s">
        <v>498</v>
      </c>
      <c r="G536" t="s">
        <v>779</v>
      </c>
      <c r="H536" s="2">
        <v>0.79166666666666663</v>
      </c>
      <c r="I536" t="s">
        <v>762</v>
      </c>
      <c r="J536" s="1">
        <v>0.50600000000000001</v>
      </c>
      <c r="K536">
        <v>-102.5</v>
      </c>
      <c r="L536">
        <v>6</v>
      </c>
      <c r="M536">
        <v>3.44</v>
      </c>
      <c r="N536">
        <v>3</v>
      </c>
      <c r="O536">
        <v>4</v>
      </c>
      <c r="Q536" s="3">
        <v>0.46319444444444446</v>
      </c>
      <c r="R536">
        <v>4.2</v>
      </c>
      <c r="S536">
        <v>4.53</v>
      </c>
      <c r="T536">
        <v>14.82</v>
      </c>
      <c r="U536">
        <v>5.76</v>
      </c>
      <c r="V536">
        <v>5.76</v>
      </c>
      <c r="W536">
        <v>100</v>
      </c>
      <c r="Y536">
        <v>46</v>
      </c>
      <c r="Z536">
        <v>2.2999999999999998</v>
      </c>
      <c r="AA536">
        <v>0</v>
      </c>
      <c r="AB536" s="3">
        <v>0.44374999999999998</v>
      </c>
      <c r="AC536">
        <v>0</v>
      </c>
    </row>
    <row r="537" spans="1:30" x14ac:dyDescent="0.2">
      <c r="A537" t="s">
        <v>571</v>
      </c>
      <c r="C537">
        <v>0</v>
      </c>
      <c r="D537" t="s">
        <v>10</v>
      </c>
      <c r="E537">
        <v>2500</v>
      </c>
      <c r="F537" t="s">
        <v>485</v>
      </c>
      <c r="G537" t="s">
        <v>767</v>
      </c>
      <c r="H537" s="2">
        <v>0.79166666666666663</v>
      </c>
      <c r="I537" t="s">
        <v>762</v>
      </c>
      <c r="J537" s="1">
        <v>0.48099999999999998</v>
      </c>
      <c r="K537">
        <v>-92.5</v>
      </c>
      <c r="L537">
        <v>6.5</v>
      </c>
      <c r="M537">
        <v>3.62</v>
      </c>
      <c r="N537">
        <v>3.25</v>
      </c>
      <c r="O537">
        <v>4</v>
      </c>
      <c r="Q537" s="3">
        <v>0.55138888888888893</v>
      </c>
      <c r="R537">
        <v>5</v>
      </c>
      <c r="S537">
        <v>5.58</v>
      </c>
      <c r="T537">
        <v>16.71</v>
      </c>
      <c r="U537">
        <v>5.55</v>
      </c>
      <c r="V537">
        <v>5.55</v>
      </c>
      <c r="W537">
        <v>100</v>
      </c>
      <c r="Y537">
        <v>44</v>
      </c>
      <c r="Z537">
        <v>2.2000000000000002</v>
      </c>
      <c r="AA537">
        <v>0</v>
      </c>
      <c r="AB537" s="3">
        <v>0.59027777777777779</v>
      </c>
      <c r="AC537">
        <v>3</v>
      </c>
      <c r="AD537">
        <v>1.2</v>
      </c>
    </row>
    <row r="538" spans="1:30" x14ac:dyDescent="0.2">
      <c r="A538" t="s">
        <v>233</v>
      </c>
      <c r="C538">
        <v>0</v>
      </c>
      <c r="D538" t="s">
        <v>5</v>
      </c>
      <c r="E538">
        <v>6600</v>
      </c>
      <c r="F538" t="s">
        <v>496</v>
      </c>
      <c r="G538" t="s">
        <v>787</v>
      </c>
      <c r="H538" s="2">
        <v>0.79166666666666663</v>
      </c>
      <c r="I538" t="s">
        <v>766</v>
      </c>
      <c r="J538" s="1">
        <v>0.48199999999999998</v>
      </c>
      <c r="K538">
        <v>107.5</v>
      </c>
      <c r="L538">
        <v>5.5</v>
      </c>
      <c r="M538">
        <v>2.75</v>
      </c>
      <c r="N538">
        <v>3.2</v>
      </c>
      <c r="O538">
        <v>1</v>
      </c>
      <c r="P538">
        <v>1</v>
      </c>
      <c r="Q538" s="3">
        <v>0.87222222222222223</v>
      </c>
      <c r="R538">
        <v>12</v>
      </c>
      <c r="S538">
        <v>8.6199999999999992</v>
      </c>
      <c r="T538">
        <v>29.3</v>
      </c>
      <c r="U538">
        <v>12.06</v>
      </c>
      <c r="V538">
        <v>12.06</v>
      </c>
      <c r="W538">
        <v>100</v>
      </c>
      <c r="Y538">
        <v>64</v>
      </c>
      <c r="Z538">
        <v>1.8</v>
      </c>
      <c r="AA538">
        <v>0</v>
      </c>
      <c r="AB538" s="3">
        <v>0.88888888888888884</v>
      </c>
      <c r="AC538">
        <v>6.3</v>
      </c>
      <c r="AD538">
        <v>1</v>
      </c>
    </row>
    <row r="539" spans="1:30" x14ac:dyDescent="0.2">
      <c r="A539" t="s">
        <v>264</v>
      </c>
      <c r="C539">
        <v>0</v>
      </c>
      <c r="D539" t="s">
        <v>10</v>
      </c>
      <c r="E539">
        <v>7600</v>
      </c>
      <c r="F539" t="s">
        <v>483</v>
      </c>
      <c r="G539" t="s">
        <v>772</v>
      </c>
      <c r="H539" s="2">
        <v>0.91666666666666663</v>
      </c>
      <c r="I539" t="s">
        <v>762</v>
      </c>
      <c r="J539" s="1">
        <v>0.46500000000000002</v>
      </c>
      <c r="K539">
        <v>-87</v>
      </c>
      <c r="L539">
        <v>6</v>
      </c>
      <c r="M539">
        <v>3.14</v>
      </c>
      <c r="N539">
        <v>3</v>
      </c>
      <c r="O539">
        <v>1</v>
      </c>
      <c r="P539">
        <v>1</v>
      </c>
      <c r="Q539" s="3">
        <v>0.81180555555555556</v>
      </c>
      <c r="R539">
        <v>14.2</v>
      </c>
      <c r="S539">
        <v>9.5</v>
      </c>
      <c r="T539">
        <v>35.08</v>
      </c>
      <c r="U539">
        <v>16.079999999999998</v>
      </c>
      <c r="V539">
        <v>16.079999999999998</v>
      </c>
      <c r="W539">
        <v>100</v>
      </c>
      <c r="Y539">
        <v>67</v>
      </c>
      <c r="Z539">
        <v>2.1</v>
      </c>
      <c r="AA539">
        <v>0</v>
      </c>
      <c r="AB539" s="3">
        <v>0.83958333333333335</v>
      </c>
      <c r="AC539">
        <v>6.3</v>
      </c>
      <c r="AD539">
        <v>0.8</v>
      </c>
    </row>
    <row r="540" spans="1:30" x14ac:dyDescent="0.2">
      <c r="A540" t="s">
        <v>529</v>
      </c>
      <c r="C540">
        <v>0</v>
      </c>
      <c r="D540" t="s">
        <v>17</v>
      </c>
      <c r="E540">
        <v>2500</v>
      </c>
      <c r="F540" t="s">
        <v>494</v>
      </c>
      <c r="G540" t="s">
        <v>782</v>
      </c>
      <c r="H540" s="2">
        <v>0.79166666666666663</v>
      </c>
      <c r="I540" t="s">
        <v>762</v>
      </c>
      <c r="J540" s="1">
        <v>0.47199999999999998</v>
      </c>
      <c r="K540">
        <v>-89.5</v>
      </c>
      <c r="L540">
        <v>6</v>
      </c>
      <c r="M540">
        <v>3</v>
      </c>
      <c r="N540">
        <v>2.82</v>
      </c>
      <c r="Q540" s="3">
        <v>0.4777777777777778</v>
      </c>
      <c r="R540">
        <v>4</v>
      </c>
      <c r="S540">
        <v>3.07</v>
      </c>
      <c r="T540">
        <v>0</v>
      </c>
      <c r="U540">
        <v>0</v>
      </c>
      <c r="V540">
        <v>0</v>
      </c>
      <c r="W540">
        <v>100</v>
      </c>
      <c r="Y540">
        <v>62</v>
      </c>
      <c r="Z540">
        <v>0</v>
      </c>
      <c r="AA540">
        <v>0</v>
      </c>
    </row>
    <row r="541" spans="1:30" x14ac:dyDescent="0.2">
      <c r="A541" t="s">
        <v>306</v>
      </c>
      <c r="C541">
        <v>0</v>
      </c>
      <c r="D541" t="s">
        <v>17</v>
      </c>
      <c r="E541">
        <v>3100</v>
      </c>
      <c r="F541" t="s">
        <v>500</v>
      </c>
      <c r="G541" t="s">
        <v>785</v>
      </c>
      <c r="H541" s="2">
        <v>0.8125</v>
      </c>
      <c r="I541" t="s">
        <v>766</v>
      </c>
      <c r="J541" s="1">
        <v>0.56000000000000005</v>
      </c>
      <c r="K541">
        <v>78.5</v>
      </c>
      <c r="L541">
        <v>6.5</v>
      </c>
      <c r="M541">
        <v>3.25</v>
      </c>
      <c r="N541">
        <v>3.43</v>
      </c>
      <c r="O541">
        <v>2</v>
      </c>
      <c r="Q541" s="3">
        <v>0.79583333333333328</v>
      </c>
      <c r="R541">
        <v>7.2</v>
      </c>
      <c r="S541">
        <v>5.21</v>
      </c>
      <c r="T541">
        <v>19.25</v>
      </c>
      <c r="U541">
        <v>8.83</v>
      </c>
      <c r="V541">
        <v>8.83</v>
      </c>
      <c r="W541">
        <v>100</v>
      </c>
      <c r="Y541">
        <v>64</v>
      </c>
      <c r="Z541">
        <v>2.8</v>
      </c>
      <c r="AA541">
        <v>0</v>
      </c>
      <c r="AB541" s="3">
        <v>0.90208333333333335</v>
      </c>
      <c r="AC541">
        <v>9.6999999999999993</v>
      </c>
      <c r="AD541">
        <v>3.1</v>
      </c>
    </row>
    <row r="542" spans="1:30" x14ac:dyDescent="0.2">
      <c r="A542" t="s">
        <v>92</v>
      </c>
      <c r="C542">
        <v>0</v>
      </c>
      <c r="D542" t="s">
        <v>10</v>
      </c>
      <c r="E542">
        <v>7000</v>
      </c>
      <c r="F542" t="s">
        <v>478</v>
      </c>
      <c r="G542" t="s">
        <v>763</v>
      </c>
      <c r="H542" s="2">
        <v>0.79166666666666663</v>
      </c>
      <c r="I542" t="s">
        <v>762</v>
      </c>
      <c r="J542" s="1">
        <v>0.44900000000000001</v>
      </c>
      <c r="K542">
        <v>-81.5</v>
      </c>
      <c r="L542">
        <v>6.5</v>
      </c>
      <c r="M542">
        <v>3.25</v>
      </c>
      <c r="N542">
        <v>3.17</v>
      </c>
      <c r="O542">
        <v>1</v>
      </c>
      <c r="P542">
        <v>1</v>
      </c>
      <c r="Q542" s="3">
        <v>0.87361111111111112</v>
      </c>
      <c r="R542">
        <v>11.9</v>
      </c>
      <c r="S542">
        <v>8.49</v>
      </c>
      <c r="T542">
        <v>30.67</v>
      </c>
      <c r="U542">
        <v>13.69</v>
      </c>
      <c r="V542">
        <v>13.69</v>
      </c>
      <c r="W542">
        <v>100</v>
      </c>
      <c r="Y542">
        <v>64</v>
      </c>
      <c r="Z542">
        <v>2</v>
      </c>
      <c r="AA542">
        <v>0</v>
      </c>
      <c r="AB542" s="3">
        <v>0.87291666666666667</v>
      </c>
      <c r="AC542">
        <v>4.5</v>
      </c>
      <c r="AD542">
        <v>0.6</v>
      </c>
    </row>
    <row r="543" spans="1:30" x14ac:dyDescent="0.2">
      <c r="A543" t="s">
        <v>813</v>
      </c>
      <c r="C543">
        <v>0</v>
      </c>
      <c r="D543" t="s">
        <v>10</v>
      </c>
      <c r="E543">
        <v>2800</v>
      </c>
      <c r="F543" t="s">
        <v>502</v>
      </c>
      <c r="G543" t="s">
        <v>798</v>
      </c>
      <c r="H543" s="2">
        <v>0.83333333333333337</v>
      </c>
      <c r="I543" t="s">
        <v>766</v>
      </c>
      <c r="J543" s="1">
        <v>0.48699999999999999</v>
      </c>
      <c r="K543">
        <v>105.5</v>
      </c>
      <c r="L543">
        <v>6</v>
      </c>
      <c r="M543">
        <v>3</v>
      </c>
      <c r="N543">
        <v>3.46</v>
      </c>
      <c r="O543">
        <v>2</v>
      </c>
      <c r="Q543" s="3">
        <v>0.46736111111111112</v>
      </c>
      <c r="R543">
        <v>3.7</v>
      </c>
      <c r="S543">
        <v>1.74</v>
      </c>
      <c r="T543">
        <v>7.78</v>
      </c>
      <c r="U543">
        <v>4.3</v>
      </c>
      <c r="V543">
        <v>4.3</v>
      </c>
      <c r="W543">
        <v>100</v>
      </c>
      <c r="Y543">
        <v>76</v>
      </c>
      <c r="Z543">
        <v>1.5</v>
      </c>
      <c r="AA543">
        <v>0</v>
      </c>
      <c r="AB543" s="3">
        <v>0.52500000000000002</v>
      </c>
      <c r="AC543">
        <v>1.5</v>
      </c>
      <c r="AD543">
        <v>0.5</v>
      </c>
    </row>
    <row r="544" spans="1:30" x14ac:dyDescent="0.2">
      <c r="A544" t="s">
        <v>628</v>
      </c>
      <c r="C544">
        <v>0</v>
      </c>
      <c r="D544" t="s">
        <v>10</v>
      </c>
      <c r="E544">
        <v>2500</v>
      </c>
      <c r="F544" t="s">
        <v>492</v>
      </c>
      <c r="G544" t="s">
        <v>774</v>
      </c>
      <c r="H544" s="2">
        <v>0.8125</v>
      </c>
      <c r="I544" t="s">
        <v>762</v>
      </c>
      <c r="J544" s="1">
        <v>0.44</v>
      </c>
      <c r="K544">
        <v>-78.5</v>
      </c>
      <c r="L544">
        <v>6.5</v>
      </c>
      <c r="M544">
        <v>3.43</v>
      </c>
      <c r="N544">
        <v>3.25</v>
      </c>
      <c r="O544">
        <v>4</v>
      </c>
      <c r="Q544" s="3">
        <v>0.57152777777777775</v>
      </c>
      <c r="R544">
        <v>3.5</v>
      </c>
      <c r="S544">
        <v>4.57</v>
      </c>
      <c r="T544">
        <v>13.06</v>
      </c>
      <c r="U544">
        <v>3.92</v>
      </c>
      <c r="V544">
        <v>3.92</v>
      </c>
      <c r="W544">
        <v>100</v>
      </c>
      <c r="Y544">
        <v>35</v>
      </c>
      <c r="Z544">
        <v>1.6</v>
      </c>
      <c r="AA544">
        <v>0</v>
      </c>
      <c r="AB544" s="3">
        <v>0.5805555555555556</v>
      </c>
      <c r="AC544">
        <v>3</v>
      </c>
      <c r="AD544">
        <v>1.2</v>
      </c>
    </row>
    <row r="545" spans="1:30" x14ac:dyDescent="0.2">
      <c r="A545" t="s">
        <v>727</v>
      </c>
      <c r="C545">
        <v>0</v>
      </c>
      <c r="D545" t="s">
        <v>10</v>
      </c>
      <c r="E545">
        <v>2500</v>
      </c>
      <c r="F545" t="s">
        <v>486</v>
      </c>
      <c r="G545" t="s">
        <v>776</v>
      </c>
      <c r="H545" s="2">
        <v>0.79166666666666663</v>
      </c>
      <c r="I545" t="s">
        <v>762</v>
      </c>
      <c r="J545" s="1">
        <v>0.435</v>
      </c>
      <c r="K545">
        <v>-77</v>
      </c>
      <c r="L545">
        <v>5.5</v>
      </c>
      <c r="M545">
        <v>2.87</v>
      </c>
      <c r="N545">
        <v>2.75</v>
      </c>
      <c r="Q545" s="3">
        <v>0.20624999999999999</v>
      </c>
      <c r="R545">
        <v>0.3</v>
      </c>
      <c r="S545">
        <v>0.56000000000000005</v>
      </c>
      <c r="T545">
        <v>0</v>
      </c>
      <c r="U545">
        <v>0</v>
      </c>
      <c r="V545">
        <v>0</v>
      </c>
      <c r="W545">
        <v>100</v>
      </c>
      <c r="Y545">
        <v>7</v>
      </c>
      <c r="Z545">
        <v>0</v>
      </c>
      <c r="AA545">
        <v>0</v>
      </c>
    </row>
    <row r="546" spans="1:30" x14ac:dyDescent="0.2">
      <c r="A546" t="s">
        <v>74</v>
      </c>
      <c r="C546">
        <v>0</v>
      </c>
      <c r="D546" t="s">
        <v>17</v>
      </c>
      <c r="E546">
        <v>2700</v>
      </c>
      <c r="F546" t="s">
        <v>485</v>
      </c>
      <c r="G546" t="s">
        <v>767</v>
      </c>
      <c r="H546" s="2">
        <v>0.79166666666666663</v>
      </c>
      <c r="I546" t="s">
        <v>762</v>
      </c>
      <c r="J546" s="1">
        <v>0.48099999999999998</v>
      </c>
      <c r="K546">
        <v>-92.5</v>
      </c>
      <c r="L546">
        <v>6.5</v>
      </c>
      <c r="M546">
        <v>3.62</v>
      </c>
      <c r="N546">
        <v>3.25</v>
      </c>
      <c r="O546">
        <v>2</v>
      </c>
      <c r="P546">
        <v>2</v>
      </c>
      <c r="Q546" s="3">
        <v>0.6958333333333333</v>
      </c>
      <c r="R546">
        <v>6.3</v>
      </c>
      <c r="S546">
        <v>5.0599999999999996</v>
      </c>
      <c r="T546">
        <v>18.899999999999999</v>
      </c>
      <c r="U546">
        <v>8.7799999999999994</v>
      </c>
      <c r="V546">
        <v>8.7799999999999994</v>
      </c>
      <c r="W546">
        <v>100</v>
      </c>
      <c r="Y546">
        <v>60</v>
      </c>
      <c r="Z546">
        <v>3.3</v>
      </c>
      <c r="AA546">
        <v>0</v>
      </c>
      <c r="AB546" s="3">
        <v>0.85763888888888884</v>
      </c>
      <c r="AC546">
        <v>4.0999999999999996</v>
      </c>
      <c r="AD546">
        <v>1.5</v>
      </c>
    </row>
    <row r="547" spans="1:30" x14ac:dyDescent="0.2">
      <c r="A547" t="s">
        <v>870</v>
      </c>
      <c r="C547">
        <v>0</v>
      </c>
      <c r="D547" t="s">
        <v>5</v>
      </c>
      <c r="E547">
        <v>5100</v>
      </c>
      <c r="F547" t="s">
        <v>489</v>
      </c>
      <c r="G547" t="s">
        <v>788</v>
      </c>
      <c r="H547" s="2">
        <v>0.91666666666666663</v>
      </c>
      <c r="I547" t="s">
        <v>762</v>
      </c>
      <c r="J547" s="1">
        <v>0.48799999999999999</v>
      </c>
      <c r="K547">
        <v>-95.5</v>
      </c>
      <c r="L547">
        <v>6.5</v>
      </c>
      <c r="M547">
        <v>3.25</v>
      </c>
      <c r="N547">
        <v>3.01</v>
      </c>
      <c r="Q547" s="3">
        <v>0.68194444444444446</v>
      </c>
      <c r="R547">
        <v>8.1999999999999993</v>
      </c>
      <c r="S547">
        <v>6.28</v>
      </c>
      <c r="T547">
        <v>0</v>
      </c>
      <c r="U547">
        <v>0</v>
      </c>
      <c r="V547">
        <v>0</v>
      </c>
      <c r="W547">
        <v>100</v>
      </c>
      <c r="Y547">
        <v>62</v>
      </c>
      <c r="Z547">
        <v>0</v>
      </c>
      <c r="AA547">
        <v>0</v>
      </c>
    </row>
    <row r="548" spans="1:30" x14ac:dyDescent="0.2">
      <c r="A548" t="s">
        <v>908</v>
      </c>
      <c r="C548">
        <v>0</v>
      </c>
      <c r="D548" t="s">
        <v>10</v>
      </c>
      <c r="E548">
        <v>2500</v>
      </c>
      <c r="F548" t="s">
        <v>485</v>
      </c>
      <c r="G548" t="s">
        <v>767</v>
      </c>
      <c r="H548" s="2">
        <v>0.79166666666666663</v>
      </c>
      <c r="I548" t="s">
        <v>762</v>
      </c>
      <c r="J548" s="1">
        <v>0.48099999999999998</v>
      </c>
      <c r="K548">
        <v>-92.5</v>
      </c>
      <c r="L548">
        <v>6.5</v>
      </c>
      <c r="M548">
        <v>3.62</v>
      </c>
      <c r="N548">
        <v>3.25</v>
      </c>
      <c r="Q548" s="3">
        <v>0.50486111111111109</v>
      </c>
      <c r="R548">
        <v>2.9</v>
      </c>
      <c r="S548">
        <v>2.1</v>
      </c>
      <c r="T548">
        <v>0</v>
      </c>
      <c r="U548">
        <v>0</v>
      </c>
      <c r="V548">
        <v>0</v>
      </c>
      <c r="W548">
        <v>100</v>
      </c>
      <c r="Y548">
        <v>64</v>
      </c>
      <c r="Z548">
        <v>0</v>
      </c>
      <c r="AA548">
        <v>0</v>
      </c>
    </row>
    <row r="549" spans="1:30" x14ac:dyDescent="0.2">
      <c r="A549" t="s">
        <v>88</v>
      </c>
      <c r="C549">
        <v>0</v>
      </c>
      <c r="D549" t="s">
        <v>5</v>
      </c>
      <c r="E549">
        <v>6500</v>
      </c>
      <c r="F549" t="s">
        <v>494</v>
      </c>
      <c r="G549" t="s">
        <v>782</v>
      </c>
      <c r="H549" s="2">
        <v>0.79166666666666663</v>
      </c>
      <c r="I549" t="s">
        <v>762</v>
      </c>
      <c r="J549" s="1">
        <v>0.47199999999999998</v>
      </c>
      <c r="K549">
        <v>-89.5</v>
      </c>
      <c r="L549">
        <v>6</v>
      </c>
      <c r="M549">
        <v>3</v>
      </c>
      <c r="N549">
        <v>2.82</v>
      </c>
      <c r="O549">
        <v>2</v>
      </c>
      <c r="P549">
        <v>1</v>
      </c>
      <c r="Q549" s="3">
        <v>0.86111111111111116</v>
      </c>
      <c r="R549">
        <v>9.6999999999999993</v>
      </c>
      <c r="S549">
        <v>6.43</v>
      </c>
      <c r="T549">
        <v>23.64</v>
      </c>
      <c r="U549">
        <v>10.78</v>
      </c>
      <c r="V549">
        <v>10.78</v>
      </c>
      <c r="W549">
        <v>100</v>
      </c>
      <c r="Y549">
        <v>67</v>
      </c>
      <c r="Z549">
        <v>1.7</v>
      </c>
      <c r="AA549">
        <v>0</v>
      </c>
      <c r="AB549" s="3">
        <v>0.76736111111111116</v>
      </c>
      <c r="AC549">
        <v>1.5</v>
      </c>
      <c r="AD549">
        <v>0.2</v>
      </c>
    </row>
    <row r="550" spans="1:30" x14ac:dyDescent="0.2">
      <c r="A550" t="s">
        <v>960</v>
      </c>
      <c r="C550">
        <v>0</v>
      </c>
      <c r="D550" t="s">
        <v>17</v>
      </c>
      <c r="E550">
        <v>2500</v>
      </c>
      <c r="F550" t="s">
        <v>499</v>
      </c>
      <c r="G550" t="s">
        <v>775</v>
      </c>
      <c r="H550" s="2">
        <v>0.79166666666666663</v>
      </c>
      <c r="I550" t="s">
        <v>762</v>
      </c>
      <c r="J550" s="1">
        <v>0.50700000000000001</v>
      </c>
      <c r="K550">
        <v>-103</v>
      </c>
      <c r="L550">
        <v>6.5</v>
      </c>
      <c r="M550">
        <v>3.71</v>
      </c>
      <c r="N550">
        <v>3.25</v>
      </c>
      <c r="Q550" s="3">
        <v>0.65972222222222221</v>
      </c>
      <c r="R550">
        <v>5.6</v>
      </c>
      <c r="S550">
        <v>5.08</v>
      </c>
      <c r="T550">
        <v>0</v>
      </c>
      <c r="U550">
        <v>0</v>
      </c>
      <c r="V550">
        <v>0</v>
      </c>
      <c r="W550">
        <v>100</v>
      </c>
      <c r="Y550">
        <v>55</v>
      </c>
      <c r="Z550">
        <v>0</v>
      </c>
      <c r="AA550">
        <v>0</v>
      </c>
    </row>
    <row r="551" spans="1:30" x14ac:dyDescent="0.2">
      <c r="A551" t="s">
        <v>635</v>
      </c>
      <c r="C551">
        <v>0</v>
      </c>
      <c r="D551" t="s">
        <v>10</v>
      </c>
      <c r="E551">
        <v>2500</v>
      </c>
      <c r="F551" t="s">
        <v>504</v>
      </c>
      <c r="G551" t="s">
        <v>799</v>
      </c>
      <c r="H551" s="2">
        <v>0.83333333333333337</v>
      </c>
      <c r="I551" t="s">
        <v>766</v>
      </c>
      <c r="J551" s="1">
        <v>0.51300000000000001</v>
      </c>
      <c r="K551">
        <v>95</v>
      </c>
      <c r="L551">
        <v>5.5</v>
      </c>
      <c r="M551">
        <v>2.54</v>
      </c>
      <c r="N551">
        <v>2.75</v>
      </c>
      <c r="O551">
        <v>3</v>
      </c>
      <c r="Q551" s="3">
        <v>0.53333333333333333</v>
      </c>
      <c r="R551">
        <v>4.2</v>
      </c>
      <c r="S551">
        <v>4.91</v>
      </c>
      <c r="T551">
        <v>13.64</v>
      </c>
      <c r="U551">
        <v>3.82</v>
      </c>
      <c r="V551">
        <v>3.82</v>
      </c>
      <c r="W551">
        <v>100</v>
      </c>
      <c r="Y551">
        <v>42</v>
      </c>
      <c r="Z551">
        <v>1.5</v>
      </c>
      <c r="AA551">
        <v>0</v>
      </c>
    </row>
    <row r="552" spans="1:30" x14ac:dyDescent="0.2">
      <c r="A552" t="s">
        <v>338</v>
      </c>
      <c r="C552">
        <v>0</v>
      </c>
      <c r="D552" t="s">
        <v>10</v>
      </c>
      <c r="E552">
        <v>3900</v>
      </c>
      <c r="F552" t="s">
        <v>490</v>
      </c>
      <c r="G552" t="s">
        <v>771</v>
      </c>
      <c r="H552" s="2">
        <v>0.91666666666666663</v>
      </c>
      <c r="I552" t="s">
        <v>766</v>
      </c>
      <c r="J552" s="1">
        <v>0.58499999999999996</v>
      </c>
      <c r="K552">
        <v>71</v>
      </c>
      <c r="L552">
        <v>6</v>
      </c>
      <c r="M552">
        <v>3</v>
      </c>
      <c r="N552">
        <v>3.02</v>
      </c>
      <c r="O552">
        <v>2</v>
      </c>
      <c r="P552">
        <v>1</v>
      </c>
      <c r="Q552" s="3">
        <v>0.61041666666666672</v>
      </c>
      <c r="R552">
        <v>5.0999999999999996</v>
      </c>
      <c r="S552">
        <v>4.78</v>
      </c>
      <c r="T552">
        <v>15.74</v>
      </c>
      <c r="U552">
        <v>6.18</v>
      </c>
      <c r="V552">
        <v>6.18</v>
      </c>
      <c r="W552">
        <v>100</v>
      </c>
      <c r="Y552">
        <v>53</v>
      </c>
      <c r="Z552">
        <v>1.6</v>
      </c>
      <c r="AA552">
        <v>0</v>
      </c>
      <c r="AB552" s="3">
        <v>0.46527777777777779</v>
      </c>
      <c r="AC552">
        <v>1.5</v>
      </c>
      <c r="AD552">
        <v>0.4</v>
      </c>
    </row>
    <row r="553" spans="1:30" x14ac:dyDescent="0.2">
      <c r="A553" t="s">
        <v>113</v>
      </c>
      <c r="C553">
        <v>0</v>
      </c>
      <c r="D553" t="s">
        <v>10</v>
      </c>
      <c r="E553">
        <v>5400</v>
      </c>
      <c r="F553" t="s">
        <v>487</v>
      </c>
      <c r="G553" t="s">
        <v>770</v>
      </c>
      <c r="H553" s="2">
        <v>0.83333333333333337</v>
      </c>
      <c r="I553" t="s">
        <v>762</v>
      </c>
      <c r="J553" s="1">
        <v>0.51300000000000001</v>
      </c>
      <c r="K553">
        <v>-105.5</v>
      </c>
      <c r="L553">
        <v>6</v>
      </c>
      <c r="M553">
        <v>3.46</v>
      </c>
      <c r="N553">
        <v>3</v>
      </c>
      <c r="O553">
        <v>1</v>
      </c>
      <c r="P553">
        <v>1</v>
      </c>
      <c r="Q553" s="3">
        <v>0.78819444444444442</v>
      </c>
      <c r="R553">
        <v>9</v>
      </c>
      <c r="S553">
        <v>6.37</v>
      </c>
      <c r="T553">
        <v>25.19</v>
      </c>
      <c r="U553">
        <v>12.45</v>
      </c>
      <c r="V553">
        <v>12.45</v>
      </c>
      <c r="W553">
        <v>100</v>
      </c>
      <c r="Y553">
        <v>65</v>
      </c>
      <c r="Z553">
        <v>2.2999999999999998</v>
      </c>
      <c r="AA553">
        <v>0</v>
      </c>
      <c r="AB553" s="3">
        <v>0.81041666666666667</v>
      </c>
      <c r="AC553">
        <v>0</v>
      </c>
    </row>
    <row r="554" spans="1:30" x14ac:dyDescent="0.2">
      <c r="A554" t="s">
        <v>61</v>
      </c>
      <c r="C554">
        <v>0</v>
      </c>
      <c r="D554" t="s">
        <v>10</v>
      </c>
      <c r="E554">
        <v>7700</v>
      </c>
      <c r="F554" t="s">
        <v>487</v>
      </c>
      <c r="G554" t="s">
        <v>770</v>
      </c>
      <c r="H554" s="2">
        <v>0.83333333333333337</v>
      </c>
      <c r="I554" t="s">
        <v>762</v>
      </c>
      <c r="J554" s="1">
        <v>0.51300000000000001</v>
      </c>
      <c r="K554">
        <v>-105.5</v>
      </c>
      <c r="L554">
        <v>6</v>
      </c>
      <c r="M554">
        <v>3.46</v>
      </c>
      <c r="N554">
        <v>3</v>
      </c>
      <c r="O554">
        <v>2</v>
      </c>
      <c r="P554">
        <v>1</v>
      </c>
      <c r="Q554" s="3">
        <v>0.87152777777777779</v>
      </c>
      <c r="R554">
        <v>14.1</v>
      </c>
      <c r="S554">
        <v>9.65</v>
      </c>
      <c r="T554">
        <v>37.85</v>
      </c>
      <c r="U554">
        <v>18.55</v>
      </c>
      <c r="V554">
        <v>18.55</v>
      </c>
      <c r="W554">
        <v>100</v>
      </c>
      <c r="Y554">
        <v>66</v>
      </c>
      <c r="Z554">
        <v>2.4</v>
      </c>
      <c r="AA554">
        <v>0</v>
      </c>
      <c r="AB554" s="3">
        <v>0.72638888888888886</v>
      </c>
      <c r="AC554">
        <v>11.5</v>
      </c>
      <c r="AD554">
        <v>1.5</v>
      </c>
    </row>
    <row r="555" spans="1:30" x14ac:dyDescent="0.2">
      <c r="A555" t="s">
        <v>202</v>
      </c>
      <c r="C555">
        <v>0</v>
      </c>
      <c r="D555" t="s">
        <v>5</v>
      </c>
      <c r="E555">
        <v>3800</v>
      </c>
      <c r="F555" t="s">
        <v>488</v>
      </c>
      <c r="G555" t="s">
        <v>781</v>
      </c>
      <c r="H555" s="2">
        <v>0.91666666666666663</v>
      </c>
      <c r="I555" t="s">
        <v>766</v>
      </c>
      <c r="J555" s="1">
        <v>0.53500000000000003</v>
      </c>
      <c r="K555">
        <v>87</v>
      </c>
      <c r="L555">
        <v>6</v>
      </c>
      <c r="M555">
        <v>3</v>
      </c>
      <c r="N555">
        <v>3.14</v>
      </c>
      <c r="O555">
        <v>3</v>
      </c>
      <c r="P555">
        <v>2</v>
      </c>
      <c r="Q555" s="3">
        <v>0.65694444444444444</v>
      </c>
      <c r="R555">
        <v>6</v>
      </c>
      <c r="S555">
        <v>5.96</v>
      </c>
      <c r="T555">
        <v>18.71</v>
      </c>
      <c r="U555">
        <v>6.79</v>
      </c>
      <c r="V555">
        <v>6.79</v>
      </c>
      <c r="W555">
        <v>100</v>
      </c>
      <c r="Y555">
        <v>50</v>
      </c>
      <c r="Z555">
        <v>1.8</v>
      </c>
      <c r="AA555">
        <v>0</v>
      </c>
      <c r="AB555" s="3">
        <v>0.72638888888888886</v>
      </c>
      <c r="AC555">
        <v>10</v>
      </c>
      <c r="AD555">
        <v>2.6</v>
      </c>
    </row>
    <row r="556" spans="1:30" x14ac:dyDescent="0.2">
      <c r="A556" t="s">
        <v>414</v>
      </c>
      <c r="C556">
        <v>0</v>
      </c>
      <c r="D556" t="s">
        <v>17</v>
      </c>
      <c r="E556">
        <v>2500</v>
      </c>
      <c r="F556" t="s">
        <v>491</v>
      </c>
      <c r="G556" t="s">
        <v>773</v>
      </c>
      <c r="H556" s="2">
        <v>0.79166666666666663</v>
      </c>
      <c r="I556" t="s">
        <v>766</v>
      </c>
      <c r="J556" s="1">
        <v>0.49299999999999999</v>
      </c>
      <c r="K556">
        <v>103</v>
      </c>
      <c r="L556">
        <v>6.5</v>
      </c>
      <c r="M556">
        <v>3.25</v>
      </c>
      <c r="N556">
        <v>3.71</v>
      </c>
      <c r="O556">
        <v>3</v>
      </c>
      <c r="P556">
        <v>2</v>
      </c>
      <c r="Q556" s="3">
        <v>0.70763888888888893</v>
      </c>
      <c r="R556">
        <v>3.4</v>
      </c>
      <c r="S556">
        <v>2.86</v>
      </c>
      <c r="T556">
        <v>9.48</v>
      </c>
      <c r="U556">
        <v>3.76</v>
      </c>
      <c r="V556">
        <v>3.76</v>
      </c>
      <c r="W556">
        <v>100</v>
      </c>
      <c r="Y556">
        <v>58</v>
      </c>
      <c r="Z556">
        <v>1.5</v>
      </c>
      <c r="AA556">
        <v>0</v>
      </c>
      <c r="AB556" s="3">
        <v>0.83125000000000004</v>
      </c>
      <c r="AC556">
        <v>5.6</v>
      </c>
      <c r="AD556">
        <v>2.2000000000000002</v>
      </c>
    </row>
    <row r="557" spans="1:30" x14ac:dyDescent="0.2">
      <c r="A557" t="s">
        <v>992</v>
      </c>
      <c r="C557">
        <v>0</v>
      </c>
      <c r="D557" t="s">
        <v>17</v>
      </c>
      <c r="E557">
        <v>2500</v>
      </c>
      <c r="F557" t="s">
        <v>487</v>
      </c>
      <c r="G557" t="s">
        <v>770</v>
      </c>
      <c r="H557" s="2">
        <v>0.83333333333333337</v>
      </c>
      <c r="I557" t="s">
        <v>762</v>
      </c>
      <c r="J557" s="1">
        <v>0.51300000000000001</v>
      </c>
      <c r="K557">
        <v>-105.5</v>
      </c>
      <c r="L557">
        <v>6</v>
      </c>
      <c r="M557">
        <v>3.46</v>
      </c>
      <c r="N557">
        <v>3</v>
      </c>
      <c r="Q557" s="3">
        <v>0.5708333333333333</v>
      </c>
      <c r="R557">
        <v>5.0999999999999996</v>
      </c>
      <c r="S557">
        <v>3.88</v>
      </c>
      <c r="T557">
        <v>0</v>
      </c>
      <c r="U557">
        <v>0</v>
      </c>
      <c r="V557">
        <v>0</v>
      </c>
      <c r="W557">
        <v>100</v>
      </c>
      <c r="Y557">
        <v>62</v>
      </c>
      <c r="Z557">
        <v>0</v>
      </c>
      <c r="AA557">
        <v>0</v>
      </c>
    </row>
    <row r="558" spans="1:30" x14ac:dyDescent="0.2">
      <c r="A558" t="s">
        <v>805</v>
      </c>
      <c r="C558">
        <v>0</v>
      </c>
      <c r="D558" t="s">
        <v>10</v>
      </c>
      <c r="E558">
        <v>4700</v>
      </c>
      <c r="F558" t="s">
        <v>490</v>
      </c>
      <c r="G558" t="s">
        <v>771</v>
      </c>
      <c r="H558" s="2">
        <v>0.91666666666666663</v>
      </c>
      <c r="I558" t="s">
        <v>766</v>
      </c>
      <c r="J558" s="1">
        <v>0.58499999999999996</v>
      </c>
      <c r="K558">
        <v>71</v>
      </c>
      <c r="L558">
        <v>6</v>
      </c>
      <c r="M558">
        <v>3</v>
      </c>
      <c r="N558">
        <v>3.02</v>
      </c>
      <c r="O558">
        <v>2</v>
      </c>
      <c r="P558">
        <v>1</v>
      </c>
      <c r="Q558" s="3">
        <v>0.79583333333333328</v>
      </c>
      <c r="R558">
        <v>9.1</v>
      </c>
      <c r="S558">
        <v>8.1</v>
      </c>
      <c r="T558">
        <v>25.07</v>
      </c>
      <c r="U558">
        <v>8.8699999999999992</v>
      </c>
      <c r="V558">
        <v>8.8699999999999992</v>
      </c>
      <c r="W558">
        <v>100</v>
      </c>
      <c r="Y558">
        <v>55</v>
      </c>
      <c r="Z558">
        <v>1.9</v>
      </c>
      <c r="AA558">
        <v>0</v>
      </c>
      <c r="AB558" s="3">
        <v>0.6694444444444444</v>
      </c>
      <c r="AC558">
        <v>4.5</v>
      </c>
      <c r="AD558">
        <v>1</v>
      </c>
    </row>
    <row r="559" spans="1:30" x14ac:dyDescent="0.2">
      <c r="A559" t="s">
        <v>599</v>
      </c>
      <c r="C559">
        <v>0</v>
      </c>
      <c r="D559" t="s">
        <v>10</v>
      </c>
      <c r="E559">
        <v>2500</v>
      </c>
      <c r="F559" t="s">
        <v>504</v>
      </c>
      <c r="G559" t="s">
        <v>799</v>
      </c>
      <c r="H559" s="2">
        <v>0.83333333333333337</v>
      </c>
      <c r="I559" t="s">
        <v>766</v>
      </c>
      <c r="J559" s="1">
        <v>0.51300000000000001</v>
      </c>
      <c r="K559">
        <v>95</v>
      </c>
      <c r="L559">
        <v>5.5</v>
      </c>
      <c r="M559">
        <v>2.54</v>
      </c>
      <c r="N559">
        <v>2.75</v>
      </c>
      <c r="Q559" s="3">
        <v>0.38055555555555554</v>
      </c>
      <c r="R559">
        <v>4.2</v>
      </c>
      <c r="S559">
        <v>3.38</v>
      </c>
      <c r="T559">
        <v>0</v>
      </c>
      <c r="U559">
        <v>0</v>
      </c>
      <c r="V559">
        <v>0</v>
      </c>
      <c r="W559">
        <v>100</v>
      </c>
      <c r="Y559">
        <v>60</v>
      </c>
      <c r="Z559">
        <v>0</v>
      </c>
      <c r="AA559">
        <v>0</v>
      </c>
    </row>
    <row r="560" spans="1:30" x14ac:dyDescent="0.2">
      <c r="A560" t="s">
        <v>841</v>
      </c>
      <c r="C560">
        <v>0</v>
      </c>
      <c r="D560" t="s">
        <v>7</v>
      </c>
      <c r="E560">
        <v>7400</v>
      </c>
      <c r="F560" t="s">
        <v>505</v>
      </c>
      <c r="G560" t="s">
        <v>793</v>
      </c>
      <c r="H560" s="2">
        <v>0.91666666666666663</v>
      </c>
      <c r="I560" t="s">
        <v>762</v>
      </c>
      <c r="J560" s="1">
        <v>0.41499999999999998</v>
      </c>
      <c r="K560">
        <v>-71</v>
      </c>
      <c r="L560">
        <v>6</v>
      </c>
      <c r="M560">
        <v>3.02</v>
      </c>
      <c r="N560">
        <v>3</v>
      </c>
      <c r="O560" t="s">
        <v>818</v>
      </c>
      <c r="Q560" s="4">
        <v>1.8069444444444445</v>
      </c>
      <c r="R560">
        <v>8</v>
      </c>
      <c r="S560">
        <v>8.16</v>
      </c>
      <c r="T560">
        <v>0</v>
      </c>
      <c r="U560">
        <v>0</v>
      </c>
      <c r="V560">
        <v>0</v>
      </c>
      <c r="W560">
        <v>100</v>
      </c>
      <c r="Y560">
        <v>49</v>
      </c>
      <c r="Z560">
        <v>0</v>
      </c>
      <c r="AA560">
        <v>0</v>
      </c>
    </row>
    <row r="561" spans="1:30" x14ac:dyDescent="0.2">
      <c r="A561" t="s">
        <v>713</v>
      </c>
      <c r="C561">
        <v>0</v>
      </c>
      <c r="D561" t="s">
        <v>10</v>
      </c>
      <c r="E561">
        <v>2500</v>
      </c>
      <c r="F561" t="s">
        <v>501</v>
      </c>
      <c r="G561" t="s">
        <v>783</v>
      </c>
      <c r="H561" s="2">
        <v>0.79166666666666663</v>
      </c>
      <c r="I561" t="s">
        <v>766</v>
      </c>
      <c r="J561" s="1">
        <v>0.52800000000000002</v>
      </c>
      <c r="K561">
        <v>89.5</v>
      </c>
      <c r="L561">
        <v>6</v>
      </c>
      <c r="M561">
        <v>2.82</v>
      </c>
      <c r="N561">
        <v>3</v>
      </c>
      <c r="O561">
        <v>4</v>
      </c>
      <c r="Q561" s="3">
        <v>0.38611111111111113</v>
      </c>
      <c r="R561">
        <v>1.6</v>
      </c>
      <c r="S561">
        <v>2.4900000000000002</v>
      </c>
      <c r="T561">
        <v>7.56</v>
      </c>
      <c r="U561">
        <v>2.58</v>
      </c>
      <c r="V561">
        <v>2.58</v>
      </c>
      <c r="W561">
        <v>100</v>
      </c>
      <c r="Y561">
        <v>22</v>
      </c>
      <c r="Z561">
        <v>1</v>
      </c>
      <c r="AA561">
        <v>0</v>
      </c>
      <c r="AB561" s="3">
        <v>0.32291666666666669</v>
      </c>
      <c r="AC561">
        <v>0</v>
      </c>
    </row>
    <row r="562" spans="1:30" x14ac:dyDescent="0.2">
      <c r="A562" t="s">
        <v>886</v>
      </c>
      <c r="C562">
        <v>0</v>
      </c>
      <c r="D562" t="s">
        <v>17</v>
      </c>
      <c r="E562">
        <v>3600</v>
      </c>
      <c r="F562" t="s">
        <v>500</v>
      </c>
      <c r="G562" t="s">
        <v>785</v>
      </c>
      <c r="H562" s="2">
        <v>0.8125</v>
      </c>
      <c r="I562" t="s">
        <v>766</v>
      </c>
      <c r="J562" s="1">
        <v>0.56000000000000005</v>
      </c>
      <c r="K562">
        <v>78.5</v>
      </c>
      <c r="L562">
        <v>6.5</v>
      </c>
      <c r="M562">
        <v>3.25</v>
      </c>
      <c r="N562">
        <v>3.43</v>
      </c>
      <c r="Q562" s="3">
        <v>0.86736111111111114</v>
      </c>
      <c r="R562">
        <v>6.7</v>
      </c>
      <c r="S562">
        <v>5.2</v>
      </c>
      <c r="T562">
        <v>0</v>
      </c>
      <c r="U562">
        <v>0</v>
      </c>
      <c r="V562">
        <v>0</v>
      </c>
      <c r="W562">
        <v>100</v>
      </c>
      <c r="Y562">
        <v>61</v>
      </c>
      <c r="Z562">
        <v>0</v>
      </c>
      <c r="AA562">
        <v>0</v>
      </c>
    </row>
    <row r="563" spans="1:30" x14ac:dyDescent="0.2">
      <c r="A563" t="s">
        <v>299</v>
      </c>
      <c r="C563">
        <v>0</v>
      </c>
      <c r="D563" t="s">
        <v>10</v>
      </c>
      <c r="E563">
        <v>2700</v>
      </c>
      <c r="F563" t="s">
        <v>480</v>
      </c>
      <c r="G563" t="s">
        <v>761</v>
      </c>
      <c r="H563" s="2">
        <v>0.875</v>
      </c>
      <c r="I563" t="s">
        <v>762</v>
      </c>
      <c r="J563" s="1">
        <v>0.52900000000000003</v>
      </c>
      <c r="K563">
        <v>-112.5</v>
      </c>
      <c r="L563">
        <v>7</v>
      </c>
      <c r="M563">
        <v>4.05</v>
      </c>
      <c r="N563">
        <v>3.5</v>
      </c>
      <c r="Q563" s="3">
        <v>0.58402777777777781</v>
      </c>
      <c r="R563">
        <v>5.2</v>
      </c>
      <c r="S563">
        <v>5.1100000000000003</v>
      </c>
      <c r="T563">
        <v>0</v>
      </c>
      <c r="U563">
        <v>0</v>
      </c>
      <c r="V563">
        <v>0</v>
      </c>
      <c r="W563">
        <v>100</v>
      </c>
      <c r="Y563">
        <v>51</v>
      </c>
      <c r="Z563">
        <v>0</v>
      </c>
      <c r="AA563">
        <v>0</v>
      </c>
      <c r="AB563" s="3">
        <v>0.38680555555555557</v>
      </c>
      <c r="AC563">
        <v>3</v>
      </c>
      <c r="AD563">
        <v>1.1000000000000001</v>
      </c>
    </row>
    <row r="564" spans="1:30" x14ac:dyDescent="0.2">
      <c r="A564" t="s">
        <v>807</v>
      </c>
      <c r="C564">
        <v>0</v>
      </c>
      <c r="D564" t="s">
        <v>10</v>
      </c>
      <c r="E564">
        <v>4300</v>
      </c>
      <c r="F564" t="s">
        <v>502</v>
      </c>
      <c r="G564" t="s">
        <v>798</v>
      </c>
      <c r="H564" s="2">
        <v>0.83333333333333337</v>
      </c>
      <c r="I564" t="s">
        <v>766</v>
      </c>
      <c r="J564" s="1">
        <v>0.48699999999999999</v>
      </c>
      <c r="K564">
        <v>105.5</v>
      </c>
      <c r="L564">
        <v>6</v>
      </c>
      <c r="M564">
        <v>3</v>
      </c>
      <c r="N564">
        <v>3.46</v>
      </c>
      <c r="O564">
        <v>1</v>
      </c>
      <c r="P564">
        <v>1</v>
      </c>
      <c r="Q564" s="3">
        <v>0.69166666666666665</v>
      </c>
      <c r="R564">
        <v>7.8</v>
      </c>
      <c r="S564">
        <v>7.03</v>
      </c>
      <c r="T564">
        <v>22.06</v>
      </c>
      <c r="U564">
        <v>8</v>
      </c>
      <c r="V564">
        <v>8</v>
      </c>
      <c r="W564">
        <v>100</v>
      </c>
      <c r="Y564">
        <v>55</v>
      </c>
      <c r="Z564">
        <v>1.9</v>
      </c>
      <c r="AA564">
        <v>0</v>
      </c>
      <c r="AB564" s="3">
        <v>0.76041666666666663</v>
      </c>
      <c r="AC564">
        <v>4.5</v>
      </c>
      <c r="AD564">
        <v>1</v>
      </c>
    </row>
    <row r="565" spans="1:30" x14ac:dyDescent="0.2">
      <c r="A565" t="s">
        <v>605</v>
      </c>
      <c r="C565">
        <v>0</v>
      </c>
      <c r="D565" t="s">
        <v>17</v>
      </c>
      <c r="E565">
        <v>2500</v>
      </c>
      <c r="F565" t="s">
        <v>504</v>
      </c>
      <c r="G565" t="s">
        <v>799</v>
      </c>
      <c r="H565" s="2">
        <v>0.83333333333333337</v>
      </c>
      <c r="I565" t="s">
        <v>766</v>
      </c>
      <c r="J565" s="1">
        <v>0.51300000000000001</v>
      </c>
      <c r="K565">
        <v>95</v>
      </c>
      <c r="L565">
        <v>5.5</v>
      </c>
      <c r="M565">
        <v>2.54</v>
      </c>
      <c r="N565">
        <v>2.75</v>
      </c>
      <c r="Q565" s="3">
        <v>0.52430555555555558</v>
      </c>
      <c r="R565">
        <v>3.1</v>
      </c>
      <c r="S565">
        <v>4.16</v>
      </c>
      <c r="T565">
        <v>0</v>
      </c>
      <c r="U565">
        <v>0</v>
      </c>
      <c r="V565">
        <v>0</v>
      </c>
      <c r="W565">
        <v>100</v>
      </c>
      <c r="Y565">
        <v>33</v>
      </c>
      <c r="Z565">
        <v>0</v>
      </c>
      <c r="AA565">
        <v>0</v>
      </c>
    </row>
    <row r="566" spans="1:30" x14ac:dyDescent="0.2">
      <c r="A566" t="s">
        <v>531</v>
      </c>
      <c r="C566">
        <v>0</v>
      </c>
      <c r="D566" t="s">
        <v>17</v>
      </c>
      <c r="E566">
        <v>2800</v>
      </c>
      <c r="F566" t="s">
        <v>501</v>
      </c>
      <c r="G566" t="s">
        <v>783</v>
      </c>
      <c r="H566" s="2">
        <v>0.79166666666666663</v>
      </c>
      <c r="I566" t="s">
        <v>766</v>
      </c>
      <c r="J566" s="1">
        <v>0.52800000000000002</v>
      </c>
      <c r="K566">
        <v>89.5</v>
      </c>
      <c r="L566">
        <v>6</v>
      </c>
      <c r="M566">
        <v>2.82</v>
      </c>
      <c r="N566">
        <v>3</v>
      </c>
      <c r="O566">
        <v>2</v>
      </c>
      <c r="Q566" s="3">
        <v>0.70208333333333328</v>
      </c>
      <c r="R566">
        <v>4.8</v>
      </c>
      <c r="S566">
        <v>4.71</v>
      </c>
      <c r="T566">
        <v>15.13</v>
      </c>
      <c r="U566">
        <v>5.71</v>
      </c>
      <c r="V566">
        <v>5.71</v>
      </c>
      <c r="W566">
        <v>100</v>
      </c>
      <c r="Y566">
        <v>51</v>
      </c>
      <c r="Z566">
        <v>2</v>
      </c>
      <c r="AA566">
        <v>0</v>
      </c>
      <c r="AB566" s="3">
        <v>0.81736111111111109</v>
      </c>
      <c r="AC566">
        <v>1.3</v>
      </c>
      <c r="AD566">
        <v>0.5</v>
      </c>
    </row>
    <row r="567" spans="1:30" x14ac:dyDescent="0.2">
      <c r="A567" t="s">
        <v>160</v>
      </c>
      <c r="C567">
        <v>0</v>
      </c>
      <c r="D567" t="s">
        <v>17</v>
      </c>
      <c r="E567">
        <v>6000</v>
      </c>
      <c r="F567" t="s">
        <v>494</v>
      </c>
      <c r="G567" t="s">
        <v>782</v>
      </c>
      <c r="H567" s="2">
        <v>0.79166666666666663</v>
      </c>
      <c r="I567" t="s">
        <v>762</v>
      </c>
      <c r="J567" s="1">
        <v>0.47199999999999998</v>
      </c>
      <c r="K567">
        <v>-89.5</v>
      </c>
      <c r="L567">
        <v>6</v>
      </c>
      <c r="M567">
        <v>3</v>
      </c>
      <c r="N567">
        <v>2.82</v>
      </c>
      <c r="O567">
        <v>1</v>
      </c>
      <c r="P567">
        <v>2</v>
      </c>
      <c r="Q567" s="3">
        <v>0.99513888888888891</v>
      </c>
      <c r="R567">
        <v>9.6999999999999993</v>
      </c>
      <c r="S567">
        <v>6.37</v>
      </c>
      <c r="T567">
        <v>23.5</v>
      </c>
      <c r="U567">
        <v>10.76</v>
      </c>
      <c r="V567">
        <v>10.76</v>
      </c>
      <c r="W567">
        <v>100</v>
      </c>
      <c r="Y567">
        <v>67</v>
      </c>
      <c r="Z567">
        <v>1.8</v>
      </c>
      <c r="AA567">
        <v>0</v>
      </c>
      <c r="AB567" s="3">
        <v>0.97569444444444442</v>
      </c>
      <c r="AC567">
        <v>11.5</v>
      </c>
      <c r="AD567">
        <v>1.9</v>
      </c>
    </row>
    <row r="568" spans="1:30" x14ac:dyDescent="0.2">
      <c r="A568" t="s">
        <v>80</v>
      </c>
      <c r="C568">
        <v>0</v>
      </c>
      <c r="D568" t="s">
        <v>10</v>
      </c>
      <c r="E568">
        <v>6500</v>
      </c>
      <c r="F568" t="s">
        <v>493</v>
      </c>
      <c r="G568" t="s">
        <v>789</v>
      </c>
      <c r="H568" s="2">
        <v>0.83333333333333337</v>
      </c>
      <c r="I568" t="s">
        <v>762</v>
      </c>
      <c r="J568" s="1">
        <v>0.48699999999999999</v>
      </c>
      <c r="K568">
        <v>-95</v>
      </c>
      <c r="L568">
        <v>5.5</v>
      </c>
      <c r="M568">
        <v>2.75</v>
      </c>
      <c r="N568">
        <v>2.54</v>
      </c>
      <c r="O568">
        <v>2</v>
      </c>
      <c r="P568">
        <v>1</v>
      </c>
      <c r="Q568" s="3">
        <v>0.77569444444444446</v>
      </c>
      <c r="R568">
        <v>6.6</v>
      </c>
      <c r="S568">
        <v>5.0599999999999996</v>
      </c>
      <c r="T568">
        <v>19.41</v>
      </c>
      <c r="U568">
        <v>9.2899999999999991</v>
      </c>
      <c r="V568">
        <v>9.2899999999999991</v>
      </c>
      <c r="W568">
        <v>100</v>
      </c>
      <c r="Y568">
        <v>62</v>
      </c>
      <c r="Z568">
        <v>1.4</v>
      </c>
      <c r="AA568">
        <v>0</v>
      </c>
      <c r="AB568" s="3">
        <v>0.9868055555555556</v>
      </c>
      <c r="AC568">
        <v>35.5</v>
      </c>
      <c r="AD568">
        <v>5.5</v>
      </c>
    </row>
    <row r="569" spans="1:30" x14ac:dyDescent="0.2">
      <c r="A569" t="s">
        <v>526</v>
      </c>
      <c r="C569">
        <v>0</v>
      </c>
      <c r="D569" t="s">
        <v>10</v>
      </c>
      <c r="E569">
        <v>2500</v>
      </c>
      <c r="F569" t="s">
        <v>506</v>
      </c>
      <c r="G569" t="s">
        <v>786</v>
      </c>
      <c r="H569" s="2">
        <v>0.79166666666666663</v>
      </c>
      <c r="I569" t="s">
        <v>766</v>
      </c>
      <c r="J569" s="1">
        <v>0.53600000000000003</v>
      </c>
      <c r="K569">
        <v>86.5</v>
      </c>
      <c r="L569">
        <v>6</v>
      </c>
      <c r="M569">
        <v>3</v>
      </c>
      <c r="N569">
        <v>3.19</v>
      </c>
      <c r="O569">
        <v>4</v>
      </c>
      <c r="P569">
        <v>2</v>
      </c>
      <c r="Q569" s="3">
        <v>0.50555555555555554</v>
      </c>
      <c r="R569">
        <v>5.4</v>
      </c>
      <c r="S569">
        <v>7.7</v>
      </c>
      <c r="T569">
        <v>19.100000000000001</v>
      </c>
      <c r="U569">
        <v>3.7</v>
      </c>
      <c r="V569">
        <v>3.7</v>
      </c>
      <c r="W569">
        <v>100</v>
      </c>
      <c r="Y569">
        <v>29</v>
      </c>
      <c r="Z569">
        <v>1.5</v>
      </c>
      <c r="AA569">
        <v>0</v>
      </c>
      <c r="AB569" s="3">
        <v>0.32777777777777778</v>
      </c>
      <c r="AC569">
        <v>0</v>
      </c>
    </row>
    <row r="570" spans="1:30" x14ac:dyDescent="0.2">
      <c r="A570" t="s">
        <v>310</v>
      </c>
      <c r="C570">
        <v>0</v>
      </c>
      <c r="D570" t="s">
        <v>17</v>
      </c>
      <c r="E570">
        <v>3900</v>
      </c>
      <c r="F570" t="s">
        <v>480</v>
      </c>
      <c r="G570" t="s">
        <v>761</v>
      </c>
      <c r="H570" s="2">
        <v>0.875</v>
      </c>
      <c r="I570" t="s">
        <v>762</v>
      </c>
      <c r="J570" s="1">
        <v>0.52900000000000003</v>
      </c>
      <c r="K570">
        <v>-112.5</v>
      </c>
      <c r="L570">
        <v>7</v>
      </c>
      <c r="M570">
        <v>4.05</v>
      </c>
      <c r="N570">
        <v>3.5</v>
      </c>
      <c r="O570">
        <v>1</v>
      </c>
      <c r="P570">
        <v>2</v>
      </c>
      <c r="Q570" s="3">
        <v>0.86527777777777781</v>
      </c>
      <c r="R570">
        <v>8.1999999999999993</v>
      </c>
      <c r="S570">
        <v>6.32</v>
      </c>
      <c r="T570">
        <v>24.2</v>
      </c>
      <c r="U570">
        <v>11.56</v>
      </c>
      <c r="V570">
        <v>11.56</v>
      </c>
      <c r="W570">
        <v>100</v>
      </c>
      <c r="Y570">
        <v>61</v>
      </c>
      <c r="Z570">
        <v>3</v>
      </c>
      <c r="AA570">
        <v>0</v>
      </c>
      <c r="AB570" s="3">
        <v>0.91111111111111109</v>
      </c>
      <c r="AC570">
        <v>6.3</v>
      </c>
      <c r="AD570">
        <v>1.6</v>
      </c>
    </row>
    <row r="571" spans="1:30" x14ac:dyDescent="0.2">
      <c r="A571" t="s">
        <v>686</v>
      </c>
      <c r="C571">
        <v>0</v>
      </c>
      <c r="D571" t="s">
        <v>10</v>
      </c>
      <c r="E571">
        <v>2500</v>
      </c>
      <c r="F571" t="s">
        <v>480</v>
      </c>
      <c r="G571" t="s">
        <v>761</v>
      </c>
      <c r="H571" s="2">
        <v>0.875</v>
      </c>
      <c r="I571" t="s">
        <v>762</v>
      </c>
      <c r="J571" s="1">
        <v>0.52900000000000003</v>
      </c>
      <c r="K571">
        <v>-112.5</v>
      </c>
      <c r="L571">
        <v>7</v>
      </c>
      <c r="M571">
        <v>4.05</v>
      </c>
      <c r="N571">
        <v>3.5</v>
      </c>
      <c r="O571">
        <v>4</v>
      </c>
      <c r="Q571" s="3">
        <v>0.51597222222222228</v>
      </c>
      <c r="R571">
        <v>2.5</v>
      </c>
      <c r="S571">
        <v>3.34</v>
      </c>
      <c r="T571">
        <v>10.47</v>
      </c>
      <c r="U571">
        <v>3.79</v>
      </c>
      <c r="V571">
        <v>3.79</v>
      </c>
      <c r="W571">
        <v>100</v>
      </c>
      <c r="Y571">
        <v>33</v>
      </c>
      <c r="Z571">
        <v>1.5</v>
      </c>
      <c r="AA571">
        <v>0</v>
      </c>
      <c r="AB571" s="3">
        <v>0.40416666666666667</v>
      </c>
      <c r="AC571">
        <v>0</v>
      </c>
    </row>
    <row r="572" spans="1:30" x14ac:dyDescent="0.2">
      <c r="A572" t="s">
        <v>16</v>
      </c>
      <c r="C572">
        <v>0</v>
      </c>
      <c r="D572" t="s">
        <v>17</v>
      </c>
      <c r="E572">
        <v>3800</v>
      </c>
      <c r="F572" t="s">
        <v>486</v>
      </c>
      <c r="G572" t="s">
        <v>776</v>
      </c>
      <c r="H572" s="2">
        <v>0.79166666666666663</v>
      </c>
      <c r="I572" t="s">
        <v>762</v>
      </c>
      <c r="J572" s="1">
        <v>0.435</v>
      </c>
      <c r="K572">
        <v>-77</v>
      </c>
      <c r="L572">
        <v>5.5</v>
      </c>
      <c r="M572">
        <v>2.87</v>
      </c>
      <c r="N572">
        <v>2.75</v>
      </c>
      <c r="O572">
        <v>1</v>
      </c>
      <c r="Q572" s="3">
        <v>0.95625000000000004</v>
      </c>
      <c r="R572">
        <v>9.5</v>
      </c>
      <c r="S572">
        <v>6.85</v>
      </c>
      <c r="T572">
        <v>23.71</v>
      </c>
      <c r="U572">
        <v>10.01</v>
      </c>
      <c r="V572">
        <v>10.01</v>
      </c>
      <c r="W572">
        <v>100</v>
      </c>
      <c r="Y572">
        <v>64</v>
      </c>
      <c r="Z572">
        <v>2.6</v>
      </c>
      <c r="AA572">
        <v>0</v>
      </c>
      <c r="AB572" s="3">
        <v>0.97499999999999998</v>
      </c>
      <c r="AC572">
        <v>11.3</v>
      </c>
      <c r="AD572">
        <v>3</v>
      </c>
    </row>
    <row r="573" spans="1:30" x14ac:dyDescent="0.2">
      <c r="A573" t="s">
        <v>12</v>
      </c>
      <c r="C573">
        <v>0</v>
      </c>
      <c r="D573" t="s">
        <v>5</v>
      </c>
      <c r="E573">
        <v>4400</v>
      </c>
      <c r="F573" t="s">
        <v>505</v>
      </c>
      <c r="G573" t="s">
        <v>793</v>
      </c>
      <c r="H573" s="2">
        <v>0.91666666666666663</v>
      </c>
      <c r="I573" t="s">
        <v>762</v>
      </c>
      <c r="J573" s="1">
        <v>0.41499999999999998</v>
      </c>
      <c r="K573">
        <v>-71</v>
      </c>
      <c r="L573">
        <v>6</v>
      </c>
      <c r="M573">
        <v>3.02</v>
      </c>
      <c r="N573">
        <v>3</v>
      </c>
      <c r="O573">
        <v>1</v>
      </c>
      <c r="P573">
        <v>1</v>
      </c>
      <c r="Q573" s="3">
        <v>0.81458333333333333</v>
      </c>
      <c r="R573">
        <v>8.5</v>
      </c>
      <c r="S573">
        <v>5.52</v>
      </c>
      <c r="T573">
        <v>21.83</v>
      </c>
      <c r="U573">
        <v>10.79</v>
      </c>
      <c r="V573">
        <v>10.79</v>
      </c>
      <c r="W573">
        <v>100</v>
      </c>
      <c r="Y573">
        <v>68</v>
      </c>
      <c r="Z573">
        <v>2.5</v>
      </c>
      <c r="AA573">
        <v>0</v>
      </c>
      <c r="AB573" s="3">
        <v>0.69236111111111109</v>
      </c>
      <c r="AC573">
        <v>10</v>
      </c>
      <c r="AD573">
        <v>2.2999999999999998</v>
      </c>
    </row>
    <row r="574" spans="1:30" x14ac:dyDescent="0.2">
      <c r="A574" t="s">
        <v>461</v>
      </c>
      <c r="C574">
        <v>0</v>
      </c>
      <c r="D574" t="s">
        <v>10</v>
      </c>
      <c r="E574">
        <v>2900</v>
      </c>
      <c r="F574" t="s">
        <v>502</v>
      </c>
      <c r="G574" t="s">
        <v>798</v>
      </c>
      <c r="H574" s="2">
        <v>0.83333333333333337</v>
      </c>
      <c r="I574" t="s">
        <v>766</v>
      </c>
      <c r="J574" s="1">
        <v>0.48699999999999999</v>
      </c>
      <c r="K574">
        <v>105.5</v>
      </c>
      <c r="L574">
        <v>6</v>
      </c>
      <c r="M574">
        <v>3</v>
      </c>
      <c r="N574">
        <v>3.46</v>
      </c>
      <c r="O574">
        <v>3</v>
      </c>
      <c r="P574">
        <v>1</v>
      </c>
      <c r="Q574" s="3">
        <v>0.57361111111111107</v>
      </c>
      <c r="R574">
        <v>6.1</v>
      </c>
      <c r="S574">
        <v>5.47</v>
      </c>
      <c r="T574">
        <v>17.760000000000002</v>
      </c>
      <c r="U574">
        <v>6.82</v>
      </c>
      <c r="V574">
        <v>6.82</v>
      </c>
      <c r="W574">
        <v>100</v>
      </c>
      <c r="Y574">
        <v>55</v>
      </c>
      <c r="Z574">
        <v>2.4</v>
      </c>
      <c r="AA574">
        <v>0</v>
      </c>
      <c r="AB574" s="3">
        <v>0.68472222222222223</v>
      </c>
      <c r="AC574">
        <v>5.8</v>
      </c>
      <c r="AD574">
        <v>2</v>
      </c>
    </row>
    <row r="575" spans="1:30" x14ac:dyDescent="0.2">
      <c r="A575" t="s">
        <v>232</v>
      </c>
      <c r="C575">
        <v>0</v>
      </c>
      <c r="D575" t="s">
        <v>10</v>
      </c>
      <c r="E575">
        <v>4100</v>
      </c>
      <c r="F575" t="s">
        <v>509</v>
      </c>
      <c r="G575" t="s">
        <v>791</v>
      </c>
      <c r="H575" s="2">
        <v>0.79166666666666663</v>
      </c>
      <c r="I575" t="s">
        <v>766</v>
      </c>
      <c r="J575" s="1">
        <v>0.51900000000000002</v>
      </c>
      <c r="K575">
        <v>92.5</v>
      </c>
      <c r="L575">
        <v>6.5</v>
      </c>
      <c r="M575">
        <v>3.25</v>
      </c>
      <c r="N575">
        <v>3.62</v>
      </c>
      <c r="O575">
        <v>3</v>
      </c>
      <c r="P575">
        <v>2</v>
      </c>
      <c r="Q575" s="3">
        <v>0.61388888888888893</v>
      </c>
      <c r="R575">
        <v>7</v>
      </c>
      <c r="S575">
        <v>6.2</v>
      </c>
      <c r="T575">
        <v>21.67</v>
      </c>
      <c r="U575">
        <v>9.27</v>
      </c>
      <c r="V575">
        <v>9.27</v>
      </c>
      <c r="W575">
        <v>100</v>
      </c>
      <c r="Y575">
        <v>56</v>
      </c>
      <c r="Z575">
        <v>2.2999999999999998</v>
      </c>
      <c r="AA575">
        <v>0</v>
      </c>
      <c r="AB575" s="3">
        <v>0.53402777777777777</v>
      </c>
      <c r="AC575">
        <v>12.8</v>
      </c>
      <c r="AD575">
        <v>3.1</v>
      </c>
    </row>
    <row r="576" spans="1:30" x14ac:dyDescent="0.2">
      <c r="A576" t="s">
        <v>614</v>
      </c>
      <c r="C576">
        <v>0</v>
      </c>
      <c r="D576" t="s">
        <v>17</v>
      </c>
      <c r="E576">
        <v>2500</v>
      </c>
      <c r="F576" t="s">
        <v>507</v>
      </c>
      <c r="G576" t="s">
        <v>796</v>
      </c>
      <c r="H576" s="2">
        <v>0.79166666666666663</v>
      </c>
      <c r="I576" t="s">
        <v>766</v>
      </c>
      <c r="J576" s="1">
        <v>0.49399999999999999</v>
      </c>
      <c r="K576">
        <v>102.5</v>
      </c>
      <c r="L576">
        <v>6</v>
      </c>
      <c r="M576">
        <v>3</v>
      </c>
      <c r="N576">
        <v>3.44</v>
      </c>
      <c r="Q576" s="3">
        <v>0.61041666666666672</v>
      </c>
      <c r="R576">
        <v>5.7</v>
      </c>
      <c r="S576">
        <v>4.2300000000000004</v>
      </c>
      <c r="T576">
        <v>0</v>
      </c>
      <c r="U576">
        <v>0</v>
      </c>
      <c r="V576">
        <v>0</v>
      </c>
      <c r="W576">
        <v>100</v>
      </c>
      <c r="Y576">
        <v>63</v>
      </c>
      <c r="Z576">
        <v>0</v>
      </c>
      <c r="AA576">
        <v>0</v>
      </c>
    </row>
    <row r="577" spans="1:30" x14ac:dyDescent="0.2">
      <c r="A577" t="s">
        <v>386</v>
      </c>
      <c r="C577">
        <v>0</v>
      </c>
      <c r="D577" t="s">
        <v>10</v>
      </c>
      <c r="E577">
        <v>3200</v>
      </c>
      <c r="F577" t="s">
        <v>488</v>
      </c>
      <c r="G577" t="s">
        <v>781</v>
      </c>
      <c r="H577" s="2">
        <v>0.91666666666666663</v>
      </c>
      <c r="I577" t="s">
        <v>766</v>
      </c>
      <c r="J577" s="1">
        <v>0.53500000000000003</v>
      </c>
      <c r="K577">
        <v>87</v>
      </c>
      <c r="L577">
        <v>6</v>
      </c>
      <c r="M577">
        <v>3</v>
      </c>
      <c r="N577">
        <v>3.14</v>
      </c>
      <c r="O577">
        <v>2</v>
      </c>
      <c r="P577">
        <v>2</v>
      </c>
      <c r="Q577" s="3">
        <v>0.59583333333333333</v>
      </c>
      <c r="R577">
        <v>5.2</v>
      </c>
      <c r="S577">
        <v>5.03</v>
      </c>
      <c r="T577">
        <v>16.09</v>
      </c>
      <c r="U577">
        <v>6.03</v>
      </c>
      <c r="V577">
        <v>6.03</v>
      </c>
      <c r="W577">
        <v>100</v>
      </c>
      <c r="Y577">
        <v>52</v>
      </c>
      <c r="Z577">
        <v>1.9</v>
      </c>
      <c r="AA577">
        <v>0</v>
      </c>
      <c r="AB577" s="3">
        <v>0.71458333333333335</v>
      </c>
      <c r="AC577">
        <v>23</v>
      </c>
      <c r="AD577">
        <v>7.2</v>
      </c>
    </row>
    <row r="578" spans="1:30" x14ac:dyDescent="0.2">
      <c r="A578" t="s">
        <v>521</v>
      </c>
      <c r="C578">
        <v>0</v>
      </c>
      <c r="D578" t="s">
        <v>17</v>
      </c>
      <c r="E578">
        <v>2600</v>
      </c>
      <c r="F578" t="s">
        <v>768</v>
      </c>
      <c r="G578" t="s">
        <v>769</v>
      </c>
      <c r="H578" s="2">
        <v>0.79166666666666663</v>
      </c>
      <c r="I578" t="s">
        <v>762</v>
      </c>
      <c r="J578" s="1">
        <v>0.51800000000000002</v>
      </c>
      <c r="K578">
        <v>-107.5</v>
      </c>
      <c r="L578">
        <v>5.5</v>
      </c>
      <c r="M578">
        <v>3.2</v>
      </c>
      <c r="N578">
        <v>2.75</v>
      </c>
      <c r="Q578" s="3">
        <v>0.67847222222222225</v>
      </c>
      <c r="R578">
        <v>5.3</v>
      </c>
      <c r="S578">
        <v>3.94</v>
      </c>
      <c r="T578">
        <v>0</v>
      </c>
      <c r="U578">
        <v>0</v>
      </c>
      <c r="V578">
        <v>0</v>
      </c>
      <c r="W578">
        <v>100</v>
      </c>
      <c r="Y578">
        <v>63</v>
      </c>
      <c r="Z578">
        <v>0</v>
      </c>
      <c r="AA578">
        <v>0</v>
      </c>
      <c r="AB578" s="3">
        <v>0.77986111111111112</v>
      </c>
      <c r="AC578">
        <v>1.5</v>
      </c>
      <c r="AD578">
        <v>0.6</v>
      </c>
    </row>
    <row r="579" spans="1:30" x14ac:dyDescent="0.2">
      <c r="A579" t="s">
        <v>209</v>
      </c>
      <c r="C579">
        <v>0</v>
      </c>
      <c r="D579" t="s">
        <v>10</v>
      </c>
      <c r="E579">
        <v>3600</v>
      </c>
      <c r="F579" t="s">
        <v>490</v>
      </c>
      <c r="G579" t="s">
        <v>771</v>
      </c>
      <c r="H579" s="2">
        <v>0.91666666666666663</v>
      </c>
      <c r="I579" t="s">
        <v>766</v>
      </c>
      <c r="J579" s="1">
        <v>0.58499999999999996</v>
      </c>
      <c r="K579">
        <v>71</v>
      </c>
      <c r="L579">
        <v>6</v>
      </c>
      <c r="M579">
        <v>3</v>
      </c>
      <c r="N579">
        <v>3.02</v>
      </c>
      <c r="O579">
        <v>1</v>
      </c>
      <c r="P579">
        <v>2</v>
      </c>
      <c r="Q579" s="3">
        <v>0.61805555555555558</v>
      </c>
      <c r="R579">
        <v>6.4</v>
      </c>
      <c r="S579">
        <v>6.18</v>
      </c>
      <c r="T579">
        <v>20.55</v>
      </c>
      <c r="U579">
        <v>8.19</v>
      </c>
      <c r="V579">
        <v>8.19</v>
      </c>
      <c r="W579">
        <v>100</v>
      </c>
      <c r="Y579">
        <v>52</v>
      </c>
      <c r="Z579">
        <v>2.2999999999999998</v>
      </c>
      <c r="AA579">
        <v>0</v>
      </c>
      <c r="AB579" s="3">
        <v>0.82430555555555551</v>
      </c>
      <c r="AC579">
        <v>6.5</v>
      </c>
      <c r="AD579">
        <v>1.8</v>
      </c>
    </row>
    <row r="580" spans="1:30" x14ac:dyDescent="0.2">
      <c r="A580" t="s">
        <v>557</v>
      </c>
      <c r="C580">
        <v>0</v>
      </c>
      <c r="D580" t="s">
        <v>10</v>
      </c>
      <c r="E580">
        <v>2500</v>
      </c>
      <c r="F580" t="s">
        <v>480</v>
      </c>
      <c r="G580" t="s">
        <v>761</v>
      </c>
      <c r="H580" s="2">
        <v>0.875</v>
      </c>
      <c r="I580" t="s">
        <v>762</v>
      </c>
      <c r="J580" s="1">
        <v>0.52900000000000003</v>
      </c>
      <c r="K580">
        <v>-112.5</v>
      </c>
      <c r="L580">
        <v>7</v>
      </c>
      <c r="M580">
        <v>4.05</v>
      </c>
      <c r="N580">
        <v>3.5</v>
      </c>
      <c r="Q580" s="3">
        <v>0.31527777777777777</v>
      </c>
      <c r="R580">
        <v>4.3</v>
      </c>
      <c r="S580">
        <v>4.2300000000000004</v>
      </c>
      <c r="T580">
        <v>0</v>
      </c>
      <c r="U580">
        <v>0</v>
      </c>
      <c r="V580">
        <v>0</v>
      </c>
      <c r="W580">
        <v>100</v>
      </c>
      <c r="Y580">
        <v>51</v>
      </c>
      <c r="Z580">
        <v>0</v>
      </c>
      <c r="AA580">
        <v>0</v>
      </c>
    </row>
    <row r="581" spans="1:30" x14ac:dyDescent="0.2">
      <c r="A581" t="s">
        <v>1032</v>
      </c>
      <c r="C581">
        <v>0</v>
      </c>
      <c r="D581" t="s">
        <v>10</v>
      </c>
      <c r="E581">
        <v>2500</v>
      </c>
      <c r="F581" t="s">
        <v>505</v>
      </c>
      <c r="G581" t="s">
        <v>793</v>
      </c>
      <c r="H581" s="2">
        <v>0.91666666666666663</v>
      </c>
      <c r="I581" t="s">
        <v>762</v>
      </c>
      <c r="J581" s="1">
        <v>0.41499999999999998</v>
      </c>
      <c r="K581">
        <v>-71</v>
      </c>
      <c r="L581">
        <v>6</v>
      </c>
      <c r="M581">
        <v>3.02</v>
      </c>
      <c r="N581">
        <v>3</v>
      </c>
      <c r="T581">
        <v>0</v>
      </c>
      <c r="U581">
        <v>0</v>
      </c>
      <c r="V581">
        <v>0</v>
      </c>
      <c r="W581">
        <v>100</v>
      </c>
      <c r="Y581">
        <v>0</v>
      </c>
      <c r="Z581">
        <v>0</v>
      </c>
      <c r="AA581">
        <v>0</v>
      </c>
    </row>
    <row r="582" spans="1:30" x14ac:dyDescent="0.2">
      <c r="A582" t="s">
        <v>574</v>
      </c>
      <c r="C582">
        <v>0</v>
      </c>
      <c r="D582" t="s">
        <v>5</v>
      </c>
      <c r="E582">
        <v>2500</v>
      </c>
      <c r="F582" t="s">
        <v>510</v>
      </c>
      <c r="G582" t="s">
        <v>802</v>
      </c>
      <c r="H582" s="2">
        <v>0.91666666666666663</v>
      </c>
      <c r="I582" t="s">
        <v>766</v>
      </c>
      <c r="J582" s="1">
        <v>0.51200000000000001</v>
      </c>
      <c r="K582">
        <v>95.5</v>
      </c>
      <c r="L582">
        <v>6.5</v>
      </c>
      <c r="M582">
        <v>3.01</v>
      </c>
      <c r="N582">
        <v>3.25</v>
      </c>
      <c r="Q582" s="3">
        <v>0.47291666666666665</v>
      </c>
      <c r="R582">
        <v>4.5999999999999996</v>
      </c>
      <c r="S582">
        <v>5.1100000000000003</v>
      </c>
      <c r="T582">
        <v>0</v>
      </c>
      <c r="U582">
        <v>0</v>
      </c>
      <c r="V582">
        <v>0</v>
      </c>
      <c r="W582">
        <v>100</v>
      </c>
      <c r="Y582">
        <v>44</v>
      </c>
      <c r="Z582">
        <v>0</v>
      </c>
      <c r="AA582">
        <v>0</v>
      </c>
    </row>
    <row r="583" spans="1:30" x14ac:dyDescent="0.2">
      <c r="A583" t="s">
        <v>427</v>
      </c>
      <c r="C583">
        <v>0</v>
      </c>
      <c r="D583" t="s">
        <v>10</v>
      </c>
      <c r="E583">
        <v>2800</v>
      </c>
      <c r="F583" t="s">
        <v>494</v>
      </c>
      <c r="G583" t="s">
        <v>782</v>
      </c>
      <c r="H583" s="2">
        <v>0.79166666666666663</v>
      </c>
      <c r="I583" t="s">
        <v>762</v>
      </c>
      <c r="J583" s="1">
        <v>0.47199999999999998</v>
      </c>
      <c r="K583">
        <v>-89.5</v>
      </c>
      <c r="L583">
        <v>6</v>
      </c>
      <c r="M583">
        <v>3</v>
      </c>
      <c r="N583">
        <v>2.82</v>
      </c>
      <c r="O583">
        <v>4</v>
      </c>
      <c r="Q583" s="3">
        <v>0.59166666666666667</v>
      </c>
      <c r="R583">
        <v>3.3</v>
      </c>
      <c r="S583">
        <v>3.35</v>
      </c>
      <c r="T583">
        <v>10.31</v>
      </c>
      <c r="U583">
        <v>3.61</v>
      </c>
      <c r="V583">
        <v>3.61</v>
      </c>
      <c r="W583">
        <v>100</v>
      </c>
      <c r="Y583">
        <v>49</v>
      </c>
      <c r="Z583">
        <v>1.3</v>
      </c>
      <c r="AA583">
        <v>0</v>
      </c>
      <c r="AB583" s="3">
        <v>0.33263888888888887</v>
      </c>
      <c r="AC583">
        <v>8</v>
      </c>
      <c r="AD583">
        <v>2.9</v>
      </c>
    </row>
    <row r="584" spans="1:30" x14ac:dyDescent="0.2">
      <c r="A584" t="s">
        <v>933</v>
      </c>
      <c r="C584">
        <v>0</v>
      </c>
      <c r="D584" t="s">
        <v>17</v>
      </c>
      <c r="E584">
        <v>2500</v>
      </c>
      <c r="F584" t="s">
        <v>768</v>
      </c>
      <c r="G584" t="s">
        <v>769</v>
      </c>
      <c r="H584" s="2">
        <v>0.79166666666666663</v>
      </c>
      <c r="I584" t="s">
        <v>762</v>
      </c>
      <c r="J584" s="1">
        <v>0.51800000000000002</v>
      </c>
      <c r="K584">
        <v>-107.5</v>
      </c>
      <c r="L584">
        <v>5.5</v>
      </c>
      <c r="M584">
        <v>3.2</v>
      </c>
      <c r="N584">
        <v>2.75</v>
      </c>
      <c r="Q584" s="3">
        <v>0.47916666666666669</v>
      </c>
      <c r="R584">
        <v>3.9</v>
      </c>
      <c r="S584">
        <v>3.9</v>
      </c>
      <c r="T584">
        <v>0</v>
      </c>
      <c r="U584">
        <v>0</v>
      </c>
      <c r="V584">
        <v>0</v>
      </c>
      <c r="W584">
        <v>100</v>
      </c>
      <c r="Y584">
        <v>0</v>
      </c>
      <c r="Z584">
        <v>0</v>
      </c>
      <c r="AA584">
        <v>0</v>
      </c>
    </row>
    <row r="585" spans="1:30" x14ac:dyDescent="0.2">
      <c r="A585" t="s">
        <v>374</v>
      </c>
      <c r="C585">
        <v>0</v>
      </c>
      <c r="D585" t="s">
        <v>10</v>
      </c>
      <c r="E585">
        <v>2500</v>
      </c>
      <c r="F585" t="s">
        <v>777</v>
      </c>
      <c r="G585" t="s">
        <v>778</v>
      </c>
      <c r="H585" s="2">
        <v>0.79166666666666663</v>
      </c>
      <c r="I585" t="s">
        <v>762</v>
      </c>
      <c r="J585" s="1">
        <v>0.46400000000000002</v>
      </c>
      <c r="K585">
        <v>-86.5</v>
      </c>
      <c r="L585">
        <v>6</v>
      </c>
      <c r="M585">
        <v>3.19</v>
      </c>
      <c r="N585">
        <v>3</v>
      </c>
      <c r="O585">
        <v>2</v>
      </c>
      <c r="Q585" s="3">
        <v>0.41319444444444442</v>
      </c>
      <c r="R585">
        <v>2.2999999999999998</v>
      </c>
      <c r="S585">
        <v>3.1</v>
      </c>
      <c r="T585">
        <v>9.2799999999999994</v>
      </c>
      <c r="U585">
        <v>3.08</v>
      </c>
      <c r="V585">
        <v>3.08</v>
      </c>
      <c r="W585">
        <v>100</v>
      </c>
      <c r="Y585">
        <v>33</v>
      </c>
      <c r="Z585">
        <v>1.2</v>
      </c>
      <c r="AA585">
        <v>0</v>
      </c>
      <c r="AB585" s="3">
        <v>0.34583333333333333</v>
      </c>
      <c r="AC585">
        <v>0</v>
      </c>
    </row>
    <row r="586" spans="1:30" x14ac:dyDescent="0.2">
      <c r="A586" t="s">
        <v>616</v>
      </c>
      <c r="C586">
        <v>0</v>
      </c>
      <c r="D586" t="s">
        <v>10</v>
      </c>
      <c r="E586">
        <v>2500</v>
      </c>
      <c r="F586" t="s">
        <v>492</v>
      </c>
      <c r="G586" t="s">
        <v>774</v>
      </c>
      <c r="H586" s="2">
        <v>0.8125</v>
      </c>
      <c r="I586" t="s">
        <v>762</v>
      </c>
      <c r="J586" s="1">
        <v>0.44</v>
      </c>
      <c r="K586">
        <v>-78.5</v>
      </c>
      <c r="L586">
        <v>6.5</v>
      </c>
      <c r="M586">
        <v>3.43</v>
      </c>
      <c r="N586">
        <v>3.25</v>
      </c>
      <c r="Q586" s="3">
        <v>0.5131944444444444</v>
      </c>
      <c r="R586">
        <v>5.4</v>
      </c>
      <c r="S586">
        <v>5.38</v>
      </c>
      <c r="T586">
        <v>0</v>
      </c>
      <c r="U586">
        <v>0</v>
      </c>
      <c r="V586">
        <v>0</v>
      </c>
      <c r="W586">
        <v>100</v>
      </c>
      <c r="Y586">
        <v>50</v>
      </c>
      <c r="Z586">
        <v>0</v>
      </c>
      <c r="AA586">
        <v>0</v>
      </c>
    </row>
    <row r="587" spans="1:30" x14ac:dyDescent="0.2">
      <c r="A587" t="s">
        <v>457</v>
      </c>
      <c r="C587">
        <v>0</v>
      </c>
      <c r="D587" t="s">
        <v>10</v>
      </c>
      <c r="E587">
        <v>3200</v>
      </c>
      <c r="F587" t="s">
        <v>506</v>
      </c>
      <c r="G587" t="s">
        <v>786</v>
      </c>
      <c r="H587" s="2">
        <v>0.79166666666666663</v>
      </c>
      <c r="I587" t="s">
        <v>766</v>
      </c>
      <c r="J587" s="1">
        <v>0.53600000000000003</v>
      </c>
      <c r="K587">
        <v>86.5</v>
      </c>
      <c r="L587">
        <v>6</v>
      </c>
      <c r="M587">
        <v>3</v>
      </c>
      <c r="N587">
        <v>3.19</v>
      </c>
      <c r="O587">
        <v>2</v>
      </c>
      <c r="P587">
        <v>2</v>
      </c>
      <c r="Q587" s="3">
        <v>0.62222222222222223</v>
      </c>
      <c r="R587">
        <v>7</v>
      </c>
      <c r="S587">
        <v>6.92</v>
      </c>
      <c r="T587">
        <v>22.96</v>
      </c>
      <c r="U587">
        <v>9.1199999999999992</v>
      </c>
      <c r="V587">
        <v>9.1199999999999992</v>
      </c>
      <c r="W587">
        <v>100</v>
      </c>
      <c r="Y587">
        <v>51</v>
      </c>
      <c r="Z587">
        <v>2.9</v>
      </c>
      <c r="AA587">
        <v>0</v>
      </c>
      <c r="AB587" s="3">
        <v>0.53472222222222221</v>
      </c>
      <c r="AC587">
        <v>4.3</v>
      </c>
      <c r="AD587">
        <v>1.3</v>
      </c>
    </row>
    <row r="588" spans="1:30" x14ac:dyDescent="0.2">
      <c r="A588" t="s">
        <v>672</v>
      </c>
      <c r="C588">
        <v>0</v>
      </c>
      <c r="D588" t="s">
        <v>17</v>
      </c>
      <c r="E588">
        <v>2500</v>
      </c>
      <c r="F588" t="s">
        <v>485</v>
      </c>
      <c r="G588" t="s">
        <v>767</v>
      </c>
      <c r="H588" s="2">
        <v>0.79166666666666663</v>
      </c>
      <c r="I588" t="s">
        <v>762</v>
      </c>
      <c r="J588" s="1">
        <v>0.48099999999999998</v>
      </c>
      <c r="K588">
        <v>-92.5</v>
      </c>
      <c r="L588">
        <v>6.5</v>
      </c>
      <c r="M588">
        <v>3.62</v>
      </c>
      <c r="N588">
        <v>3.25</v>
      </c>
      <c r="Q588" s="3">
        <v>0.59097222222222223</v>
      </c>
      <c r="R588">
        <v>5.5</v>
      </c>
      <c r="S588">
        <v>3.53</v>
      </c>
      <c r="T588">
        <v>0</v>
      </c>
      <c r="U588">
        <v>0</v>
      </c>
      <c r="V588">
        <v>0</v>
      </c>
      <c r="W588">
        <v>100</v>
      </c>
      <c r="Y588">
        <v>68</v>
      </c>
      <c r="Z588">
        <v>0</v>
      </c>
      <c r="AA588">
        <v>0</v>
      </c>
    </row>
    <row r="589" spans="1:30" x14ac:dyDescent="0.2">
      <c r="A589" t="s">
        <v>400</v>
      </c>
      <c r="C589">
        <v>0</v>
      </c>
      <c r="D589" t="s">
        <v>10</v>
      </c>
      <c r="E589">
        <v>3100</v>
      </c>
      <c r="F589" t="s">
        <v>507</v>
      </c>
      <c r="G589" t="s">
        <v>796</v>
      </c>
      <c r="H589" s="2">
        <v>0.79166666666666663</v>
      </c>
      <c r="I589" t="s">
        <v>766</v>
      </c>
      <c r="J589" s="1">
        <v>0.49399999999999999</v>
      </c>
      <c r="K589">
        <v>102.5</v>
      </c>
      <c r="L589">
        <v>6</v>
      </c>
      <c r="M589">
        <v>3</v>
      </c>
      <c r="N589">
        <v>3.44</v>
      </c>
      <c r="O589">
        <v>3</v>
      </c>
      <c r="P589">
        <v>2</v>
      </c>
      <c r="Q589" s="3">
        <v>0.51875000000000004</v>
      </c>
      <c r="R589">
        <v>5.9</v>
      </c>
      <c r="S589">
        <v>5.52</v>
      </c>
      <c r="T589">
        <v>18.38</v>
      </c>
      <c r="U589">
        <v>7.34</v>
      </c>
      <c r="V589">
        <v>7.34</v>
      </c>
      <c r="W589">
        <v>100</v>
      </c>
      <c r="Y589">
        <v>53</v>
      </c>
      <c r="Z589">
        <v>2.4</v>
      </c>
      <c r="AA589">
        <v>0</v>
      </c>
      <c r="AB589" s="3">
        <v>0.53611111111111109</v>
      </c>
      <c r="AC589">
        <v>16.5</v>
      </c>
      <c r="AD589">
        <v>5.3</v>
      </c>
    </row>
    <row r="590" spans="1:30" x14ac:dyDescent="0.2">
      <c r="A590" t="s">
        <v>523</v>
      </c>
      <c r="C590">
        <v>0</v>
      </c>
      <c r="D590" t="s">
        <v>10</v>
      </c>
      <c r="E590">
        <v>2500</v>
      </c>
      <c r="F590" t="s">
        <v>485</v>
      </c>
      <c r="G590" t="s">
        <v>767</v>
      </c>
      <c r="H590" s="2">
        <v>0.79166666666666663</v>
      </c>
      <c r="I590" t="s">
        <v>762</v>
      </c>
      <c r="J590" s="1">
        <v>0.48099999999999998</v>
      </c>
      <c r="K590">
        <v>-92.5</v>
      </c>
      <c r="L590">
        <v>6.5</v>
      </c>
      <c r="M590">
        <v>3.62</v>
      </c>
      <c r="N590">
        <v>3.25</v>
      </c>
      <c r="O590">
        <v>3</v>
      </c>
      <c r="Q590" s="3">
        <v>0.46319444444444446</v>
      </c>
      <c r="R590">
        <v>5.7</v>
      </c>
      <c r="S590">
        <v>4.9800000000000004</v>
      </c>
      <c r="T590">
        <v>16.93</v>
      </c>
      <c r="U590">
        <v>6.97</v>
      </c>
      <c r="V590">
        <v>6.97</v>
      </c>
      <c r="W590">
        <v>100</v>
      </c>
      <c r="Y590">
        <v>56</v>
      </c>
      <c r="Z590">
        <v>2.8</v>
      </c>
      <c r="AA590">
        <v>0</v>
      </c>
      <c r="AB590" s="3">
        <v>0.41805555555555557</v>
      </c>
      <c r="AC590">
        <v>3</v>
      </c>
      <c r="AD590">
        <v>1.2</v>
      </c>
    </row>
    <row r="591" spans="1:30" x14ac:dyDescent="0.2">
      <c r="A591" t="s">
        <v>331</v>
      </c>
      <c r="C591">
        <v>0</v>
      </c>
      <c r="D591" t="s">
        <v>17</v>
      </c>
      <c r="E591">
        <v>2600</v>
      </c>
      <c r="F591" t="s">
        <v>486</v>
      </c>
      <c r="G591" t="s">
        <v>776</v>
      </c>
      <c r="H591" s="2">
        <v>0.79166666666666663</v>
      </c>
      <c r="I591" t="s">
        <v>762</v>
      </c>
      <c r="J591" s="1">
        <v>0.435</v>
      </c>
      <c r="K591">
        <v>-77</v>
      </c>
      <c r="L591">
        <v>5.5</v>
      </c>
      <c r="M591">
        <v>2.87</v>
      </c>
      <c r="N591">
        <v>2.75</v>
      </c>
      <c r="O591">
        <v>3</v>
      </c>
      <c r="Q591" s="3">
        <v>0.61458333333333337</v>
      </c>
      <c r="R591">
        <v>5.2</v>
      </c>
      <c r="S591">
        <v>4.0999999999999996</v>
      </c>
      <c r="T591">
        <v>14.26</v>
      </c>
      <c r="U591">
        <v>6.06</v>
      </c>
      <c r="V591">
        <v>6.06</v>
      </c>
      <c r="W591">
        <v>100</v>
      </c>
      <c r="Y591">
        <v>61</v>
      </c>
      <c r="Z591">
        <v>2.2999999999999998</v>
      </c>
      <c r="AA591">
        <v>0</v>
      </c>
      <c r="AB591" s="3">
        <v>0.60347222222222219</v>
      </c>
      <c r="AC591">
        <v>5.6</v>
      </c>
      <c r="AD591">
        <v>2.2000000000000002</v>
      </c>
    </row>
    <row r="592" spans="1:30" x14ac:dyDescent="0.2">
      <c r="A592" t="s">
        <v>803</v>
      </c>
      <c r="C592">
        <v>0</v>
      </c>
      <c r="D592" t="s">
        <v>17</v>
      </c>
      <c r="E592">
        <v>4000</v>
      </c>
      <c r="F592" t="s">
        <v>497</v>
      </c>
      <c r="G592" t="s">
        <v>784</v>
      </c>
      <c r="H592" s="2">
        <v>0.79166666666666663</v>
      </c>
      <c r="I592" t="s">
        <v>766</v>
      </c>
      <c r="J592" s="1">
        <v>0.55100000000000005</v>
      </c>
      <c r="K592">
        <v>81.5</v>
      </c>
      <c r="L592">
        <v>6.5</v>
      </c>
      <c r="M592">
        <v>3.17</v>
      </c>
      <c r="N592">
        <v>3.25</v>
      </c>
      <c r="O592">
        <v>1</v>
      </c>
      <c r="Q592" s="4">
        <v>1.0319444444444446</v>
      </c>
      <c r="R592">
        <v>8.6999999999999993</v>
      </c>
      <c r="S592">
        <v>5.82</v>
      </c>
      <c r="T592">
        <v>21.38</v>
      </c>
      <c r="U592">
        <v>9.74</v>
      </c>
      <c r="V592">
        <v>9.74</v>
      </c>
      <c r="W592">
        <v>100</v>
      </c>
      <c r="Y592">
        <v>67</v>
      </c>
      <c r="Z592">
        <v>2.4</v>
      </c>
      <c r="AA592">
        <v>0</v>
      </c>
      <c r="AB592" s="3">
        <v>0.9</v>
      </c>
      <c r="AC592">
        <v>9.3000000000000007</v>
      </c>
      <c r="AD592">
        <v>2.2999999999999998</v>
      </c>
    </row>
    <row r="593" spans="1:30" x14ac:dyDescent="0.2">
      <c r="A593" t="s">
        <v>445</v>
      </c>
      <c r="C593">
        <v>0</v>
      </c>
      <c r="D593" t="s">
        <v>5</v>
      </c>
      <c r="E593">
        <v>2500</v>
      </c>
      <c r="F593" t="s">
        <v>506</v>
      </c>
      <c r="G593" t="s">
        <v>786</v>
      </c>
      <c r="H593" s="2">
        <v>0.79166666666666663</v>
      </c>
      <c r="I593" t="s">
        <v>766</v>
      </c>
      <c r="J593" s="1">
        <v>0.53600000000000003</v>
      </c>
      <c r="K593">
        <v>86.5</v>
      </c>
      <c r="L593">
        <v>6</v>
      </c>
      <c r="M593">
        <v>3</v>
      </c>
      <c r="N593">
        <v>3.19</v>
      </c>
      <c r="O593">
        <v>3</v>
      </c>
      <c r="Q593" s="3">
        <v>0.59583333333333333</v>
      </c>
      <c r="R593">
        <v>4.5</v>
      </c>
      <c r="S593">
        <v>3.36</v>
      </c>
      <c r="T593">
        <v>12.37</v>
      </c>
      <c r="U593">
        <v>5.65</v>
      </c>
      <c r="V593">
        <v>5.65</v>
      </c>
      <c r="W593">
        <v>100</v>
      </c>
      <c r="Y593">
        <v>63</v>
      </c>
      <c r="Z593">
        <v>2.2999999999999998</v>
      </c>
      <c r="AA593">
        <v>0</v>
      </c>
      <c r="AB593" s="3">
        <v>0.68611111111111112</v>
      </c>
      <c r="AC593">
        <v>18.2</v>
      </c>
      <c r="AD593">
        <v>7.3</v>
      </c>
    </row>
    <row r="594" spans="1:30" x14ac:dyDescent="0.2">
      <c r="A594" t="s">
        <v>351</v>
      </c>
      <c r="C594">
        <v>0</v>
      </c>
      <c r="D594" t="s">
        <v>5</v>
      </c>
      <c r="E594">
        <v>2900</v>
      </c>
      <c r="F594" t="s">
        <v>764</v>
      </c>
      <c r="G594" t="s">
        <v>765</v>
      </c>
      <c r="H594" s="2">
        <v>0.875</v>
      </c>
      <c r="I594" t="s">
        <v>766</v>
      </c>
      <c r="J594" s="1">
        <v>0.47099999999999997</v>
      </c>
      <c r="K594">
        <v>112.5</v>
      </c>
      <c r="L594">
        <v>7</v>
      </c>
      <c r="M594">
        <v>3.5</v>
      </c>
      <c r="N594">
        <v>4.05</v>
      </c>
      <c r="O594">
        <v>3</v>
      </c>
      <c r="P594">
        <v>2</v>
      </c>
      <c r="Q594" s="3">
        <v>0.5180555555555556</v>
      </c>
      <c r="R594">
        <v>5.2</v>
      </c>
      <c r="S594">
        <v>4.8600000000000003</v>
      </c>
      <c r="T594">
        <v>16.850000000000001</v>
      </c>
      <c r="U594">
        <v>7.13</v>
      </c>
      <c r="V594">
        <v>7.13</v>
      </c>
      <c r="W594">
        <v>100</v>
      </c>
      <c r="Y594">
        <v>53</v>
      </c>
      <c r="Z594">
        <v>2.5</v>
      </c>
      <c r="AA594">
        <v>0</v>
      </c>
      <c r="AB594" s="3">
        <v>0.53541666666666665</v>
      </c>
      <c r="AC594">
        <v>10</v>
      </c>
      <c r="AD594">
        <v>3.4</v>
      </c>
    </row>
    <row r="595" spans="1:30" x14ac:dyDescent="0.2">
      <c r="A595" t="s">
        <v>588</v>
      </c>
      <c r="C595">
        <v>0</v>
      </c>
      <c r="D595" t="s">
        <v>5</v>
      </c>
      <c r="E595">
        <v>2500</v>
      </c>
      <c r="F595" t="s">
        <v>492</v>
      </c>
      <c r="G595" t="s">
        <v>774</v>
      </c>
      <c r="H595" s="2">
        <v>0.8125</v>
      </c>
      <c r="I595" t="s">
        <v>762</v>
      </c>
      <c r="J595" s="1">
        <v>0.44</v>
      </c>
      <c r="K595">
        <v>-78.5</v>
      </c>
      <c r="L595">
        <v>6.5</v>
      </c>
      <c r="M595">
        <v>3.43</v>
      </c>
      <c r="N595">
        <v>3.25</v>
      </c>
      <c r="O595">
        <v>4</v>
      </c>
      <c r="Q595" s="3">
        <v>0.53819444444444442</v>
      </c>
      <c r="R595">
        <v>4.7</v>
      </c>
      <c r="S595">
        <v>4.34</v>
      </c>
      <c r="T595">
        <v>15.6</v>
      </c>
      <c r="U595">
        <v>6.92</v>
      </c>
      <c r="V595">
        <v>6.92</v>
      </c>
      <c r="W595">
        <v>100</v>
      </c>
      <c r="Y595">
        <v>54</v>
      </c>
      <c r="Z595">
        <v>2.8</v>
      </c>
      <c r="AA595">
        <v>0</v>
      </c>
      <c r="AB595" s="3">
        <v>0.53611111111111109</v>
      </c>
      <c r="AC595">
        <v>2.6</v>
      </c>
      <c r="AD595">
        <v>1</v>
      </c>
    </row>
    <row r="596" spans="1:30" x14ac:dyDescent="0.2">
      <c r="A596" t="s">
        <v>266</v>
      </c>
      <c r="C596">
        <v>0</v>
      </c>
      <c r="D596" t="s">
        <v>5</v>
      </c>
      <c r="E596">
        <v>7000</v>
      </c>
      <c r="F596" t="s">
        <v>501</v>
      </c>
      <c r="G596" t="s">
        <v>783</v>
      </c>
      <c r="H596" s="2">
        <v>0.79166666666666663</v>
      </c>
      <c r="I596" t="s">
        <v>766</v>
      </c>
      <c r="J596" s="1">
        <v>0.52800000000000002</v>
      </c>
      <c r="K596">
        <v>89.5</v>
      </c>
      <c r="L596">
        <v>6</v>
      </c>
      <c r="M596">
        <v>2.82</v>
      </c>
      <c r="N596">
        <v>3</v>
      </c>
      <c r="O596">
        <v>1</v>
      </c>
      <c r="P596">
        <v>1</v>
      </c>
      <c r="Q596" s="3">
        <v>0.86527777777777781</v>
      </c>
      <c r="R596">
        <v>11.9</v>
      </c>
      <c r="S596">
        <v>9.3000000000000007</v>
      </c>
      <c r="T596">
        <v>32.51</v>
      </c>
      <c r="U596">
        <v>13.91</v>
      </c>
      <c r="V596">
        <v>13.91</v>
      </c>
      <c r="W596">
        <v>100</v>
      </c>
      <c r="Y596">
        <v>61</v>
      </c>
      <c r="Z596">
        <v>2</v>
      </c>
      <c r="AA596">
        <v>0</v>
      </c>
      <c r="AB596" s="3">
        <v>0.99305555555555558</v>
      </c>
      <c r="AC596">
        <v>19</v>
      </c>
      <c r="AD596">
        <v>2.7</v>
      </c>
    </row>
    <row r="597" spans="1:30" x14ac:dyDescent="0.2">
      <c r="A597" t="s">
        <v>305</v>
      </c>
      <c r="C597">
        <v>0</v>
      </c>
      <c r="D597" t="s">
        <v>5</v>
      </c>
      <c r="E597">
        <v>4700</v>
      </c>
      <c r="F597" t="s">
        <v>502</v>
      </c>
      <c r="G597" t="s">
        <v>798</v>
      </c>
      <c r="H597" s="2">
        <v>0.83333333333333337</v>
      </c>
      <c r="I597" t="s">
        <v>766</v>
      </c>
      <c r="J597" s="1">
        <v>0.48699999999999999</v>
      </c>
      <c r="K597">
        <v>105.5</v>
      </c>
      <c r="L597">
        <v>6</v>
      </c>
      <c r="M597">
        <v>3</v>
      </c>
      <c r="N597">
        <v>3.46</v>
      </c>
      <c r="O597">
        <v>1</v>
      </c>
      <c r="P597">
        <v>2</v>
      </c>
      <c r="Q597" s="3">
        <v>0.72986111111111107</v>
      </c>
      <c r="R597">
        <v>8.3000000000000007</v>
      </c>
      <c r="S597">
        <v>6.8</v>
      </c>
      <c r="T597">
        <v>24.05</v>
      </c>
      <c r="U597">
        <v>10.45</v>
      </c>
      <c r="V597">
        <v>10.45</v>
      </c>
      <c r="W597">
        <v>100</v>
      </c>
      <c r="Y597">
        <v>59</v>
      </c>
      <c r="Z597">
        <v>2.2000000000000002</v>
      </c>
      <c r="AA597">
        <v>0</v>
      </c>
      <c r="AB597" s="3">
        <v>0.85416666666666663</v>
      </c>
      <c r="AC597">
        <v>3</v>
      </c>
      <c r="AD597">
        <v>0.6</v>
      </c>
    </row>
    <row r="598" spans="1:30" x14ac:dyDescent="0.2">
      <c r="A598" t="s">
        <v>4</v>
      </c>
      <c r="C598">
        <v>0</v>
      </c>
      <c r="D598" t="s">
        <v>5</v>
      </c>
      <c r="E598">
        <v>5000</v>
      </c>
      <c r="F598" t="s">
        <v>489</v>
      </c>
      <c r="G598" t="s">
        <v>788</v>
      </c>
      <c r="H598" s="2">
        <v>0.91666666666666663</v>
      </c>
      <c r="I598" t="s">
        <v>762</v>
      </c>
      <c r="J598" s="1">
        <v>0.48799999999999999</v>
      </c>
      <c r="K598">
        <v>-95.5</v>
      </c>
      <c r="L598">
        <v>6.5</v>
      </c>
      <c r="M598">
        <v>3.25</v>
      </c>
      <c r="N598">
        <v>3.01</v>
      </c>
      <c r="O598">
        <v>1</v>
      </c>
      <c r="P598">
        <v>1</v>
      </c>
      <c r="Q598" s="3">
        <v>0.78194444444444444</v>
      </c>
      <c r="R598">
        <v>9.8000000000000007</v>
      </c>
      <c r="S598">
        <v>10.17</v>
      </c>
      <c r="T598">
        <v>32.770000000000003</v>
      </c>
      <c r="U598">
        <v>12.43</v>
      </c>
      <c r="V598">
        <v>12.43</v>
      </c>
      <c r="W598">
        <v>100</v>
      </c>
      <c r="Y598">
        <v>48</v>
      </c>
      <c r="Z598">
        <v>2.5</v>
      </c>
      <c r="AA598">
        <v>0</v>
      </c>
      <c r="AB598" s="3">
        <v>0.93819444444444444</v>
      </c>
      <c r="AC598">
        <v>3</v>
      </c>
      <c r="AD598">
        <v>0.6</v>
      </c>
    </row>
    <row r="599" spans="1:30" x14ac:dyDescent="0.2">
      <c r="A599" t="s">
        <v>520</v>
      </c>
      <c r="C599">
        <v>0</v>
      </c>
      <c r="D599" t="s">
        <v>17</v>
      </c>
      <c r="E599">
        <v>2500</v>
      </c>
      <c r="F599" t="s">
        <v>498</v>
      </c>
      <c r="G599" t="s">
        <v>779</v>
      </c>
      <c r="H599" s="2">
        <v>0.79166666666666663</v>
      </c>
      <c r="I599" t="s">
        <v>762</v>
      </c>
      <c r="J599" s="1">
        <v>0.50600000000000001</v>
      </c>
      <c r="K599">
        <v>-102.5</v>
      </c>
      <c r="L599">
        <v>6</v>
      </c>
      <c r="M599">
        <v>3.44</v>
      </c>
      <c r="N599">
        <v>3</v>
      </c>
      <c r="Q599" s="3">
        <v>0.65902777777777777</v>
      </c>
      <c r="R599">
        <v>5.4</v>
      </c>
      <c r="S599">
        <v>4.18</v>
      </c>
      <c r="T599">
        <v>0</v>
      </c>
      <c r="U599">
        <v>0</v>
      </c>
      <c r="V599">
        <v>0</v>
      </c>
      <c r="W599">
        <v>100</v>
      </c>
      <c r="Y599">
        <v>61</v>
      </c>
      <c r="Z599">
        <v>0</v>
      </c>
      <c r="AA599">
        <v>0</v>
      </c>
    </row>
    <row r="600" spans="1:30" x14ac:dyDescent="0.2">
      <c r="A600" t="s">
        <v>579</v>
      </c>
      <c r="C600">
        <v>0</v>
      </c>
      <c r="D600" t="s">
        <v>17</v>
      </c>
      <c r="E600">
        <v>2600</v>
      </c>
      <c r="F600" t="s">
        <v>794</v>
      </c>
      <c r="G600" t="s">
        <v>795</v>
      </c>
      <c r="H600" s="2">
        <v>0.79166666666666663</v>
      </c>
      <c r="I600" t="s">
        <v>766</v>
      </c>
      <c r="J600" s="1">
        <v>0.56499999999999995</v>
      </c>
      <c r="K600">
        <v>77</v>
      </c>
      <c r="L600">
        <v>5.5</v>
      </c>
      <c r="M600">
        <v>2.75</v>
      </c>
      <c r="N600">
        <v>2.87</v>
      </c>
      <c r="O600">
        <v>1</v>
      </c>
      <c r="Q600" s="3">
        <v>0.84930555555555554</v>
      </c>
      <c r="R600">
        <v>4.8</v>
      </c>
      <c r="S600">
        <v>3.72</v>
      </c>
      <c r="T600">
        <v>12.26</v>
      </c>
      <c r="U600">
        <v>4.82</v>
      </c>
      <c r="V600">
        <v>4.82</v>
      </c>
      <c r="W600">
        <v>100</v>
      </c>
      <c r="Y600">
        <v>61</v>
      </c>
      <c r="Z600">
        <v>1.9</v>
      </c>
      <c r="AA600">
        <v>0</v>
      </c>
      <c r="AB600" s="3">
        <v>0.8125</v>
      </c>
      <c r="AC600">
        <v>6</v>
      </c>
      <c r="AD600">
        <v>2.2999999999999998</v>
      </c>
    </row>
    <row r="601" spans="1:30" x14ac:dyDescent="0.2">
      <c r="A601" t="s">
        <v>297</v>
      </c>
      <c r="C601">
        <v>0</v>
      </c>
      <c r="D601" t="s">
        <v>17</v>
      </c>
      <c r="E601">
        <v>5800</v>
      </c>
      <c r="F601" t="s">
        <v>507</v>
      </c>
      <c r="G601" t="s">
        <v>796</v>
      </c>
      <c r="H601" s="2">
        <v>0.79166666666666663</v>
      </c>
      <c r="I601" t="s">
        <v>766</v>
      </c>
      <c r="J601" s="1">
        <v>0.49399999999999999</v>
      </c>
      <c r="K601">
        <v>102.5</v>
      </c>
      <c r="L601">
        <v>6</v>
      </c>
      <c r="M601">
        <v>3</v>
      </c>
      <c r="N601">
        <v>3.44</v>
      </c>
      <c r="O601">
        <v>1</v>
      </c>
      <c r="P601">
        <v>1</v>
      </c>
      <c r="Q601" s="4">
        <v>1.0131944444444445</v>
      </c>
      <c r="R601">
        <v>10.8</v>
      </c>
      <c r="S601">
        <v>6.72</v>
      </c>
      <c r="T601">
        <v>25.79</v>
      </c>
      <c r="U601">
        <v>12.35</v>
      </c>
      <c r="V601">
        <v>12.35</v>
      </c>
      <c r="W601">
        <v>100</v>
      </c>
      <c r="Y601">
        <v>69</v>
      </c>
      <c r="Z601">
        <v>2.1</v>
      </c>
      <c r="AA601">
        <v>0</v>
      </c>
      <c r="AB601" s="4">
        <v>1.0201388888888889</v>
      </c>
      <c r="AC601">
        <v>3</v>
      </c>
      <c r="AD601">
        <v>0.5</v>
      </c>
    </row>
    <row r="602" spans="1:30" x14ac:dyDescent="0.2">
      <c r="A602" t="s">
        <v>223</v>
      </c>
      <c r="C602">
        <v>0</v>
      </c>
      <c r="D602" t="s">
        <v>10</v>
      </c>
      <c r="E602">
        <v>7400</v>
      </c>
      <c r="F602" t="s">
        <v>488</v>
      </c>
      <c r="G602" t="s">
        <v>781</v>
      </c>
      <c r="H602" s="2">
        <v>0.91666666666666663</v>
      </c>
      <c r="I602" t="s">
        <v>766</v>
      </c>
      <c r="J602" s="1">
        <v>0.53500000000000003</v>
      </c>
      <c r="K602">
        <v>87</v>
      </c>
      <c r="L602">
        <v>6</v>
      </c>
      <c r="M602">
        <v>3</v>
      </c>
      <c r="N602">
        <v>3.14</v>
      </c>
      <c r="O602">
        <v>1</v>
      </c>
      <c r="P602">
        <v>1</v>
      </c>
      <c r="Q602" s="3">
        <v>0.84097222222222223</v>
      </c>
      <c r="R602">
        <v>12.7</v>
      </c>
      <c r="S602">
        <v>8.3699999999999992</v>
      </c>
      <c r="T602">
        <v>29.77</v>
      </c>
      <c r="U602">
        <v>13.03</v>
      </c>
      <c r="V602">
        <v>13.03</v>
      </c>
      <c r="W602">
        <v>100</v>
      </c>
      <c r="Y602">
        <v>67</v>
      </c>
      <c r="Z602">
        <v>1.8</v>
      </c>
      <c r="AA602">
        <v>0</v>
      </c>
      <c r="AB602" s="3">
        <v>0.9243055555555556</v>
      </c>
      <c r="AC602">
        <v>7.8</v>
      </c>
      <c r="AD602">
        <v>1.1000000000000001</v>
      </c>
    </row>
    <row r="603" spans="1:30" x14ac:dyDescent="0.2">
      <c r="A603" t="s">
        <v>289</v>
      </c>
      <c r="C603">
        <v>0</v>
      </c>
      <c r="D603" t="s">
        <v>17</v>
      </c>
      <c r="E603">
        <v>5900</v>
      </c>
      <c r="F603" t="s">
        <v>488</v>
      </c>
      <c r="G603" t="s">
        <v>781</v>
      </c>
      <c r="H603" s="2">
        <v>0.91666666666666663</v>
      </c>
      <c r="I603" t="s">
        <v>766</v>
      </c>
      <c r="J603" s="1">
        <v>0.53500000000000003</v>
      </c>
      <c r="K603">
        <v>87</v>
      </c>
      <c r="L603">
        <v>6</v>
      </c>
      <c r="M603">
        <v>3</v>
      </c>
      <c r="N603">
        <v>3.14</v>
      </c>
      <c r="O603">
        <v>1</v>
      </c>
      <c r="P603">
        <v>1</v>
      </c>
      <c r="Q603" s="4">
        <v>1.0826388888888889</v>
      </c>
      <c r="R603">
        <v>10.8</v>
      </c>
      <c r="S603">
        <v>7.02</v>
      </c>
      <c r="T603">
        <v>25.68</v>
      </c>
      <c r="U603">
        <v>11.64</v>
      </c>
      <c r="V603">
        <v>11.64</v>
      </c>
      <c r="W603">
        <v>100</v>
      </c>
      <c r="Y603">
        <v>68</v>
      </c>
      <c r="Z603">
        <v>2</v>
      </c>
      <c r="AA603">
        <v>0</v>
      </c>
      <c r="AB603" s="4">
        <v>1.1180555555555556</v>
      </c>
      <c r="AC603">
        <v>1.3</v>
      </c>
      <c r="AD603">
        <v>0.2</v>
      </c>
    </row>
    <row r="604" spans="1:30" x14ac:dyDescent="0.2">
      <c r="A604" t="s">
        <v>693</v>
      </c>
      <c r="C604">
        <v>0</v>
      </c>
      <c r="D604" t="s">
        <v>10</v>
      </c>
      <c r="E604">
        <v>2500</v>
      </c>
      <c r="F604" t="s">
        <v>768</v>
      </c>
      <c r="G604" t="s">
        <v>769</v>
      </c>
      <c r="H604" s="2">
        <v>0.79166666666666663</v>
      </c>
      <c r="I604" t="s">
        <v>762</v>
      </c>
      <c r="J604" s="1">
        <v>0.51800000000000002</v>
      </c>
      <c r="K604">
        <v>-107.5</v>
      </c>
      <c r="L604">
        <v>5.5</v>
      </c>
      <c r="M604">
        <v>3.2</v>
      </c>
      <c r="N604">
        <v>2.75</v>
      </c>
      <c r="Q604" s="3">
        <v>0.40277777777777779</v>
      </c>
      <c r="R604">
        <v>1.8</v>
      </c>
      <c r="S604">
        <v>1.93</v>
      </c>
      <c r="T604">
        <v>0</v>
      </c>
      <c r="U604">
        <v>0</v>
      </c>
      <c r="V604">
        <v>0</v>
      </c>
      <c r="W604">
        <v>100</v>
      </c>
      <c r="Y604">
        <v>46</v>
      </c>
      <c r="Z604">
        <v>0</v>
      </c>
      <c r="AA604">
        <v>0</v>
      </c>
    </row>
    <row r="605" spans="1:30" x14ac:dyDescent="0.2">
      <c r="A605" t="s">
        <v>792</v>
      </c>
      <c r="C605">
        <v>0</v>
      </c>
      <c r="D605" t="s">
        <v>5</v>
      </c>
      <c r="E605">
        <v>6300</v>
      </c>
      <c r="F605" t="s">
        <v>483</v>
      </c>
      <c r="G605" t="s">
        <v>772</v>
      </c>
      <c r="H605" s="2">
        <v>0.91666666666666663</v>
      </c>
      <c r="I605" t="s">
        <v>762</v>
      </c>
      <c r="J605" s="1">
        <v>0.46500000000000002</v>
      </c>
      <c r="K605">
        <v>-87</v>
      </c>
      <c r="L605">
        <v>6</v>
      </c>
      <c r="M605">
        <v>3.14</v>
      </c>
      <c r="N605">
        <v>3</v>
      </c>
      <c r="O605">
        <v>2</v>
      </c>
      <c r="P605">
        <v>1</v>
      </c>
      <c r="Q605" s="3">
        <v>0.83333333333333337</v>
      </c>
      <c r="R605">
        <v>9.8000000000000007</v>
      </c>
      <c r="S605">
        <v>7.54</v>
      </c>
      <c r="T605">
        <v>27.62</v>
      </c>
      <c r="U605">
        <v>12.54</v>
      </c>
      <c r="V605">
        <v>12.54</v>
      </c>
      <c r="W605">
        <v>100</v>
      </c>
      <c r="Y605">
        <v>62</v>
      </c>
      <c r="Z605">
        <v>2</v>
      </c>
      <c r="AA605">
        <v>0</v>
      </c>
      <c r="AB605" s="3">
        <v>0.89097222222222228</v>
      </c>
      <c r="AC605">
        <v>16.5</v>
      </c>
      <c r="AD605">
        <v>2.6</v>
      </c>
    </row>
    <row r="606" spans="1:30" x14ac:dyDescent="0.2">
      <c r="A606" t="s">
        <v>525</v>
      </c>
      <c r="C606">
        <v>0</v>
      </c>
      <c r="D606" t="s">
        <v>5</v>
      </c>
      <c r="E606">
        <v>2500</v>
      </c>
      <c r="F606" t="s">
        <v>496</v>
      </c>
      <c r="G606" t="s">
        <v>787</v>
      </c>
      <c r="H606" s="2">
        <v>0.79166666666666663</v>
      </c>
      <c r="I606" t="s">
        <v>766</v>
      </c>
      <c r="J606" s="1">
        <v>0.48199999999999998</v>
      </c>
      <c r="K606">
        <v>107.5</v>
      </c>
      <c r="L606">
        <v>5.5</v>
      </c>
      <c r="M606">
        <v>2.75</v>
      </c>
      <c r="N606">
        <v>3.2</v>
      </c>
      <c r="O606">
        <v>4</v>
      </c>
      <c r="Q606" s="3">
        <v>0.52777777777777779</v>
      </c>
      <c r="R606">
        <v>5.6</v>
      </c>
      <c r="S606">
        <v>4.3600000000000003</v>
      </c>
      <c r="T606">
        <v>14.54</v>
      </c>
      <c r="U606">
        <v>5.82</v>
      </c>
      <c r="V606">
        <v>5.82</v>
      </c>
      <c r="W606">
        <v>100</v>
      </c>
      <c r="Y606">
        <v>61</v>
      </c>
      <c r="Z606">
        <v>2.2999999999999998</v>
      </c>
      <c r="AA606">
        <v>0</v>
      </c>
      <c r="AB606" s="3">
        <v>0.48541666666666666</v>
      </c>
      <c r="AC606">
        <v>3</v>
      </c>
      <c r="AD606">
        <v>1.2</v>
      </c>
    </row>
    <row r="607" spans="1:30" x14ac:dyDescent="0.2">
      <c r="A607" t="s">
        <v>349</v>
      </c>
      <c r="C607">
        <v>0</v>
      </c>
      <c r="D607" t="s">
        <v>5</v>
      </c>
      <c r="E607">
        <v>3200</v>
      </c>
      <c r="F607" t="s">
        <v>502</v>
      </c>
      <c r="G607" t="s">
        <v>798</v>
      </c>
      <c r="H607" s="2">
        <v>0.83333333333333337</v>
      </c>
      <c r="I607" t="s">
        <v>766</v>
      </c>
      <c r="J607" s="1">
        <v>0.48699999999999999</v>
      </c>
      <c r="K607">
        <v>105.5</v>
      </c>
      <c r="L607">
        <v>6</v>
      </c>
      <c r="M607">
        <v>3</v>
      </c>
      <c r="N607">
        <v>3.46</v>
      </c>
      <c r="O607">
        <v>3</v>
      </c>
      <c r="P607">
        <v>2</v>
      </c>
      <c r="Q607" s="3">
        <v>0.64027777777777772</v>
      </c>
      <c r="R607">
        <v>6.2</v>
      </c>
      <c r="S607">
        <v>4.71</v>
      </c>
      <c r="T607">
        <v>15.91</v>
      </c>
      <c r="U607">
        <v>6.49</v>
      </c>
      <c r="V607">
        <v>6.49</v>
      </c>
      <c r="W607">
        <v>100</v>
      </c>
      <c r="Y607">
        <v>62</v>
      </c>
      <c r="Z607">
        <v>2</v>
      </c>
      <c r="AA607">
        <v>0</v>
      </c>
      <c r="AB607" s="3">
        <v>0.68402777777777779</v>
      </c>
      <c r="AC607">
        <v>12.8</v>
      </c>
      <c r="AD607">
        <v>4</v>
      </c>
    </row>
    <row r="608" spans="1:30" x14ac:dyDescent="0.2">
      <c r="A608" t="s">
        <v>11</v>
      </c>
      <c r="C608">
        <v>0</v>
      </c>
      <c r="D608" t="s">
        <v>10</v>
      </c>
      <c r="E608">
        <v>5300</v>
      </c>
      <c r="F608" t="s">
        <v>485</v>
      </c>
      <c r="G608" t="s">
        <v>767</v>
      </c>
      <c r="H608" s="2">
        <v>0.79166666666666663</v>
      </c>
      <c r="I608" t="s">
        <v>762</v>
      </c>
      <c r="J608" s="1">
        <v>0.48099999999999998</v>
      </c>
      <c r="K608">
        <v>-92.5</v>
      </c>
      <c r="L608">
        <v>6.5</v>
      </c>
      <c r="M608">
        <v>3.62</v>
      </c>
      <c r="N608">
        <v>3.25</v>
      </c>
      <c r="O608">
        <v>1</v>
      </c>
      <c r="P608">
        <v>1</v>
      </c>
      <c r="Q608" s="3">
        <v>0.72083333333333333</v>
      </c>
      <c r="R608">
        <v>10.5</v>
      </c>
      <c r="S608">
        <v>7.52</v>
      </c>
      <c r="T608">
        <v>28.14</v>
      </c>
      <c r="U608">
        <v>13.1</v>
      </c>
      <c r="V608">
        <v>13.1</v>
      </c>
      <c r="W608">
        <v>100</v>
      </c>
      <c r="Y608">
        <v>64</v>
      </c>
      <c r="Z608">
        <v>2.5</v>
      </c>
      <c r="AA608">
        <v>0</v>
      </c>
      <c r="AB608" s="3">
        <v>0.74861111111111112</v>
      </c>
      <c r="AC608">
        <v>5</v>
      </c>
      <c r="AD608">
        <v>0.9</v>
      </c>
    </row>
    <row r="609" spans="1:30" x14ac:dyDescent="0.2">
      <c r="A609" t="s">
        <v>129</v>
      </c>
      <c r="C609">
        <v>0</v>
      </c>
      <c r="D609" t="s">
        <v>17</v>
      </c>
      <c r="E609">
        <v>4400</v>
      </c>
      <c r="F609" t="s">
        <v>490</v>
      </c>
      <c r="G609" t="s">
        <v>771</v>
      </c>
      <c r="H609" s="2">
        <v>0.91666666666666663</v>
      </c>
      <c r="I609" t="s">
        <v>766</v>
      </c>
      <c r="J609" s="1">
        <v>0.58499999999999996</v>
      </c>
      <c r="K609">
        <v>71</v>
      </c>
      <c r="L609">
        <v>6</v>
      </c>
      <c r="M609">
        <v>3</v>
      </c>
      <c r="N609">
        <v>3.02</v>
      </c>
      <c r="O609">
        <v>2</v>
      </c>
      <c r="P609">
        <v>1</v>
      </c>
      <c r="Q609" s="3">
        <v>0.90208333333333335</v>
      </c>
      <c r="R609">
        <v>8.6999999999999993</v>
      </c>
      <c r="S609">
        <v>5.68</v>
      </c>
      <c r="T609">
        <v>20.48</v>
      </c>
      <c r="U609">
        <v>9.1199999999999992</v>
      </c>
      <c r="V609">
        <v>9.1199999999999992</v>
      </c>
      <c r="W609">
        <v>100</v>
      </c>
      <c r="Y609">
        <v>67</v>
      </c>
      <c r="Z609">
        <v>2.1</v>
      </c>
      <c r="AA609">
        <v>0</v>
      </c>
      <c r="AB609" s="3">
        <v>0.95347222222222228</v>
      </c>
      <c r="AC609">
        <v>15.6</v>
      </c>
      <c r="AD609">
        <v>3.5</v>
      </c>
    </row>
    <row r="610" spans="1:30" x14ac:dyDescent="0.2">
      <c r="A610" t="s">
        <v>56</v>
      </c>
      <c r="C610">
        <v>0</v>
      </c>
      <c r="D610" t="s">
        <v>17</v>
      </c>
      <c r="E610">
        <v>5600</v>
      </c>
      <c r="F610" t="s">
        <v>492</v>
      </c>
      <c r="G610" t="s">
        <v>774</v>
      </c>
      <c r="H610" s="2">
        <v>0.8125</v>
      </c>
      <c r="I610" t="s">
        <v>762</v>
      </c>
      <c r="J610" s="1">
        <v>0.44</v>
      </c>
      <c r="K610">
        <v>-78.5</v>
      </c>
      <c r="L610">
        <v>6.5</v>
      </c>
      <c r="M610">
        <v>3.43</v>
      </c>
      <c r="N610">
        <v>3.25</v>
      </c>
      <c r="O610">
        <v>1</v>
      </c>
      <c r="P610">
        <v>1</v>
      </c>
      <c r="Q610" s="4">
        <v>1.0618055555555554</v>
      </c>
      <c r="R610">
        <v>11.3</v>
      </c>
      <c r="S610">
        <v>6.76</v>
      </c>
      <c r="T610">
        <v>28.62</v>
      </c>
      <c r="U610">
        <v>15.1</v>
      </c>
      <c r="V610">
        <v>15.1</v>
      </c>
      <c r="W610">
        <v>100</v>
      </c>
      <c r="Y610">
        <v>70</v>
      </c>
      <c r="Z610">
        <v>2.7</v>
      </c>
      <c r="AA610">
        <v>0</v>
      </c>
      <c r="AB610" s="4">
        <v>1.33125</v>
      </c>
      <c r="AC610">
        <v>10.8</v>
      </c>
      <c r="AD610">
        <v>1.9</v>
      </c>
    </row>
    <row r="611" spans="1:30" x14ac:dyDescent="0.2">
      <c r="A611" t="s">
        <v>625</v>
      </c>
      <c r="C611">
        <v>0</v>
      </c>
      <c r="D611" t="s">
        <v>5</v>
      </c>
      <c r="E611">
        <v>2500</v>
      </c>
      <c r="F611" t="s">
        <v>492</v>
      </c>
      <c r="G611" t="s">
        <v>774</v>
      </c>
      <c r="H611" s="2">
        <v>0.8125</v>
      </c>
      <c r="I611" t="s">
        <v>762</v>
      </c>
      <c r="J611" s="1">
        <v>0.44</v>
      </c>
      <c r="K611">
        <v>-78.5</v>
      </c>
      <c r="L611">
        <v>6.5</v>
      </c>
      <c r="M611">
        <v>3.43</v>
      </c>
      <c r="N611">
        <v>3.25</v>
      </c>
      <c r="Q611" s="3">
        <v>0.46041666666666664</v>
      </c>
      <c r="R611">
        <v>3.7</v>
      </c>
      <c r="S611">
        <v>4.12</v>
      </c>
      <c r="T611">
        <v>0</v>
      </c>
      <c r="U611">
        <v>0</v>
      </c>
      <c r="V611">
        <v>0</v>
      </c>
      <c r="W611">
        <v>100</v>
      </c>
      <c r="Y611">
        <v>44</v>
      </c>
      <c r="Z611">
        <v>0</v>
      </c>
      <c r="AA611">
        <v>0</v>
      </c>
    </row>
    <row r="612" spans="1:30" x14ac:dyDescent="0.2">
      <c r="A612" t="s">
        <v>428</v>
      </c>
      <c r="C612">
        <v>0</v>
      </c>
      <c r="D612" t="s">
        <v>17</v>
      </c>
      <c r="E612">
        <v>2600</v>
      </c>
      <c r="F612" t="s">
        <v>507</v>
      </c>
      <c r="G612" t="s">
        <v>796</v>
      </c>
      <c r="H612" s="2">
        <v>0.79166666666666663</v>
      </c>
      <c r="I612" t="s">
        <v>766</v>
      </c>
      <c r="J612" s="1">
        <v>0.49399999999999999</v>
      </c>
      <c r="K612">
        <v>102.5</v>
      </c>
      <c r="L612">
        <v>6</v>
      </c>
      <c r="M612">
        <v>3</v>
      </c>
      <c r="N612">
        <v>3.44</v>
      </c>
      <c r="O612">
        <v>2</v>
      </c>
      <c r="Q612" s="3">
        <v>0.83888888888888891</v>
      </c>
      <c r="R612">
        <v>5.4</v>
      </c>
      <c r="S612">
        <v>6.08</v>
      </c>
      <c r="T612">
        <v>17.97</v>
      </c>
      <c r="U612">
        <v>5.81</v>
      </c>
      <c r="V612">
        <v>5.81</v>
      </c>
      <c r="W612">
        <v>100</v>
      </c>
      <c r="Y612">
        <v>44</v>
      </c>
      <c r="Z612">
        <v>2.2000000000000002</v>
      </c>
      <c r="AA612">
        <v>0</v>
      </c>
      <c r="AB612" s="3">
        <v>0.86388888888888893</v>
      </c>
      <c r="AC612">
        <v>6.9</v>
      </c>
      <c r="AD612">
        <v>2.7</v>
      </c>
    </row>
    <row r="613" spans="1:30" x14ac:dyDescent="0.2">
      <c r="A613" t="s">
        <v>684</v>
      </c>
      <c r="C613">
        <v>0</v>
      </c>
      <c r="D613" t="s">
        <v>10</v>
      </c>
      <c r="E613">
        <v>2500</v>
      </c>
      <c r="F613" t="s">
        <v>488</v>
      </c>
      <c r="G613" t="s">
        <v>781</v>
      </c>
      <c r="H613" s="2">
        <v>0.91666666666666663</v>
      </c>
      <c r="I613" t="s">
        <v>766</v>
      </c>
      <c r="J613" s="1">
        <v>0.53500000000000003</v>
      </c>
      <c r="K613">
        <v>87</v>
      </c>
      <c r="L613">
        <v>6</v>
      </c>
      <c r="M613">
        <v>3</v>
      </c>
      <c r="N613">
        <v>3.14</v>
      </c>
      <c r="Q613" s="3">
        <v>0.35555555555555557</v>
      </c>
      <c r="R613">
        <v>2.5</v>
      </c>
      <c r="S613">
        <v>4.72</v>
      </c>
      <c r="T613">
        <v>0</v>
      </c>
      <c r="U613">
        <v>0</v>
      </c>
      <c r="V613">
        <v>0</v>
      </c>
      <c r="W613">
        <v>100</v>
      </c>
      <c r="Y613">
        <v>6</v>
      </c>
      <c r="Z613">
        <v>0</v>
      </c>
      <c r="AA613">
        <v>0</v>
      </c>
    </row>
    <row r="614" spans="1:30" x14ac:dyDescent="0.2">
      <c r="A614" t="s">
        <v>944</v>
      </c>
      <c r="C614">
        <v>0</v>
      </c>
      <c r="D614" t="s">
        <v>10</v>
      </c>
      <c r="E614">
        <v>2500</v>
      </c>
      <c r="F614" t="s">
        <v>777</v>
      </c>
      <c r="G614" t="s">
        <v>778</v>
      </c>
      <c r="H614" s="2">
        <v>0.79166666666666663</v>
      </c>
      <c r="I614" t="s">
        <v>762</v>
      </c>
      <c r="J614" s="1">
        <v>0.46400000000000002</v>
      </c>
      <c r="K614">
        <v>-86.5</v>
      </c>
      <c r="L614">
        <v>6</v>
      </c>
      <c r="M614">
        <v>3.19</v>
      </c>
      <c r="N614">
        <v>3</v>
      </c>
      <c r="Q614" s="3">
        <v>0.44513888888888886</v>
      </c>
      <c r="R614">
        <v>2.9</v>
      </c>
      <c r="S614">
        <v>1.6</v>
      </c>
      <c r="T614">
        <v>0</v>
      </c>
      <c r="U614">
        <v>0</v>
      </c>
      <c r="V614">
        <v>0</v>
      </c>
      <c r="W614">
        <v>100</v>
      </c>
      <c r="Y614">
        <v>0</v>
      </c>
      <c r="Z614">
        <v>0</v>
      </c>
      <c r="AA614">
        <v>0</v>
      </c>
    </row>
    <row r="615" spans="1:30" x14ac:dyDescent="0.2">
      <c r="A615" t="s">
        <v>23</v>
      </c>
      <c r="C615">
        <v>0</v>
      </c>
      <c r="D615" t="s">
        <v>5</v>
      </c>
      <c r="E615">
        <v>10300</v>
      </c>
      <c r="F615" t="s">
        <v>478</v>
      </c>
      <c r="G615" t="s">
        <v>763</v>
      </c>
      <c r="H615" s="2">
        <v>0.79166666666666663</v>
      </c>
      <c r="I615" t="s">
        <v>762</v>
      </c>
      <c r="J615" s="1">
        <v>0.44900000000000001</v>
      </c>
      <c r="K615">
        <v>-81.5</v>
      </c>
      <c r="L615">
        <v>6.5</v>
      </c>
      <c r="M615">
        <v>3.25</v>
      </c>
      <c r="N615">
        <v>3.17</v>
      </c>
      <c r="O615">
        <v>1</v>
      </c>
      <c r="P615">
        <v>1</v>
      </c>
      <c r="Q615" s="3">
        <v>0.92013888888888884</v>
      </c>
      <c r="R615">
        <v>20.6</v>
      </c>
      <c r="S615">
        <v>11.53</v>
      </c>
      <c r="T615">
        <v>48.34</v>
      </c>
      <c r="U615">
        <v>25.28</v>
      </c>
      <c r="V615">
        <v>25.28</v>
      </c>
      <c r="W615">
        <v>100</v>
      </c>
      <c r="Y615">
        <v>72</v>
      </c>
      <c r="Z615">
        <v>2.5</v>
      </c>
      <c r="AA615">
        <v>0</v>
      </c>
      <c r="AB615" s="3">
        <v>0.88124999999999998</v>
      </c>
      <c r="AC615">
        <v>3</v>
      </c>
      <c r="AD615">
        <v>0.3</v>
      </c>
    </row>
    <row r="616" spans="1:30" x14ac:dyDescent="0.2">
      <c r="A616" t="s">
        <v>593</v>
      </c>
      <c r="C616">
        <v>0</v>
      </c>
      <c r="D616" t="s">
        <v>10</v>
      </c>
      <c r="E616">
        <v>2500</v>
      </c>
      <c r="F616" t="s">
        <v>504</v>
      </c>
      <c r="G616" t="s">
        <v>799</v>
      </c>
      <c r="H616" s="2">
        <v>0.83333333333333337</v>
      </c>
      <c r="I616" t="s">
        <v>766</v>
      </c>
      <c r="J616" s="1">
        <v>0.51300000000000001</v>
      </c>
      <c r="K616">
        <v>95</v>
      </c>
      <c r="L616">
        <v>5.5</v>
      </c>
      <c r="M616">
        <v>2.54</v>
      </c>
      <c r="N616">
        <v>2.75</v>
      </c>
      <c r="O616">
        <v>4</v>
      </c>
      <c r="Q616" s="3">
        <v>0.51666666666666672</v>
      </c>
      <c r="R616">
        <v>4.7</v>
      </c>
      <c r="S616">
        <v>3.91</v>
      </c>
      <c r="T616">
        <v>12.02</v>
      </c>
      <c r="U616">
        <v>4.2</v>
      </c>
      <c r="V616">
        <v>4.2</v>
      </c>
      <c r="W616">
        <v>100</v>
      </c>
      <c r="Y616">
        <v>58</v>
      </c>
      <c r="Z616">
        <v>1.7</v>
      </c>
      <c r="AA616">
        <v>0</v>
      </c>
      <c r="AB616" s="3">
        <v>0.48125000000000001</v>
      </c>
      <c r="AC616">
        <v>0</v>
      </c>
    </row>
    <row r="617" spans="1:30" x14ac:dyDescent="0.2">
      <c r="A617" t="s">
        <v>263</v>
      </c>
      <c r="C617">
        <v>0</v>
      </c>
      <c r="D617" t="s">
        <v>5</v>
      </c>
      <c r="E617">
        <v>5700</v>
      </c>
      <c r="F617" t="s">
        <v>502</v>
      </c>
      <c r="G617" t="s">
        <v>798</v>
      </c>
      <c r="H617" s="2">
        <v>0.83333333333333337</v>
      </c>
      <c r="I617" t="s">
        <v>766</v>
      </c>
      <c r="J617" s="1">
        <v>0.48699999999999999</v>
      </c>
      <c r="K617">
        <v>105.5</v>
      </c>
      <c r="L617">
        <v>6</v>
      </c>
      <c r="M617">
        <v>3</v>
      </c>
      <c r="N617">
        <v>3.46</v>
      </c>
      <c r="O617">
        <v>2</v>
      </c>
      <c r="P617">
        <v>1</v>
      </c>
      <c r="Q617" s="3">
        <v>0.81666666666666665</v>
      </c>
      <c r="R617">
        <v>9.4</v>
      </c>
      <c r="S617">
        <v>7.65</v>
      </c>
      <c r="T617">
        <v>24.92</v>
      </c>
      <c r="U617">
        <v>9.6199999999999992</v>
      </c>
      <c r="V617">
        <v>9.6199999999999992</v>
      </c>
      <c r="W617">
        <v>100</v>
      </c>
      <c r="Y617">
        <v>59</v>
      </c>
      <c r="Z617">
        <v>1.7</v>
      </c>
      <c r="AA617">
        <v>0</v>
      </c>
      <c r="AB617" s="3">
        <v>0.67500000000000004</v>
      </c>
      <c r="AC617">
        <v>4.5</v>
      </c>
      <c r="AD617">
        <v>0.8</v>
      </c>
    </row>
    <row r="618" spans="1:30" x14ac:dyDescent="0.2">
      <c r="A618" t="s">
        <v>895</v>
      </c>
      <c r="C618">
        <v>0</v>
      </c>
      <c r="D618" t="s">
        <v>17</v>
      </c>
      <c r="E618">
        <v>3100</v>
      </c>
      <c r="F618" t="s">
        <v>496</v>
      </c>
      <c r="G618" t="s">
        <v>787</v>
      </c>
      <c r="H618" s="2">
        <v>0.79166666666666663</v>
      </c>
      <c r="I618" t="s">
        <v>766</v>
      </c>
      <c r="J618" s="1">
        <v>0.48199999999999998</v>
      </c>
      <c r="K618">
        <v>107.5</v>
      </c>
      <c r="L618">
        <v>5.5</v>
      </c>
      <c r="M618">
        <v>2.75</v>
      </c>
      <c r="N618">
        <v>3.2</v>
      </c>
      <c r="Q618" s="3">
        <v>0.95138888888888884</v>
      </c>
      <c r="R618">
        <v>7.7</v>
      </c>
      <c r="S618">
        <v>4.8499999999999996</v>
      </c>
      <c r="T618">
        <v>0</v>
      </c>
      <c r="U618">
        <v>0</v>
      </c>
      <c r="V618">
        <v>0</v>
      </c>
      <c r="W618">
        <v>100</v>
      </c>
      <c r="Y618">
        <v>69</v>
      </c>
      <c r="Z618">
        <v>0</v>
      </c>
      <c r="AA618">
        <v>0</v>
      </c>
    </row>
    <row r="619" spans="1:30" x14ac:dyDescent="0.2">
      <c r="A619" t="s">
        <v>458</v>
      </c>
      <c r="C619">
        <v>0</v>
      </c>
      <c r="D619" t="s">
        <v>5</v>
      </c>
      <c r="E619">
        <v>3200</v>
      </c>
      <c r="F619" t="s">
        <v>500</v>
      </c>
      <c r="G619" t="s">
        <v>785</v>
      </c>
      <c r="H619" s="2">
        <v>0.8125</v>
      </c>
      <c r="I619" t="s">
        <v>766</v>
      </c>
      <c r="J619" s="1">
        <v>0.56000000000000005</v>
      </c>
      <c r="K619">
        <v>78.5</v>
      </c>
      <c r="L619">
        <v>6.5</v>
      </c>
      <c r="M619">
        <v>3.25</v>
      </c>
      <c r="N619">
        <v>3.43</v>
      </c>
      <c r="O619">
        <v>3</v>
      </c>
      <c r="Q619" s="3">
        <v>0.65277777777777779</v>
      </c>
      <c r="R619">
        <v>3.8</v>
      </c>
      <c r="S619">
        <v>3.44</v>
      </c>
      <c r="T619">
        <v>11.6</v>
      </c>
      <c r="U619">
        <v>4.72</v>
      </c>
      <c r="V619">
        <v>4.72</v>
      </c>
      <c r="W619">
        <v>100</v>
      </c>
      <c r="Y619">
        <v>55</v>
      </c>
      <c r="Z619">
        <v>1.5</v>
      </c>
      <c r="AA619">
        <v>0</v>
      </c>
      <c r="AB619" s="3">
        <v>0.74236111111111114</v>
      </c>
      <c r="AC619">
        <v>12.6</v>
      </c>
      <c r="AD619">
        <v>3.9</v>
      </c>
    </row>
    <row r="620" spans="1:30" x14ac:dyDescent="0.2">
      <c r="A620" t="s">
        <v>519</v>
      </c>
      <c r="C620">
        <v>0</v>
      </c>
      <c r="D620" t="s">
        <v>10</v>
      </c>
      <c r="E620">
        <v>2900</v>
      </c>
      <c r="F620" t="s">
        <v>490</v>
      </c>
      <c r="G620" t="s">
        <v>771</v>
      </c>
      <c r="H620" s="2">
        <v>0.91666666666666663</v>
      </c>
      <c r="I620" t="s">
        <v>766</v>
      </c>
      <c r="J620" s="1">
        <v>0.58499999999999996</v>
      </c>
      <c r="K620">
        <v>71</v>
      </c>
      <c r="L620">
        <v>6</v>
      </c>
      <c r="M620">
        <v>3</v>
      </c>
      <c r="N620">
        <v>3.02</v>
      </c>
      <c r="O620">
        <v>3</v>
      </c>
      <c r="P620">
        <v>2</v>
      </c>
      <c r="Q620" s="3">
        <v>0.52361111111111114</v>
      </c>
      <c r="R620">
        <v>6.6</v>
      </c>
      <c r="S620">
        <v>5.82</v>
      </c>
      <c r="T620">
        <v>18.22</v>
      </c>
      <c r="U620">
        <v>6.58</v>
      </c>
      <c r="V620">
        <v>6.58</v>
      </c>
      <c r="W620">
        <v>100</v>
      </c>
      <c r="Y620">
        <v>56</v>
      </c>
      <c r="Z620">
        <v>2.2999999999999998</v>
      </c>
      <c r="AA620">
        <v>0</v>
      </c>
      <c r="AB620" s="3">
        <v>0.67500000000000004</v>
      </c>
      <c r="AC620">
        <v>11.5</v>
      </c>
      <c r="AD620">
        <v>4</v>
      </c>
    </row>
    <row r="621" spans="1:30" x14ac:dyDescent="0.2">
      <c r="A621" t="s">
        <v>542</v>
      </c>
      <c r="C621">
        <v>0</v>
      </c>
      <c r="D621" t="s">
        <v>5</v>
      </c>
      <c r="E621">
        <v>2500</v>
      </c>
      <c r="F621" t="s">
        <v>504</v>
      </c>
      <c r="G621" t="s">
        <v>799</v>
      </c>
      <c r="H621" s="2">
        <v>0.83333333333333337</v>
      </c>
      <c r="I621" t="s">
        <v>766</v>
      </c>
      <c r="J621" s="1">
        <v>0.51300000000000001</v>
      </c>
      <c r="K621">
        <v>95</v>
      </c>
      <c r="L621">
        <v>5.5</v>
      </c>
      <c r="M621">
        <v>2.54</v>
      </c>
      <c r="N621">
        <v>2.75</v>
      </c>
      <c r="O621">
        <v>4</v>
      </c>
      <c r="Q621" s="3">
        <v>0.49375000000000002</v>
      </c>
      <c r="R621">
        <v>5.2</v>
      </c>
      <c r="S621">
        <v>4.91</v>
      </c>
      <c r="T621">
        <v>14.8</v>
      </c>
      <c r="U621">
        <v>4.9800000000000004</v>
      </c>
      <c r="V621">
        <v>4.9800000000000004</v>
      </c>
      <c r="W621">
        <v>100</v>
      </c>
      <c r="Y621">
        <v>53</v>
      </c>
      <c r="Z621">
        <v>2</v>
      </c>
      <c r="AA621">
        <v>0</v>
      </c>
      <c r="AB621" s="3">
        <v>0.31874999999999998</v>
      </c>
      <c r="AC621">
        <v>0</v>
      </c>
    </row>
    <row r="622" spans="1:30" x14ac:dyDescent="0.2">
      <c r="A622" t="s">
        <v>397</v>
      </c>
      <c r="C622">
        <v>0</v>
      </c>
      <c r="D622" t="s">
        <v>17</v>
      </c>
      <c r="E622">
        <v>3000</v>
      </c>
      <c r="F622" t="s">
        <v>506</v>
      </c>
      <c r="G622" t="s">
        <v>786</v>
      </c>
      <c r="H622" s="2">
        <v>0.79166666666666663</v>
      </c>
      <c r="I622" t="s">
        <v>766</v>
      </c>
      <c r="J622" s="1">
        <v>0.53600000000000003</v>
      </c>
      <c r="K622">
        <v>86.5</v>
      </c>
      <c r="L622">
        <v>6</v>
      </c>
      <c r="M622">
        <v>3</v>
      </c>
      <c r="N622">
        <v>3.19</v>
      </c>
      <c r="O622">
        <v>3</v>
      </c>
      <c r="P622">
        <v>2</v>
      </c>
      <c r="Q622" s="3">
        <v>0.75902777777777775</v>
      </c>
      <c r="R622">
        <v>6.5</v>
      </c>
      <c r="S622">
        <v>4.8499999999999996</v>
      </c>
      <c r="T622">
        <v>16.690000000000001</v>
      </c>
      <c r="U622">
        <v>6.99</v>
      </c>
      <c r="V622">
        <v>6.99</v>
      </c>
      <c r="W622">
        <v>100</v>
      </c>
      <c r="Y622">
        <v>63</v>
      </c>
      <c r="Z622">
        <v>2.2999999999999998</v>
      </c>
      <c r="AA622">
        <v>0</v>
      </c>
      <c r="AB622" s="3">
        <v>0.70277777777777772</v>
      </c>
      <c r="AC622">
        <v>1.5</v>
      </c>
      <c r="AD622">
        <v>0.5</v>
      </c>
    </row>
    <row r="623" spans="1:30" x14ac:dyDescent="0.2">
      <c r="A623" t="s">
        <v>602</v>
      </c>
      <c r="C623">
        <v>0</v>
      </c>
      <c r="D623" t="s">
        <v>17</v>
      </c>
      <c r="E623">
        <v>2500</v>
      </c>
      <c r="F623" t="s">
        <v>507</v>
      </c>
      <c r="G623" t="s">
        <v>796</v>
      </c>
      <c r="H623" s="2">
        <v>0.79166666666666663</v>
      </c>
      <c r="I623" t="s">
        <v>766</v>
      </c>
      <c r="J623" s="1">
        <v>0.49399999999999999</v>
      </c>
      <c r="K623">
        <v>102.5</v>
      </c>
      <c r="L623">
        <v>6</v>
      </c>
      <c r="M623">
        <v>3</v>
      </c>
      <c r="N623">
        <v>3.44</v>
      </c>
      <c r="O623">
        <v>3</v>
      </c>
      <c r="Q623" s="3">
        <v>0.57847222222222228</v>
      </c>
      <c r="R623">
        <v>3</v>
      </c>
      <c r="S623">
        <v>3.47</v>
      </c>
      <c r="T623">
        <v>10.29</v>
      </c>
      <c r="U623">
        <v>3.35</v>
      </c>
      <c r="V623">
        <v>3.35</v>
      </c>
      <c r="W623">
        <v>100</v>
      </c>
      <c r="Y623">
        <v>42</v>
      </c>
      <c r="Z623">
        <v>1.3</v>
      </c>
      <c r="AA623">
        <v>0</v>
      </c>
      <c r="AB623" s="3">
        <v>0.47152777777777777</v>
      </c>
      <c r="AC623">
        <v>7.8</v>
      </c>
      <c r="AD623">
        <v>3.1</v>
      </c>
    </row>
    <row r="624" spans="1:30" x14ac:dyDescent="0.2">
      <c r="A624" t="s">
        <v>633</v>
      </c>
      <c r="C624">
        <v>0</v>
      </c>
      <c r="D624" t="s">
        <v>5</v>
      </c>
      <c r="E624">
        <v>2500</v>
      </c>
      <c r="F624" t="s">
        <v>491</v>
      </c>
      <c r="G624" t="s">
        <v>773</v>
      </c>
      <c r="H624" s="2">
        <v>0.79166666666666663</v>
      </c>
      <c r="I624" t="s">
        <v>766</v>
      </c>
      <c r="J624" s="1">
        <v>0.49299999999999999</v>
      </c>
      <c r="K624">
        <v>103</v>
      </c>
      <c r="L624">
        <v>6.5</v>
      </c>
      <c r="M624">
        <v>3.25</v>
      </c>
      <c r="N624">
        <v>3.71</v>
      </c>
      <c r="O624">
        <v>4</v>
      </c>
      <c r="P624">
        <v>2</v>
      </c>
      <c r="Q624" s="3">
        <v>0.55486111111111114</v>
      </c>
      <c r="R624">
        <v>4.5</v>
      </c>
      <c r="S624">
        <v>4.3499999999999996</v>
      </c>
      <c r="T624">
        <v>14.04</v>
      </c>
      <c r="U624">
        <v>5.34</v>
      </c>
      <c r="V624">
        <v>5.34</v>
      </c>
      <c r="W624">
        <v>100</v>
      </c>
      <c r="Y624">
        <v>52</v>
      </c>
      <c r="Z624">
        <v>2.1</v>
      </c>
      <c r="AA624">
        <v>0</v>
      </c>
      <c r="AB624" s="3">
        <v>5.4166666666666669E-2</v>
      </c>
      <c r="AC624">
        <v>0</v>
      </c>
    </row>
    <row r="625" spans="1:30" x14ac:dyDescent="0.2">
      <c r="A625" t="s">
        <v>341</v>
      </c>
      <c r="C625">
        <v>0</v>
      </c>
      <c r="D625" t="s">
        <v>10</v>
      </c>
      <c r="E625">
        <v>2500</v>
      </c>
      <c r="F625" t="s">
        <v>491</v>
      </c>
      <c r="G625" t="s">
        <v>773</v>
      </c>
      <c r="H625" s="2">
        <v>0.79166666666666663</v>
      </c>
      <c r="I625" t="s">
        <v>766</v>
      </c>
      <c r="J625" s="1">
        <v>0.49299999999999999</v>
      </c>
      <c r="K625">
        <v>103</v>
      </c>
      <c r="L625">
        <v>6.5</v>
      </c>
      <c r="M625">
        <v>3.25</v>
      </c>
      <c r="N625">
        <v>3.71</v>
      </c>
      <c r="Q625" s="3">
        <v>0.52708333333333335</v>
      </c>
      <c r="R625">
        <v>5.4</v>
      </c>
      <c r="S625">
        <v>5.0599999999999996</v>
      </c>
      <c r="T625">
        <v>0</v>
      </c>
      <c r="U625">
        <v>0</v>
      </c>
      <c r="V625">
        <v>0</v>
      </c>
      <c r="W625">
        <v>100</v>
      </c>
      <c r="Y625">
        <v>53</v>
      </c>
      <c r="Z625">
        <v>0</v>
      </c>
      <c r="AA625">
        <v>0</v>
      </c>
    </row>
    <row r="626" spans="1:30" x14ac:dyDescent="0.2">
      <c r="A626" t="s">
        <v>623</v>
      </c>
      <c r="C626">
        <v>0</v>
      </c>
      <c r="D626" t="s">
        <v>17</v>
      </c>
      <c r="E626">
        <v>2500</v>
      </c>
      <c r="F626" t="s">
        <v>764</v>
      </c>
      <c r="G626" t="s">
        <v>765</v>
      </c>
      <c r="H626" s="2">
        <v>0.875</v>
      </c>
      <c r="I626" t="s">
        <v>766</v>
      </c>
      <c r="J626" s="1">
        <v>0.47099999999999997</v>
      </c>
      <c r="K626">
        <v>112.5</v>
      </c>
      <c r="L626">
        <v>7</v>
      </c>
      <c r="M626">
        <v>3.5</v>
      </c>
      <c r="N626">
        <v>4.05</v>
      </c>
      <c r="Q626" s="3">
        <v>0.73750000000000004</v>
      </c>
      <c r="R626">
        <v>3.8</v>
      </c>
      <c r="S626">
        <v>2.74</v>
      </c>
      <c r="T626">
        <v>0</v>
      </c>
      <c r="U626">
        <v>0</v>
      </c>
      <c r="V626">
        <v>0</v>
      </c>
      <c r="W626">
        <v>100</v>
      </c>
      <c r="Y626">
        <v>64</v>
      </c>
      <c r="Z626">
        <v>0</v>
      </c>
      <c r="AA626">
        <v>0</v>
      </c>
    </row>
    <row r="627" spans="1:30" x14ac:dyDescent="0.2">
      <c r="A627" t="s">
        <v>538</v>
      </c>
      <c r="C627">
        <v>0</v>
      </c>
      <c r="D627" t="s">
        <v>10</v>
      </c>
      <c r="E627">
        <v>2800</v>
      </c>
      <c r="F627" t="s">
        <v>768</v>
      </c>
      <c r="G627" t="s">
        <v>769</v>
      </c>
      <c r="H627" s="2">
        <v>0.79166666666666663</v>
      </c>
      <c r="I627" t="s">
        <v>762</v>
      </c>
      <c r="J627" s="1">
        <v>0.51800000000000002</v>
      </c>
      <c r="K627">
        <v>-107.5</v>
      </c>
      <c r="L627">
        <v>5.5</v>
      </c>
      <c r="M627">
        <v>3.2</v>
      </c>
      <c r="N627">
        <v>2.75</v>
      </c>
      <c r="O627">
        <v>4</v>
      </c>
      <c r="P627">
        <v>2</v>
      </c>
      <c r="Q627" s="3">
        <v>0.59861111111111109</v>
      </c>
      <c r="R627">
        <v>4.9000000000000004</v>
      </c>
      <c r="S627">
        <v>4.28</v>
      </c>
      <c r="T627">
        <v>14.23</v>
      </c>
      <c r="U627">
        <v>5.67</v>
      </c>
      <c r="V627">
        <v>5.67</v>
      </c>
      <c r="W627">
        <v>100</v>
      </c>
      <c r="Y627">
        <v>56</v>
      </c>
      <c r="Z627">
        <v>2</v>
      </c>
      <c r="AA627">
        <v>0</v>
      </c>
      <c r="AB627" s="3">
        <v>0.50277777777777777</v>
      </c>
      <c r="AC627">
        <v>4.5</v>
      </c>
      <c r="AD627">
        <v>1.6</v>
      </c>
    </row>
    <row r="628" spans="1:30" x14ac:dyDescent="0.2">
      <c r="A628" t="s">
        <v>561</v>
      </c>
      <c r="C628">
        <v>0</v>
      </c>
      <c r="D628" t="s">
        <v>17</v>
      </c>
      <c r="E628">
        <v>2700</v>
      </c>
      <c r="F628" t="s">
        <v>506</v>
      </c>
      <c r="G628" t="s">
        <v>786</v>
      </c>
      <c r="H628" s="2">
        <v>0.79166666666666663</v>
      </c>
      <c r="I628" t="s">
        <v>766</v>
      </c>
      <c r="J628" s="1">
        <v>0.53600000000000003</v>
      </c>
      <c r="K628">
        <v>86.5</v>
      </c>
      <c r="L628">
        <v>6</v>
      </c>
      <c r="M628">
        <v>3</v>
      </c>
      <c r="N628">
        <v>3.19</v>
      </c>
      <c r="O628">
        <v>2</v>
      </c>
      <c r="Q628" s="3">
        <v>0.81388888888888888</v>
      </c>
      <c r="R628">
        <v>4.4000000000000004</v>
      </c>
      <c r="S628">
        <v>4.37</v>
      </c>
      <c r="T628">
        <v>13.07</v>
      </c>
      <c r="U628">
        <v>4.33</v>
      </c>
      <c r="V628">
        <v>4.33</v>
      </c>
      <c r="W628">
        <v>100</v>
      </c>
      <c r="Y628">
        <v>50</v>
      </c>
      <c r="Z628">
        <v>1.6</v>
      </c>
      <c r="AA628">
        <v>0</v>
      </c>
      <c r="AB628" s="3">
        <v>0.70625000000000004</v>
      </c>
      <c r="AC628">
        <v>0</v>
      </c>
    </row>
    <row r="629" spans="1:30" x14ac:dyDescent="0.2">
      <c r="A629" t="s">
        <v>321</v>
      </c>
      <c r="C629">
        <v>0</v>
      </c>
      <c r="D629" t="s">
        <v>5</v>
      </c>
      <c r="E629">
        <v>6300</v>
      </c>
      <c r="F629" t="s">
        <v>507</v>
      </c>
      <c r="G629" t="s">
        <v>796</v>
      </c>
      <c r="H629" s="2">
        <v>0.79166666666666663</v>
      </c>
      <c r="I629" t="s">
        <v>766</v>
      </c>
      <c r="J629" s="1">
        <v>0.49399999999999999</v>
      </c>
      <c r="K629">
        <v>102.5</v>
      </c>
      <c r="L629">
        <v>6</v>
      </c>
      <c r="M629">
        <v>3</v>
      </c>
      <c r="N629">
        <v>3.44</v>
      </c>
      <c r="O629">
        <v>1</v>
      </c>
      <c r="P629">
        <v>1</v>
      </c>
      <c r="Q629" s="3">
        <v>0.8208333333333333</v>
      </c>
      <c r="R629">
        <v>10.5</v>
      </c>
      <c r="S629">
        <v>9.82</v>
      </c>
      <c r="T629">
        <v>31.09</v>
      </c>
      <c r="U629">
        <v>11.45</v>
      </c>
      <c r="V629">
        <v>11.45</v>
      </c>
      <c r="W629">
        <v>100</v>
      </c>
      <c r="Y629">
        <v>53</v>
      </c>
      <c r="Z629">
        <v>1.8</v>
      </c>
      <c r="AA629">
        <v>0</v>
      </c>
      <c r="AB629" s="3">
        <v>0.80138888888888893</v>
      </c>
      <c r="AC629">
        <v>3</v>
      </c>
      <c r="AD629">
        <v>0.5</v>
      </c>
    </row>
    <row r="630" spans="1:30" x14ac:dyDescent="0.2">
      <c r="A630" t="s">
        <v>294</v>
      </c>
      <c r="C630">
        <v>0</v>
      </c>
      <c r="D630" t="s">
        <v>17</v>
      </c>
      <c r="E630">
        <v>3100</v>
      </c>
      <c r="F630" t="s">
        <v>509</v>
      </c>
      <c r="G630" t="s">
        <v>791</v>
      </c>
      <c r="H630" s="2">
        <v>0.79166666666666663</v>
      </c>
      <c r="I630" t="s">
        <v>766</v>
      </c>
      <c r="J630" s="1">
        <v>0.51900000000000002</v>
      </c>
      <c r="K630">
        <v>92.5</v>
      </c>
      <c r="L630">
        <v>6.5</v>
      </c>
      <c r="M630">
        <v>3.25</v>
      </c>
      <c r="N630">
        <v>3.62</v>
      </c>
      <c r="O630">
        <v>2</v>
      </c>
      <c r="Q630" s="3">
        <v>0.79166666666666663</v>
      </c>
      <c r="R630">
        <v>6.3</v>
      </c>
      <c r="S630">
        <v>4.78</v>
      </c>
      <c r="T630">
        <v>18.16</v>
      </c>
      <c r="U630">
        <v>8.6</v>
      </c>
      <c r="V630">
        <v>8.6</v>
      </c>
      <c r="W630">
        <v>100</v>
      </c>
      <c r="Y630">
        <v>62</v>
      </c>
      <c r="Z630">
        <v>2.8</v>
      </c>
      <c r="AA630">
        <v>0</v>
      </c>
      <c r="AB630" s="3">
        <v>0.61458333333333337</v>
      </c>
      <c r="AC630">
        <v>5.6</v>
      </c>
      <c r="AD630">
        <v>1.8</v>
      </c>
    </row>
    <row r="631" spans="1:30" x14ac:dyDescent="0.2">
      <c r="A631" t="s">
        <v>225</v>
      </c>
      <c r="C631">
        <v>0</v>
      </c>
      <c r="D631" t="s">
        <v>5</v>
      </c>
      <c r="E631">
        <v>6200</v>
      </c>
      <c r="F631" t="s">
        <v>497</v>
      </c>
      <c r="G631" t="s">
        <v>784</v>
      </c>
      <c r="H631" s="2">
        <v>0.79166666666666663</v>
      </c>
      <c r="I631" t="s">
        <v>766</v>
      </c>
      <c r="J631" s="1">
        <v>0.55100000000000005</v>
      </c>
      <c r="K631">
        <v>81.5</v>
      </c>
      <c r="L631">
        <v>6.5</v>
      </c>
      <c r="M631">
        <v>3.17</v>
      </c>
      <c r="N631">
        <v>3.25</v>
      </c>
      <c r="O631">
        <v>1</v>
      </c>
      <c r="P631">
        <v>1</v>
      </c>
      <c r="Q631" s="3">
        <v>0.86458333333333337</v>
      </c>
      <c r="R631">
        <v>11.1</v>
      </c>
      <c r="S631">
        <v>7</v>
      </c>
      <c r="T631">
        <v>26.8</v>
      </c>
      <c r="U631">
        <v>12.8</v>
      </c>
      <c r="V631">
        <v>12.8</v>
      </c>
      <c r="W631">
        <v>100</v>
      </c>
      <c r="Y631">
        <v>68</v>
      </c>
      <c r="Z631">
        <v>2.1</v>
      </c>
      <c r="AA631">
        <v>0</v>
      </c>
      <c r="AB631" s="3">
        <v>0.73750000000000004</v>
      </c>
      <c r="AC631">
        <v>33.6</v>
      </c>
      <c r="AD631">
        <v>5.4</v>
      </c>
    </row>
    <row r="632" spans="1:30" x14ac:dyDescent="0.2">
      <c r="A632" t="s">
        <v>862</v>
      </c>
      <c r="C632">
        <v>0</v>
      </c>
      <c r="D632" t="s">
        <v>7</v>
      </c>
      <c r="E632">
        <v>6500</v>
      </c>
      <c r="F632" t="s">
        <v>777</v>
      </c>
      <c r="G632" t="s">
        <v>778</v>
      </c>
      <c r="H632" s="2">
        <v>0.79166666666666663</v>
      </c>
      <c r="I632" t="s">
        <v>762</v>
      </c>
      <c r="J632" s="1">
        <v>0.46400000000000002</v>
      </c>
      <c r="K632">
        <v>-86.5</v>
      </c>
      <c r="L632">
        <v>6</v>
      </c>
      <c r="M632">
        <v>3.19</v>
      </c>
      <c r="N632">
        <v>3</v>
      </c>
      <c r="O632" t="s">
        <v>818</v>
      </c>
      <c r="Q632" s="4">
        <v>2.5</v>
      </c>
      <c r="R632">
        <v>22.8</v>
      </c>
      <c r="S632">
        <v>0</v>
      </c>
      <c r="T632">
        <v>0</v>
      </c>
      <c r="U632">
        <v>0</v>
      </c>
      <c r="V632">
        <v>0</v>
      </c>
      <c r="W632">
        <v>100</v>
      </c>
      <c r="Y632">
        <v>0</v>
      </c>
      <c r="Z632">
        <v>0</v>
      </c>
      <c r="AA632">
        <v>0</v>
      </c>
    </row>
    <row r="633" spans="1:30" x14ac:dyDescent="0.2">
      <c r="A633" t="s">
        <v>96</v>
      </c>
      <c r="C633">
        <v>0</v>
      </c>
      <c r="D633" t="s">
        <v>5</v>
      </c>
      <c r="E633">
        <v>5900</v>
      </c>
      <c r="F633" t="s">
        <v>777</v>
      </c>
      <c r="G633" t="s">
        <v>778</v>
      </c>
      <c r="H633" s="2">
        <v>0.79166666666666663</v>
      </c>
      <c r="I633" t="s">
        <v>762</v>
      </c>
      <c r="J633" s="1">
        <v>0.46400000000000002</v>
      </c>
      <c r="K633">
        <v>-86.5</v>
      </c>
      <c r="L633">
        <v>6</v>
      </c>
      <c r="M633">
        <v>3.19</v>
      </c>
      <c r="N633">
        <v>3</v>
      </c>
      <c r="O633">
        <v>2</v>
      </c>
      <c r="P633">
        <v>1</v>
      </c>
      <c r="Q633" s="3">
        <v>0.86875000000000002</v>
      </c>
      <c r="R633">
        <v>10.5</v>
      </c>
      <c r="S633">
        <v>7.85</v>
      </c>
      <c r="T633">
        <v>27.29</v>
      </c>
      <c r="U633">
        <v>11.59</v>
      </c>
      <c r="V633">
        <v>11.59</v>
      </c>
      <c r="W633">
        <v>100</v>
      </c>
      <c r="Y633">
        <v>63</v>
      </c>
      <c r="Z633">
        <v>2</v>
      </c>
      <c r="AA633">
        <v>0</v>
      </c>
      <c r="AB633" s="4">
        <v>1.0895833333333333</v>
      </c>
      <c r="AC633">
        <v>23.3</v>
      </c>
      <c r="AD633">
        <v>3.9</v>
      </c>
    </row>
    <row r="634" spans="1:30" x14ac:dyDescent="0.2">
      <c r="A634" t="s">
        <v>423</v>
      </c>
      <c r="C634">
        <v>0</v>
      </c>
      <c r="D634" t="s">
        <v>5</v>
      </c>
      <c r="E634">
        <v>2500</v>
      </c>
      <c r="F634" t="s">
        <v>487</v>
      </c>
      <c r="G634" t="s">
        <v>770</v>
      </c>
      <c r="H634" s="2">
        <v>0.83333333333333337</v>
      </c>
      <c r="I634" t="s">
        <v>762</v>
      </c>
      <c r="J634" s="1">
        <v>0.51300000000000001</v>
      </c>
      <c r="K634">
        <v>-105.5</v>
      </c>
      <c r="L634">
        <v>6</v>
      </c>
      <c r="M634">
        <v>3.46</v>
      </c>
      <c r="N634">
        <v>3</v>
      </c>
      <c r="O634">
        <v>4</v>
      </c>
      <c r="Q634" s="3">
        <v>0.47291666666666665</v>
      </c>
      <c r="R634">
        <v>3.6</v>
      </c>
      <c r="S634">
        <v>4</v>
      </c>
      <c r="T634">
        <v>12.46</v>
      </c>
      <c r="U634">
        <v>4.46</v>
      </c>
      <c r="V634">
        <v>4.46</v>
      </c>
      <c r="W634">
        <v>100</v>
      </c>
      <c r="Y634">
        <v>44</v>
      </c>
      <c r="Z634">
        <v>1.8</v>
      </c>
      <c r="AA634">
        <v>0</v>
      </c>
      <c r="AB634" s="3">
        <v>0.40833333333333333</v>
      </c>
      <c r="AC634">
        <v>1.3</v>
      </c>
      <c r="AD634">
        <v>0.5</v>
      </c>
    </row>
    <row r="635" spans="1:30" x14ac:dyDescent="0.2">
      <c r="A635" t="s">
        <v>997</v>
      </c>
      <c r="C635">
        <v>0</v>
      </c>
      <c r="D635" t="s">
        <v>10</v>
      </c>
      <c r="E635">
        <v>2500</v>
      </c>
      <c r="F635" t="s">
        <v>487</v>
      </c>
      <c r="G635" t="s">
        <v>770</v>
      </c>
      <c r="H635" s="2">
        <v>0.83333333333333337</v>
      </c>
      <c r="I635" t="s">
        <v>762</v>
      </c>
      <c r="J635" s="1">
        <v>0.51300000000000001</v>
      </c>
      <c r="K635">
        <v>-105.5</v>
      </c>
      <c r="L635">
        <v>6</v>
      </c>
      <c r="M635">
        <v>3.46</v>
      </c>
      <c r="N635">
        <v>3</v>
      </c>
      <c r="Q635" s="3">
        <v>0.50555555555555554</v>
      </c>
      <c r="R635">
        <v>4.8</v>
      </c>
      <c r="S635">
        <v>3.54</v>
      </c>
      <c r="T635">
        <v>0</v>
      </c>
      <c r="U635">
        <v>0</v>
      </c>
      <c r="V635">
        <v>0</v>
      </c>
      <c r="W635">
        <v>100</v>
      </c>
      <c r="Y635">
        <v>63</v>
      </c>
      <c r="Z635">
        <v>0</v>
      </c>
      <c r="AA635">
        <v>0</v>
      </c>
    </row>
    <row r="636" spans="1:30" x14ac:dyDescent="0.2">
      <c r="A636" t="s">
        <v>725</v>
      </c>
      <c r="C636">
        <v>0</v>
      </c>
      <c r="D636" t="s">
        <v>5</v>
      </c>
      <c r="E636">
        <v>2500</v>
      </c>
      <c r="F636" t="s">
        <v>509</v>
      </c>
      <c r="G636" t="s">
        <v>791</v>
      </c>
      <c r="H636" s="2">
        <v>0.79166666666666663</v>
      </c>
      <c r="I636" t="s">
        <v>766</v>
      </c>
      <c r="J636" s="1">
        <v>0.51900000000000002</v>
      </c>
      <c r="K636">
        <v>92.5</v>
      </c>
      <c r="L636">
        <v>6.5</v>
      </c>
      <c r="M636">
        <v>3.25</v>
      </c>
      <c r="N636">
        <v>3.62</v>
      </c>
      <c r="O636">
        <v>4</v>
      </c>
      <c r="Q636" s="3">
        <v>0.34236111111111112</v>
      </c>
      <c r="R636">
        <v>1.1000000000000001</v>
      </c>
      <c r="S636">
        <v>1.1200000000000001</v>
      </c>
      <c r="T636">
        <v>4.87</v>
      </c>
      <c r="U636">
        <v>2.63</v>
      </c>
      <c r="V636">
        <v>2.63</v>
      </c>
      <c r="W636">
        <v>100</v>
      </c>
      <c r="Y636">
        <v>49</v>
      </c>
      <c r="Z636">
        <v>1.1000000000000001</v>
      </c>
      <c r="AA636">
        <v>0</v>
      </c>
      <c r="AB636" s="3">
        <v>0.5083333333333333</v>
      </c>
      <c r="AC636">
        <v>4.5</v>
      </c>
      <c r="AD636">
        <v>1.8</v>
      </c>
    </row>
    <row r="637" spans="1:30" x14ac:dyDescent="0.2">
      <c r="A637" t="s">
        <v>941</v>
      </c>
      <c r="C637">
        <v>0</v>
      </c>
      <c r="D637" t="s">
        <v>17</v>
      </c>
      <c r="E637">
        <v>2500</v>
      </c>
      <c r="F637" t="s">
        <v>506</v>
      </c>
      <c r="G637" t="s">
        <v>786</v>
      </c>
      <c r="H637" s="2">
        <v>0.79166666666666663</v>
      </c>
      <c r="I637" t="s">
        <v>766</v>
      </c>
      <c r="J637" s="1">
        <v>0.53600000000000003</v>
      </c>
      <c r="K637">
        <v>86.5</v>
      </c>
      <c r="L637">
        <v>6</v>
      </c>
      <c r="M637">
        <v>3</v>
      </c>
      <c r="N637">
        <v>3.19</v>
      </c>
      <c r="Q637" s="3">
        <v>0.80486111111111114</v>
      </c>
      <c r="R637">
        <v>3.9</v>
      </c>
      <c r="S637">
        <v>3.86</v>
      </c>
      <c r="T637">
        <v>0</v>
      </c>
      <c r="U637">
        <v>0</v>
      </c>
      <c r="V637">
        <v>0</v>
      </c>
      <c r="W637">
        <v>100</v>
      </c>
      <c r="Y637">
        <v>51</v>
      </c>
      <c r="Z637">
        <v>0</v>
      </c>
      <c r="AA637">
        <v>0</v>
      </c>
    </row>
    <row r="638" spans="1:30" x14ac:dyDescent="0.2">
      <c r="A638" t="s">
        <v>417</v>
      </c>
      <c r="C638">
        <v>0</v>
      </c>
      <c r="D638" t="s">
        <v>5</v>
      </c>
      <c r="E638">
        <v>2700</v>
      </c>
      <c r="F638" t="s">
        <v>490</v>
      </c>
      <c r="G638" t="s">
        <v>771</v>
      </c>
      <c r="H638" s="2">
        <v>0.91666666666666663</v>
      </c>
      <c r="I638" t="s">
        <v>766</v>
      </c>
      <c r="J638" s="1">
        <v>0.58499999999999996</v>
      </c>
      <c r="K638">
        <v>71</v>
      </c>
      <c r="L638">
        <v>6</v>
      </c>
      <c r="M638">
        <v>3</v>
      </c>
      <c r="N638">
        <v>3.02</v>
      </c>
      <c r="O638">
        <v>3</v>
      </c>
      <c r="Q638" s="3">
        <v>0.6069444444444444</v>
      </c>
      <c r="R638">
        <v>4.3</v>
      </c>
      <c r="S638">
        <v>4.63</v>
      </c>
      <c r="T638">
        <v>14.27</v>
      </c>
      <c r="U638">
        <v>5.01</v>
      </c>
      <c r="V638">
        <v>5.01</v>
      </c>
      <c r="W638">
        <v>100</v>
      </c>
      <c r="Y638">
        <v>46</v>
      </c>
      <c r="Z638">
        <v>1.9</v>
      </c>
      <c r="AA638">
        <v>0</v>
      </c>
      <c r="AB638" s="3">
        <v>0.70277777777777772</v>
      </c>
      <c r="AC638">
        <v>0</v>
      </c>
    </row>
    <row r="639" spans="1:30" x14ac:dyDescent="0.2">
      <c r="A639" t="s">
        <v>723</v>
      </c>
      <c r="C639">
        <v>0</v>
      </c>
      <c r="D639" t="s">
        <v>10</v>
      </c>
      <c r="E639">
        <v>2500</v>
      </c>
      <c r="F639" t="s">
        <v>496</v>
      </c>
      <c r="G639" t="s">
        <v>787</v>
      </c>
      <c r="H639" s="2">
        <v>0.79166666666666663</v>
      </c>
      <c r="I639" t="s">
        <v>766</v>
      </c>
      <c r="J639" s="1">
        <v>0.48199999999999998</v>
      </c>
      <c r="K639">
        <v>107.5</v>
      </c>
      <c r="L639">
        <v>5.5</v>
      </c>
      <c r="M639">
        <v>2.75</v>
      </c>
      <c r="N639">
        <v>3.2</v>
      </c>
      <c r="Q639" s="3">
        <v>0.38263888888888886</v>
      </c>
      <c r="R639">
        <v>1.8</v>
      </c>
      <c r="S639">
        <v>1.8</v>
      </c>
      <c r="T639">
        <v>0</v>
      </c>
      <c r="U639">
        <v>0</v>
      </c>
      <c r="V639">
        <v>0</v>
      </c>
      <c r="W639">
        <v>100</v>
      </c>
      <c r="Y639">
        <v>50</v>
      </c>
      <c r="Z639">
        <v>0</v>
      </c>
      <c r="AA639">
        <v>0</v>
      </c>
    </row>
    <row r="640" spans="1:30" x14ac:dyDescent="0.2">
      <c r="A640" t="s">
        <v>664</v>
      </c>
      <c r="C640">
        <v>0</v>
      </c>
      <c r="D640" t="s">
        <v>10</v>
      </c>
      <c r="E640">
        <v>2500</v>
      </c>
      <c r="F640" t="s">
        <v>509</v>
      </c>
      <c r="G640" t="s">
        <v>791</v>
      </c>
      <c r="H640" s="2">
        <v>0.79166666666666663</v>
      </c>
      <c r="I640" t="s">
        <v>766</v>
      </c>
      <c r="J640" s="1">
        <v>0.51900000000000002</v>
      </c>
      <c r="K640">
        <v>92.5</v>
      </c>
      <c r="L640">
        <v>6.5</v>
      </c>
      <c r="M640">
        <v>3.25</v>
      </c>
      <c r="N640">
        <v>3.62</v>
      </c>
      <c r="O640">
        <v>1</v>
      </c>
      <c r="Q640" s="3">
        <v>0.47013888888888888</v>
      </c>
      <c r="R640">
        <v>2.9</v>
      </c>
      <c r="S640">
        <v>4.16</v>
      </c>
      <c r="T640">
        <v>12.01</v>
      </c>
      <c r="U640">
        <v>3.69</v>
      </c>
      <c r="V640">
        <v>3.69</v>
      </c>
      <c r="W640">
        <v>100</v>
      </c>
      <c r="Y640">
        <v>28</v>
      </c>
      <c r="Z640">
        <v>1.5</v>
      </c>
      <c r="AA640">
        <v>0</v>
      </c>
      <c r="AB640" s="3">
        <v>0.57152777777777775</v>
      </c>
      <c r="AC640">
        <v>19</v>
      </c>
      <c r="AD640">
        <v>7.6</v>
      </c>
    </row>
    <row r="641" spans="1:30" x14ac:dyDescent="0.2">
      <c r="A641" t="s">
        <v>54</v>
      </c>
      <c r="C641">
        <v>0</v>
      </c>
      <c r="D641" t="s">
        <v>10</v>
      </c>
      <c r="E641">
        <v>9200</v>
      </c>
      <c r="F641" t="s">
        <v>768</v>
      </c>
      <c r="G641" t="s">
        <v>769</v>
      </c>
      <c r="H641" s="2">
        <v>0.79166666666666663</v>
      </c>
      <c r="I641" t="s">
        <v>762</v>
      </c>
      <c r="J641" s="1">
        <v>0.51800000000000002</v>
      </c>
      <c r="K641">
        <v>-107.5</v>
      </c>
      <c r="L641">
        <v>5.5</v>
      </c>
      <c r="M641">
        <v>3.2</v>
      </c>
      <c r="N641">
        <v>2.75</v>
      </c>
      <c r="O641">
        <v>1</v>
      </c>
      <c r="P641">
        <v>1</v>
      </c>
      <c r="Q641" s="3">
        <v>0.84097222222222223</v>
      </c>
      <c r="R641">
        <v>16.5</v>
      </c>
      <c r="S641">
        <v>9.4</v>
      </c>
      <c r="T641">
        <v>40.619999999999997</v>
      </c>
      <c r="U641">
        <v>21.82</v>
      </c>
      <c r="V641">
        <v>21.82</v>
      </c>
      <c r="W641">
        <v>100</v>
      </c>
      <c r="Y641">
        <v>72</v>
      </c>
      <c r="Z641">
        <v>2.4</v>
      </c>
      <c r="AA641">
        <v>0</v>
      </c>
      <c r="AB641" s="3">
        <v>0.64027777777777772</v>
      </c>
      <c r="AC641">
        <v>17.8</v>
      </c>
      <c r="AD641">
        <v>1.9</v>
      </c>
    </row>
    <row r="642" spans="1:30" x14ac:dyDescent="0.2">
      <c r="A642" t="s">
        <v>586</v>
      </c>
      <c r="C642">
        <v>0</v>
      </c>
      <c r="D642" t="s">
        <v>10</v>
      </c>
      <c r="E642">
        <v>2500</v>
      </c>
      <c r="F642" t="s">
        <v>489</v>
      </c>
      <c r="G642" t="s">
        <v>788</v>
      </c>
      <c r="H642" s="2">
        <v>0.91666666666666663</v>
      </c>
      <c r="I642" t="s">
        <v>762</v>
      </c>
      <c r="J642" s="1">
        <v>0.48799999999999999</v>
      </c>
      <c r="K642">
        <v>-95.5</v>
      </c>
      <c r="L642">
        <v>6.5</v>
      </c>
      <c r="M642">
        <v>3.25</v>
      </c>
      <c r="N642">
        <v>3.01</v>
      </c>
      <c r="Q642" s="3">
        <v>0.51597222222222228</v>
      </c>
      <c r="R642">
        <v>3.7</v>
      </c>
      <c r="S642">
        <v>5.55</v>
      </c>
      <c r="T642">
        <v>0</v>
      </c>
      <c r="U642">
        <v>0</v>
      </c>
      <c r="V642">
        <v>0</v>
      </c>
      <c r="W642">
        <v>100</v>
      </c>
      <c r="Y642">
        <v>25</v>
      </c>
      <c r="Z642">
        <v>0</v>
      </c>
      <c r="AA642">
        <v>0</v>
      </c>
    </row>
    <row r="643" spans="1:30" x14ac:dyDescent="0.2">
      <c r="A643" t="s">
        <v>130</v>
      </c>
      <c r="C643">
        <v>0</v>
      </c>
      <c r="D643" t="s">
        <v>7</v>
      </c>
      <c r="E643">
        <v>7500</v>
      </c>
      <c r="F643" t="s">
        <v>510</v>
      </c>
      <c r="G643" t="s">
        <v>802</v>
      </c>
      <c r="H643" s="2">
        <v>0.91666666666666663</v>
      </c>
      <c r="I643" t="s">
        <v>766</v>
      </c>
      <c r="J643" s="1">
        <v>0.51200000000000001</v>
      </c>
      <c r="K643">
        <v>95.5</v>
      </c>
      <c r="L643">
        <v>6.5</v>
      </c>
      <c r="M643">
        <v>3.01</v>
      </c>
      <c r="N643">
        <v>3.25</v>
      </c>
      <c r="O643" t="s">
        <v>780</v>
      </c>
      <c r="Q643" s="4">
        <v>2.2062499999999998</v>
      </c>
      <c r="R643">
        <v>9.6999999999999993</v>
      </c>
      <c r="S643">
        <v>7.13</v>
      </c>
      <c r="T643">
        <v>22.92</v>
      </c>
      <c r="U643">
        <v>8.66</v>
      </c>
      <c r="V643">
        <v>8.66</v>
      </c>
      <c r="W643">
        <v>100</v>
      </c>
      <c r="Y643">
        <v>63</v>
      </c>
      <c r="Z643">
        <v>1.2</v>
      </c>
      <c r="AA643">
        <v>0</v>
      </c>
      <c r="AB643" s="4">
        <v>2.4090277777777778</v>
      </c>
      <c r="AC643">
        <v>32.4</v>
      </c>
      <c r="AD643">
        <v>4.3</v>
      </c>
    </row>
    <row r="644" spans="1:30" x14ac:dyDescent="0.2">
      <c r="A644" t="s">
        <v>381</v>
      </c>
      <c r="C644">
        <v>0</v>
      </c>
      <c r="D644" t="s">
        <v>17</v>
      </c>
      <c r="E644">
        <v>2900</v>
      </c>
      <c r="F644" t="s">
        <v>485</v>
      </c>
      <c r="G644" t="s">
        <v>767</v>
      </c>
      <c r="H644" s="2">
        <v>0.79166666666666663</v>
      </c>
      <c r="I644" t="s">
        <v>762</v>
      </c>
      <c r="J644" s="1">
        <v>0.48099999999999998</v>
      </c>
      <c r="K644">
        <v>-92.5</v>
      </c>
      <c r="L644">
        <v>6.5</v>
      </c>
      <c r="M644">
        <v>3.62</v>
      </c>
      <c r="N644">
        <v>3.25</v>
      </c>
      <c r="O644">
        <v>3</v>
      </c>
      <c r="Q644" s="3">
        <v>0.90208333333333335</v>
      </c>
      <c r="R644">
        <v>6.4</v>
      </c>
      <c r="S644">
        <v>5.0999999999999996</v>
      </c>
      <c r="T644">
        <v>17.87</v>
      </c>
      <c r="U644">
        <v>7.67</v>
      </c>
      <c r="V644">
        <v>7.67</v>
      </c>
      <c r="W644">
        <v>100</v>
      </c>
      <c r="Y644">
        <v>60</v>
      </c>
      <c r="Z644">
        <v>2.6</v>
      </c>
      <c r="AA644">
        <v>0</v>
      </c>
      <c r="AB644" s="3">
        <v>0.86527777777777781</v>
      </c>
      <c r="AC644">
        <v>0</v>
      </c>
    </row>
    <row r="645" spans="1:30" x14ac:dyDescent="0.2">
      <c r="A645" t="s">
        <v>433</v>
      </c>
      <c r="C645">
        <v>0</v>
      </c>
      <c r="D645" t="s">
        <v>17</v>
      </c>
      <c r="E645">
        <v>2500</v>
      </c>
      <c r="F645" t="s">
        <v>493</v>
      </c>
      <c r="G645" t="s">
        <v>789</v>
      </c>
      <c r="H645" s="2">
        <v>0.83333333333333337</v>
      </c>
      <c r="I645" t="s">
        <v>762</v>
      </c>
      <c r="J645" s="1">
        <v>0.48699999999999999</v>
      </c>
      <c r="K645">
        <v>-95</v>
      </c>
      <c r="L645">
        <v>5.5</v>
      </c>
      <c r="M645">
        <v>2.75</v>
      </c>
      <c r="N645">
        <v>2.54</v>
      </c>
      <c r="O645">
        <v>2</v>
      </c>
      <c r="Q645" s="3">
        <v>0.84097222222222223</v>
      </c>
      <c r="R645">
        <v>4.0999999999999996</v>
      </c>
      <c r="S645">
        <v>3.51</v>
      </c>
      <c r="T645">
        <v>10.84</v>
      </c>
      <c r="U645">
        <v>3.82</v>
      </c>
      <c r="V645">
        <v>3.82</v>
      </c>
      <c r="W645">
        <v>100</v>
      </c>
      <c r="Y645">
        <v>57</v>
      </c>
      <c r="Z645">
        <v>1.5</v>
      </c>
      <c r="AA645">
        <v>0</v>
      </c>
      <c r="AB645" s="3">
        <v>0.7895833333333333</v>
      </c>
      <c r="AC645">
        <v>1.3</v>
      </c>
      <c r="AD645">
        <v>0.5</v>
      </c>
    </row>
    <row r="646" spans="1:30" x14ac:dyDescent="0.2">
      <c r="A646" t="s">
        <v>296</v>
      </c>
      <c r="C646">
        <v>0</v>
      </c>
      <c r="D646" t="s">
        <v>10</v>
      </c>
      <c r="E646">
        <v>5900</v>
      </c>
      <c r="F646" t="s">
        <v>498</v>
      </c>
      <c r="G646" t="s">
        <v>779</v>
      </c>
      <c r="H646" s="2">
        <v>0.79166666666666663</v>
      </c>
      <c r="I646" t="s">
        <v>762</v>
      </c>
      <c r="J646" s="1">
        <v>0.50600000000000001</v>
      </c>
      <c r="K646">
        <v>-102.5</v>
      </c>
      <c r="L646">
        <v>6</v>
      </c>
      <c r="M646">
        <v>3.44</v>
      </c>
      <c r="N646">
        <v>3</v>
      </c>
      <c r="O646">
        <v>3</v>
      </c>
      <c r="P646">
        <v>2</v>
      </c>
      <c r="Q646" s="3">
        <v>0.69444444444444442</v>
      </c>
      <c r="R646">
        <v>9.5</v>
      </c>
      <c r="S646">
        <v>8.89</v>
      </c>
      <c r="T646">
        <v>31.11</v>
      </c>
      <c r="U646">
        <v>13.33</v>
      </c>
      <c r="V646">
        <v>13.33</v>
      </c>
      <c r="W646">
        <v>100</v>
      </c>
      <c r="Y646">
        <v>53</v>
      </c>
      <c r="Z646">
        <v>2.2999999999999998</v>
      </c>
      <c r="AA646">
        <v>0</v>
      </c>
      <c r="AB646" s="3">
        <v>0.74722222222222223</v>
      </c>
      <c r="AC646">
        <v>8</v>
      </c>
      <c r="AD646">
        <v>1.4</v>
      </c>
    </row>
    <row r="647" spans="1:30" x14ac:dyDescent="0.2">
      <c r="A647" t="s">
        <v>1017</v>
      </c>
      <c r="C647">
        <v>0</v>
      </c>
      <c r="D647" t="s">
        <v>5</v>
      </c>
      <c r="E647">
        <v>2500</v>
      </c>
      <c r="F647" t="s">
        <v>510</v>
      </c>
      <c r="G647" t="s">
        <v>802</v>
      </c>
      <c r="H647" s="2">
        <v>0.91666666666666663</v>
      </c>
      <c r="I647" t="s">
        <v>766</v>
      </c>
      <c r="J647" s="1">
        <v>0.51200000000000001</v>
      </c>
      <c r="K647">
        <v>95.5</v>
      </c>
      <c r="L647">
        <v>6.5</v>
      </c>
      <c r="M647">
        <v>3.01</v>
      </c>
      <c r="N647">
        <v>3.25</v>
      </c>
      <c r="Q647" s="3">
        <v>0.36041666666666666</v>
      </c>
      <c r="R647">
        <v>1.4</v>
      </c>
      <c r="S647">
        <v>1.4</v>
      </c>
      <c r="T647">
        <v>0</v>
      </c>
      <c r="U647">
        <v>0</v>
      </c>
      <c r="V647">
        <v>0</v>
      </c>
      <c r="W647">
        <v>100</v>
      </c>
      <c r="Y647">
        <v>0</v>
      </c>
      <c r="Z647">
        <v>0</v>
      </c>
      <c r="AA647">
        <v>0</v>
      </c>
    </row>
    <row r="648" spans="1:30" x14ac:dyDescent="0.2">
      <c r="A648" t="s">
        <v>904</v>
      </c>
      <c r="C648">
        <v>0</v>
      </c>
      <c r="D648" t="s">
        <v>10</v>
      </c>
      <c r="E648">
        <v>2600</v>
      </c>
      <c r="F648" t="s">
        <v>510</v>
      </c>
      <c r="G648" t="s">
        <v>802</v>
      </c>
      <c r="H648" s="2">
        <v>0.91666666666666663</v>
      </c>
      <c r="I648" t="s">
        <v>766</v>
      </c>
      <c r="J648" s="1">
        <v>0.51200000000000001</v>
      </c>
      <c r="K648">
        <v>95.5</v>
      </c>
      <c r="L648">
        <v>6.5</v>
      </c>
      <c r="M648">
        <v>3.01</v>
      </c>
      <c r="N648">
        <v>3.25</v>
      </c>
      <c r="Q648" s="3">
        <v>0.47708333333333336</v>
      </c>
      <c r="R648">
        <v>2.2999999999999998</v>
      </c>
      <c r="S648">
        <v>2.0099999999999998</v>
      </c>
      <c r="T648">
        <v>0</v>
      </c>
      <c r="U648">
        <v>0</v>
      </c>
      <c r="V648">
        <v>0</v>
      </c>
      <c r="W648">
        <v>100</v>
      </c>
      <c r="Y648">
        <v>56</v>
      </c>
      <c r="Z648">
        <v>0</v>
      </c>
      <c r="AA648">
        <v>0</v>
      </c>
    </row>
    <row r="649" spans="1:30" x14ac:dyDescent="0.2">
      <c r="A649" t="s">
        <v>375</v>
      </c>
      <c r="C649">
        <v>0</v>
      </c>
      <c r="D649" t="s">
        <v>17</v>
      </c>
      <c r="E649">
        <v>2600</v>
      </c>
      <c r="F649" t="s">
        <v>488</v>
      </c>
      <c r="G649" t="s">
        <v>781</v>
      </c>
      <c r="H649" s="2">
        <v>0.91666666666666663</v>
      </c>
      <c r="I649" t="s">
        <v>766</v>
      </c>
      <c r="J649" s="1">
        <v>0.53500000000000003</v>
      </c>
      <c r="K649">
        <v>87</v>
      </c>
      <c r="L649">
        <v>6</v>
      </c>
      <c r="M649">
        <v>3</v>
      </c>
      <c r="N649">
        <v>3.14</v>
      </c>
      <c r="O649">
        <v>2</v>
      </c>
      <c r="Q649" s="3">
        <v>0.67569444444444449</v>
      </c>
      <c r="R649">
        <v>4.3</v>
      </c>
      <c r="S649">
        <v>4.0199999999999996</v>
      </c>
      <c r="T649">
        <v>12.8</v>
      </c>
      <c r="U649">
        <v>4.76</v>
      </c>
      <c r="V649">
        <v>4.76</v>
      </c>
      <c r="W649">
        <v>100</v>
      </c>
      <c r="Y649">
        <v>53</v>
      </c>
      <c r="Z649">
        <v>1.8</v>
      </c>
      <c r="AA649">
        <v>0</v>
      </c>
      <c r="AB649" s="3">
        <v>0.81458333333333333</v>
      </c>
      <c r="AC649">
        <v>4.0999999999999996</v>
      </c>
      <c r="AD649">
        <v>1.6</v>
      </c>
    </row>
    <row r="650" spans="1:30" x14ac:dyDescent="0.2">
      <c r="A650" t="s">
        <v>311</v>
      </c>
      <c r="C650">
        <v>0</v>
      </c>
      <c r="D650" t="s">
        <v>10</v>
      </c>
      <c r="E650">
        <v>2600</v>
      </c>
      <c r="F650" t="s">
        <v>496</v>
      </c>
      <c r="G650" t="s">
        <v>787</v>
      </c>
      <c r="H650" s="2">
        <v>0.79166666666666663</v>
      </c>
      <c r="I650" t="s">
        <v>766</v>
      </c>
      <c r="J650" s="1">
        <v>0.48199999999999998</v>
      </c>
      <c r="K650">
        <v>107.5</v>
      </c>
      <c r="L650">
        <v>5.5</v>
      </c>
      <c r="M650">
        <v>2.75</v>
      </c>
      <c r="N650">
        <v>3.2</v>
      </c>
      <c r="O650">
        <v>3</v>
      </c>
      <c r="P650">
        <v>2</v>
      </c>
      <c r="Q650" s="3">
        <v>0.58263888888888893</v>
      </c>
      <c r="R650">
        <v>5</v>
      </c>
      <c r="S650">
        <v>5.44</v>
      </c>
      <c r="T650">
        <v>14.88</v>
      </c>
      <c r="U650">
        <v>4</v>
      </c>
      <c r="V650">
        <v>4</v>
      </c>
      <c r="W650">
        <v>100</v>
      </c>
      <c r="Y650">
        <v>46</v>
      </c>
      <c r="Z650">
        <v>1.5</v>
      </c>
      <c r="AA650">
        <v>0</v>
      </c>
      <c r="AB650" s="3">
        <v>0.54166666666666663</v>
      </c>
      <c r="AC650">
        <v>1.5</v>
      </c>
      <c r="AD650">
        <v>0.6</v>
      </c>
    </row>
    <row r="651" spans="1:30" x14ac:dyDescent="0.2">
      <c r="A651" t="s">
        <v>284</v>
      </c>
      <c r="C651">
        <v>0</v>
      </c>
      <c r="D651" t="s">
        <v>5</v>
      </c>
      <c r="E651">
        <v>3300</v>
      </c>
      <c r="F651" t="s">
        <v>509</v>
      </c>
      <c r="G651" t="s">
        <v>791</v>
      </c>
      <c r="H651" s="2">
        <v>0.79166666666666663</v>
      </c>
      <c r="I651" t="s">
        <v>766</v>
      </c>
      <c r="J651" s="1">
        <v>0.51900000000000002</v>
      </c>
      <c r="K651">
        <v>92.5</v>
      </c>
      <c r="L651">
        <v>6.5</v>
      </c>
      <c r="M651">
        <v>3.25</v>
      </c>
      <c r="N651">
        <v>3.62</v>
      </c>
      <c r="O651">
        <v>2</v>
      </c>
      <c r="P651">
        <v>2</v>
      </c>
      <c r="Q651" s="3">
        <v>0.67708333333333337</v>
      </c>
      <c r="R651">
        <v>6.6</v>
      </c>
      <c r="S651">
        <v>6.27</v>
      </c>
      <c r="T651">
        <v>19.579999999999998</v>
      </c>
      <c r="U651">
        <v>7.04</v>
      </c>
      <c r="V651">
        <v>7.04</v>
      </c>
      <c r="W651">
        <v>100</v>
      </c>
      <c r="Y651">
        <v>53</v>
      </c>
      <c r="Z651">
        <v>2.1</v>
      </c>
      <c r="AA651">
        <v>0</v>
      </c>
      <c r="AB651" s="3">
        <v>0.68472222222222223</v>
      </c>
      <c r="AC651">
        <v>4.3</v>
      </c>
      <c r="AD651">
        <v>1.3</v>
      </c>
    </row>
    <row r="652" spans="1:30" x14ac:dyDescent="0.2">
      <c r="A652" t="s">
        <v>111</v>
      </c>
      <c r="C652">
        <v>0</v>
      </c>
      <c r="D652" t="s">
        <v>17</v>
      </c>
      <c r="E652">
        <v>5000</v>
      </c>
      <c r="F652" t="s">
        <v>497</v>
      </c>
      <c r="G652" t="s">
        <v>784</v>
      </c>
      <c r="H652" s="2">
        <v>0.79166666666666663</v>
      </c>
      <c r="I652" t="s">
        <v>766</v>
      </c>
      <c r="J652" s="1">
        <v>0.55100000000000005</v>
      </c>
      <c r="K652">
        <v>81.5</v>
      </c>
      <c r="L652">
        <v>6.5</v>
      </c>
      <c r="M652">
        <v>3.17</v>
      </c>
      <c r="N652">
        <v>3.25</v>
      </c>
      <c r="O652">
        <v>1</v>
      </c>
      <c r="P652">
        <v>2</v>
      </c>
      <c r="Q652" s="3">
        <v>0.94652777777777775</v>
      </c>
      <c r="R652">
        <v>11</v>
      </c>
      <c r="S652">
        <v>6.5</v>
      </c>
      <c r="T652">
        <v>27.08</v>
      </c>
      <c r="U652">
        <v>14.08</v>
      </c>
      <c r="V652">
        <v>14.08</v>
      </c>
      <c r="W652">
        <v>100</v>
      </c>
      <c r="Y652">
        <v>70</v>
      </c>
      <c r="Z652">
        <v>2.8</v>
      </c>
      <c r="AA652">
        <v>0</v>
      </c>
      <c r="AB652" s="3">
        <v>0.81527777777777777</v>
      </c>
      <c r="AC652">
        <v>21.6</v>
      </c>
      <c r="AD652">
        <v>4.3</v>
      </c>
    </row>
    <row r="653" spans="1:30" x14ac:dyDescent="0.2">
      <c r="A653" t="s">
        <v>682</v>
      </c>
      <c r="C653">
        <v>0</v>
      </c>
      <c r="D653" t="s">
        <v>10</v>
      </c>
      <c r="E653">
        <v>2500</v>
      </c>
      <c r="F653" t="s">
        <v>493</v>
      </c>
      <c r="G653" t="s">
        <v>789</v>
      </c>
      <c r="H653" s="2">
        <v>0.83333333333333337</v>
      </c>
      <c r="I653" t="s">
        <v>762</v>
      </c>
      <c r="J653" s="1">
        <v>0.48699999999999999</v>
      </c>
      <c r="K653">
        <v>-95</v>
      </c>
      <c r="L653">
        <v>5.5</v>
      </c>
      <c r="M653">
        <v>2.75</v>
      </c>
      <c r="N653">
        <v>2.54</v>
      </c>
      <c r="Q653" s="3">
        <v>0.3527777777777778</v>
      </c>
      <c r="R653">
        <v>2.4</v>
      </c>
      <c r="S653">
        <v>2.9</v>
      </c>
      <c r="T653">
        <v>0</v>
      </c>
      <c r="U653">
        <v>0</v>
      </c>
      <c r="V653">
        <v>0</v>
      </c>
      <c r="W653">
        <v>100</v>
      </c>
      <c r="Y653">
        <v>40</v>
      </c>
      <c r="Z653">
        <v>0</v>
      </c>
      <c r="AA653">
        <v>0</v>
      </c>
    </row>
    <row r="654" spans="1:30" x14ac:dyDescent="0.2">
      <c r="A654" t="s">
        <v>145</v>
      </c>
      <c r="C654">
        <v>0</v>
      </c>
      <c r="D654" t="s">
        <v>17</v>
      </c>
      <c r="E654">
        <v>3900</v>
      </c>
      <c r="F654" t="s">
        <v>483</v>
      </c>
      <c r="G654" t="s">
        <v>772</v>
      </c>
      <c r="H654" s="2">
        <v>0.91666666666666663</v>
      </c>
      <c r="I654" t="s">
        <v>762</v>
      </c>
      <c r="J654" s="1">
        <v>0.46500000000000002</v>
      </c>
      <c r="K654">
        <v>-87</v>
      </c>
      <c r="L654">
        <v>6</v>
      </c>
      <c r="M654">
        <v>3.14</v>
      </c>
      <c r="N654">
        <v>3</v>
      </c>
      <c r="O654">
        <v>2</v>
      </c>
      <c r="Q654" s="3">
        <v>0.97569444444444442</v>
      </c>
      <c r="R654">
        <v>8.6999999999999993</v>
      </c>
      <c r="S654">
        <v>6.11</v>
      </c>
      <c r="T654">
        <v>22.46</v>
      </c>
      <c r="U654">
        <v>10.24</v>
      </c>
      <c r="V654">
        <v>10.24</v>
      </c>
      <c r="W654">
        <v>100</v>
      </c>
      <c r="Y654">
        <v>65</v>
      </c>
      <c r="Z654">
        <v>2.6</v>
      </c>
      <c r="AA654">
        <v>0</v>
      </c>
      <c r="AB654" s="3">
        <v>0.99375000000000002</v>
      </c>
      <c r="AC654">
        <v>4.3</v>
      </c>
      <c r="AD654">
        <v>1.1000000000000001</v>
      </c>
    </row>
    <row r="655" spans="1:30" x14ac:dyDescent="0.2">
      <c r="A655" t="s">
        <v>589</v>
      </c>
      <c r="C655">
        <v>0</v>
      </c>
      <c r="D655" t="s">
        <v>17</v>
      </c>
      <c r="E655">
        <v>2500</v>
      </c>
      <c r="F655" t="s">
        <v>509</v>
      </c>
      <c r="G655" t="s">
        <v>791</v>
      </c>
      <c r="H655" s="2">
        <v>0.79166666666666663</v>
      </c>
      <c r="I655" t="s">
        <v>766</v>
      </c>
      <c r="J655" s="1">
        <v>0.51900000000000002</v>
      </c>
      <c r="K655">
        <v>92.5</v>
      </c>
      <c r="L655">
        <v>6.5</v>
      </c>
      <c r="M655">
        <v>3.25</v>
      </c>
      <c r="N655">
        <v>3.62</v>
      </c>
      <c r="O655">
        <v>3</v>
      </c>
      <c r="Q655" s="3">
        <v>0.5854166666666667</v>
      </c>
      <c r="R655">
        <v>3.3</v>
      </c>
      <c r="S655">
        <v>3.28</v>
      </c>
      <c r="T655">
        <v>10.99</v>
      </c>
      <c r="U655">
        <v>4.43</v>
      </c>
      <c r="V655">
        <v>4.43</v>
      </c>
      <c r="W655">
        <v>100</v>
      </c>
      <c r="Y655">
        <v>50</v>
      </c>
      <c r="Z655">
        <v>1.8</v>
      </c>
      <c r="AA655">
        <v>0</v>
      </c>
      <c r="AB655" s="3">
        <v>0.56597222222222221</v>
      </c>
      <c r="AC655">
        <v>2.6</v>
      </c>
      <c r="AD655">
        <v>1</v>
      </c>
    </row>
    <row r="656" spans="1:30" x14ac:dyDescent="0.2">
      <c r="A656" t="s">
        <v>353</v>
      </c>
      <c r="C656">
        <v>0</v>
      </c>
      <c r="D656" t="s">
        <v>5</v>
      </c>
      <c r="E656">
        <v>2600</v>
      </c>
      <c r="F656" t="s">
        <v>501</v>
      </c>
      <c r="G656" t="s">
        <v>783</v>
      </c>
      <c r="H656" s="2">
        <v>0.79166666666666663</v>
      </c>
      <c r="I656" t="s">
        <v>766</v>
      </c>
      <c r="J656" s="1">
        <v>0.52800000000000002</v>
      </c>
      <c r="K656">
        <v>89.5</v>
      </c>
      <c r="L656">
        <v>6</v>
      </c>
      <c r="M656">
        <v>2.82</v>
      </c>
      <c r="N656">
        <v>3</v>
      </c>
      <c r="O656">
        <v>3</v>
      </c>
      <c r="P656">
        <v>2</v>
      </c>
      <c r="Q656" s="3">
        <v>0.5625</v>
      </c>
      <c r="R656">
        <v>4.5999999999999996</v>
      </c>
      <c r="S656">
        <v>4.55</v>
      </c>
      <c r="T656">
        <v>14.05</v>
      </c>
      <c r="U656">
        <v>4.95</v>
      </c>
      <c r="V656">
        <v>4.95</v>
      </c>
      <c r="W656">
        <v>100</v>
      </c>
      <c r="Y656">
        <v>51</v>
      </c>
      <c r="Z656">
        <v>1.9</v>
      </c>
      <c r="AA656">
        <v>0</v>
      </c>
      <c r="AB656" s="3">
        <v>0.57986111111111116</v>
      </c>
      <c r="AC656">
        <v>0</v>
      </c>
    </row>
    <row r="657" spans="1:30" x14ac:dyDescent="0.2">
      <c r="A657" t="s">
        <v>188</v>
      </c>
      <c r="C657">
        <v>0</v>
      </c>
      <c r="D657" t="s">
        <v>5</v>
      </c>
      <c r="E657">
        <v>3300</v>
      </c>
      <c r="F657" t="s">
        <v>486</v>
      </c>
      <c r="G657" t="s">
        <v>776</v>
      </c>
      <c r="H657" s="2">
        <v>0.79166666666666663</v>
      </c>
      <c r="I657" t="s">
        <v>762</v>
      </c>
      <c r="J657" s="1">
        <v>0.435</v>
      </c>
      <c r="K657">
        <v>-77</v>
      </c>
      <c r="L657">
        <v>5.5</v>
      </c>
      <c r="M657">
        <v>2.87</v>
      </c>
      <c r="N657">
        <v>2.75</v>
      </c>
      <c r="O657">
        <v>3</v>
      </c>
      <c r="P657">
        <v>1</v>
      </c>
      <c r="Q657" s="3">
        <v>0.56458333333333333</v>
      </c>
      <c r="R657">
        <v>5.4</v>
      </c>
      <c r="S657">
        <v>5.68</v>
      </c>
      <c r="T657">
        <v>17.420000000000002</v>
      </c>
      <c r="U657">
        <v>6.06</v>
      </c>
      <c r="V657">
        <v>6.06</v>
      </c>
      <c r="W657">
        <v>100</v>
      </c>
      <c r="Y657">
        <v>47</v>
      </c>
      <c r="Z657">
        <v>1.8</v>
      </c>
      <c r="AA657">
        <v>0</v>
      </c>
      <c r="AB657" s="3">
        <v>0.58194444444444449</v>
      </c>
      <c r="AC657">
        <v>2.8</v>
      </c>
      <c r="AD657">
        <v>0.8</v>
      </c>
    </row>
    <row r="658" spans="1:30" x14ac:dyDescent="0.2">
      <c r="A658" t="s">
        <v>979</v>
      </c>
      <c r="C658">
        <v>0</v>
      </c>
      <c r="D658" t="s">
        <v>5</v>
      </c>
      <c r="E658">
        <v>2500</v>
      </c>
      <c r="F658" t="s">
        <v>498</v>
      </c>
      <c r="G658" t="s">
        <v>779</v>
      </c>
      <c r="H658" s="2">
        <v>0.79166666666666663</v>
      </c>
      <c r="I658" t="s">
        <v>762</v>
      </c>
      <c r="J658" s="1">
        <v>0.50600000000000001</v>
      </c>
      <c r="K658">
        <v>-102.5</v>
      </c>
      <c r="L658">
        <v>6</v>
      </c>
      <c r="M658">
        <v>3.44</v>
      </c>
      <c r="N658">
        <v>3</v>
      </c>
      <c r="Q658" s="3">
        <v>0.4236111111111111</v>
      </c>
      <c r="R658">
        <v>2.5</v>
      </c>
      <c r="S658">
        <v>3.32</v>
      </c>
      <c r="T658">
        <v>0</v>
      </c>
      <c r="U658">
        <v>0</v>
      </c>
      <c r="V658">
        <v>0</v>
      </c>
      <c r="W658">
        <v>100</v>
      </c>
      <c r="Y658">
        <v>34</v>
      </c>
      <c r="Z658">
        <v>0</v>
      </c>
      <c r="AA658">
        <v>0</v>
      </c>
    </row>
    <row r="659" spans="1:30" x14ac:dyDescent="0.2">
      <c r="A659" t="s">
        <v>568</v>
      </c>
      <c r="C659">
        <v>0</v>
      </c>
      <c r="D659" t="s">
        <v>10</v>
      </c>
      <c r="E659">
        <v>2500</v>
      </c>
      <c r="F659" t="s">
        <v>499</v>
      </c>
      <c r="G659" t="s">
        <v>775</v>
      </c>
      <c r="H659" s="2">
        <v>0.79166666666666663</v>
      </c>
      <c r="I659" t="s">
        <v>762</v>
      </c>
      <c r="J659" s="1">
        <v>0.50700000000000001</v>
      </c>
      <c r="K659">
        <v>-103</v>
      </c>
      <c r="L659">
        <v>6.5</v>
      </c>
      <c r="M659">
        <v>3.71</v>
      </c>
      <c r="N659">
        <v>3.25</v>
      </c>
      <c r="O659">
        <v>4</v>
      </c>
      <c r="Q659" s="3">
        <v>0.54791666666666672</v>
      </c>
      <c r="R659">
        <v>4.7</v>
      </c>
      <c r="S659">
        <v>3.69</v>
      </c>
      <c r="T659">
        <v>14.03</v>
      </c>
      <c r="U659">
        <v>6.65</v>
      </c>
      <c r="V659">
        <v>6.65</v>
      </c>
      <c r="W659">
        <v>100</v>
      </c>
      <c r="Y659">
        <v>61</v>
      </c>
      <c r="Z659">
        <v>2.7</v>
      </c>
      <c r="AA659">
        <v>0</v>
      </c>
      <c r="AB659" s="3">
        <v>0.55138888888888893</v>
      </c>
      <c r="AC659">
        <v>18.600000000000001</v>
      </c>
      <c r="AD659">
        <v>7.4</v>
      </c>
    </row>
    <row r="660" spans="1:30" x14ac:dyDescent="0.2">
      <c r="A660" t="s">
        <v>317</v>
      </c>
      <c r="C660">
        <v>0</v>
      </c>
      <c r="D660" t="s">
        <v>17</v>
      </c>
      <c r="E660">
        <v>3200</v>
      </c>
      <c r="F660" t="s">
        <v>489</v>
      </c>
      <c r="G660" t="s">
        <v>788</v>
      </c>
      <c r="H660" s="2">
        <v>0.91666666666666663</v>
      </c>
      <c r="I660" t="s">
        <v>762</v>
      </c>
      <c r="J660" s="1">
        <v>0.48799999999999999</v>
      </c>
      <c r="K660">
        <v>-95.5</v>
      </c>
      <c r="L660">
        <v>6.5</v>
      </c>
      <c r="M660">
        <v>3.25</v>
      </c>
      <c r="N660">
        <v>3.01</v>
      </c>
      <c r="O660">
        <v>3</v>
      </c>
      <c r="Q660" s="3">
        <v>0.73819444444444449</v>
      </c>
      <c r="R660">
        <v>6.5</v>
      </c>
      <c r="S660">
        <v>5.23</v>
      </c>
      <c r="T660">
        <v>17.329999999999998</v>
      </c>
      <c r="U660">
        <v>6.87</v>
      </c>
      <c r="V660">
        <v>6.87</v>
      </c>
      <c r="W660">
        <v>100</v>
      </c>
      <c r="Y660">
        <v>60</v>
      </c>
      <c r="Z660">
        <v>2.1</v>
      </c>
      <c r="AA660">
        <v>0</v>
      </c>
      <c r="AB660" s="3">
        <v>0.68472222222222223</v>
      </c>
      <c r="AC660">
        <v>4.3</v>
      </c>
      <c r="AD660">
        <v>1.3</v>
      </c>
    </row>
    <row r="661" spans="1:30" x14ac:dyDescent="0.2">
      <c r="A661" t="s">
        <v>517</v>
      </c>
      <c r="C661">
        <v>0</v>
      </c>
      <c r="D661" t="s">
        <v>10</v>
      </c>
      <c r="E661">
        <v>3300</v>
      </c>
      <c r="F661" t="s">
        <v>768</v>
      </c>
      <c r="G661" t="s">
        <v>769</v>
      </c>
      <c r="H661" s="2">
        <v>0.79166666666666663</v>
      </c>
      <c r="I661" t="s">
        <v>762</v>
      </c>
      <c r="J661" s="1">
        <v>0.51800000000000002</v>
      </c>
      <c r="K661">
        <v>-107.5</v>
      </c>
      <c r="L661">
        <v>5.5</v>
      </c>
      <c r="M661">
        <v>3.2</v>
      </c>
      <c r="N661">
        <v>2.75</v>
      </c>
      <c r="O661">
        <v>4</v>
      </c>
      <c r="P661">
        <v>1</v>
      </c>
      <c r="Q661" s="3">
        <v>0.58680555555555558</v>
      </c>
      <c r="R661">
        <v>6</v>
      </c>
      <c r="S661">
        <v>5.96</v>
      </c>
      <c r="T661">
        <v>19.100000000000001</v>
      </c>
      <c r="U661">
        <v>7.18</v>
      </c>
      <c r="V661">
        <v>7.18</v>
      </c>
      <c r="W661">
        <v>100</v>
      </c>
      <c r="Y661">
        <v>50</v>
      </c>
      <c r="Z661">
        <v>2.2000000000000002</v>
      </c>
      <c r="AA661">
        <v>0</v>
      </c>
      <c r="AB661" s="3">
        <v>0.54027777777777775</v>
      </c>
      <c r="AC661">
        <v>0</v>
      </c>
    </row>
    <row r="662" spans="1:30" x14ac:dyDescent="0.2">
      <c r="A662" t="s">
        <v>186</v>
      </c>
      <c r="C662">
        <v>0</v>
      </c>
      <c r="D662" t="s">
        <v>17</v>
      </c>
      <c r="E662">
        <v>3000</v>
      </c>
      <c r="F662" t="s">
        <v>490</v>
      </c>
      <c r="G662" t="s">
        <v>771</v>
      </c>
      <c r="H662" s="2">
        <v>0.91666666666666663</v>
      </c>
      <c r="I662" t="s">
        <v>766</v>
      </c>
      <c r="J662" s="1">
        <v>0.58499999999999996</v>
      </c>
      <c r="K662">
        <v>71</v>
      </c>
      <c r="L662">
        <v>6</v>
      </c>
      <c r="M662">
        <v>3</v>
      </c>
      <c r="N662">
        <v>3.02</v>
      </c>
      <c r="O662">
        <v>1</v>
      </c>
      <c r="P662">
        <v>2</v>
      </c>
      <c r="Q662" s="3">
        <v>0.85763888888888884</v>
      </c>
      <c r="R662">
        <v>7.2</v>
      </c>
      <c r="S662">
        <v>6.69</v>
      </c>
      <c r="T662">
        <v>20.47</v>
      </c>
      <c r="U662">
        <v>7.09</v>
      </c>
      <c r="V662">
        <v>7.09</v>
      </c>
      <c r="W662">
        <v>100</v>
      </c>
      <c r="Y662">
        <v>54</v>
      </c>
      <c r="Z662">
        <v>2.4</v>
      </c>
      <c r="AA662">
        <v>0</v>
      </c>
      <c r="AB662" s="3">
        <v>0.94166666666666665</v>
      </c>
      <c r="AC662">
        <v>1.5</v>
      </c>
      <c r="AD662">
        <v>0.5</v>
      </c>
    </row>
    <row r="663" spans="1:30" x14ac:dyDescent="0.2">
      <c r="A663" t="s">
        <v>246</v>
      </c>
      <c r="C663">
        <v>0</v>
      </c>
      <c r="D663" t="s">
        <v>5</v>
      </c>
      <c r="E663">
        <v>4000</v>
      </c>
      <c r="F663" t="s">
        <v>497</v>
      </c>
      <c r="G663" t="s">
        <v>784</v>
      </c>
      <c r="H663" s="2">
        <v>0.79166666666666663</v>
      </c>
      <c r="I663" t="s">
        <v>766</v>
      </c>
      <c r="J663" s="1">
        <v>0.55100000000000005</v>
      </c>
      <c r="K663">
        <v>81.5</v>
      </c>
      <c r="L663">
        <v>6.5</v>
      </c>
      <c r="M663">
        <v>3.17</v>
      </c>
      <c r="N663">
        <v>3.25</v>
      </c>
      <c r="O663">
        <v>2</v>
      </c>
      <c r="P663">
        <v>2</v>
      </c>
      <c r="Q663" s="3">
        <v>0.62638888888888888</v>
      </c>
      <c r="R663">
        <v>8.1</v>
      </c>
      <c r="S663">
        <v>6.99</v>
      </c>
      <c r="T663">
        <v>24.91</v>
      </c>
      <c r="U663">
        <v>10.93</v>
      </c>
      <c r="V663">
        <v>10.93</v>
      </c>
      <c r="W663">
        <v>100</v>
      </c>
      <c r="Y663">
        <v>57</v>
      </c>
      <c r="Z663">
        <v>2.7</v>
      </c>
      <c r="AA663">
        <v>0</v>
      </c>
      <c r="AB663" s="3">
        <v>0.6</v>
      </c>
      <c r="AC663">
        <v>11.3</v>
      </c>
      <c r="AD663">
        <v>2.8</v>
      </c>
    </row>
    <row r="664" spans="1:30" x14ac:dyDescent="0.2">
      <c r="A664" t="s">
        <v>385</v>
      </c>
      <c r="C664">
        <v>0</v>
      </c>
      <c r="D664" t="s">
        <v>5</v>
      </c>
      <c r="E664">
        <v>2600</v>
      </c>
      <c r="F664" t="s">
        <v>491</v>
      </c>
      <c r="G664" t="s">
        <v>773</v>
      </c>
      <c r="H664" s="2">
        <v>0.79166666666666663</v>
      </c>
      <c r="I664" t="s">
        <v>766</v>
      </c>
      <c r="J664" s="1">
        <v>0.49299999999999999</v>
      </c>
      <c r="K664">
        <v>103</v>
      </c>
      <c r="L664">
        <v>6.5</v>
      </c>
      <c r="M664">
        <v>3.25</v>
      </c>
      <c r="N664">
        <v>3.71</v>
      </c>
      <c r="O664">
        <v>3</v>
      </c>
      <c r="P664">
        <v>1</v>
      </c>
      <c r="Q664" s="3">
        <v>0.55347222222222225</v>
      </c>
      <c r="R664">
        <v>4.5</v>
      </c>
      <c r="S664">
        <v>4.71</v>
      </c>
      <c r="T664">
        <v>14.52</v>
      </c>
      <c r="U664">
        <v>5.0999999999999996</v>
      </c>
      <c r="V664">
        <v>5.0999999999999996</v>
      </c>
      <c r="W664">
        <v>100</v>
      </c>
      <c r="Y664">
        <v>48</v>
      </c>
      <c r="Z664">
        <v>2</v>
      </c>
      <c r="AA664">
        <v>0</v>
      </c>
      <c r="AB664" s="3">
        <v>0.65555555555555556</v>
      </c>
      <c r="AC664">
        <v>1.3</v>
      </c>
      <c r="AD664">
        <v>0.5</v>
      </c>
    </row>
    <row r="665" spans="1:30" x14ac:dyDescent="0.2">
      <c r="A665" t="s">
        <v>973</v>
      </c>
      <c r="C665">
        <v>0</v>
      </c>
      <c r="D665" t="s">
        <v>17</v>
      </c>
      <c r="E665">
        <v>2500</v>
      </c>
      <c r="F665" t="s">
        <v>507</v>
      </c>
      <c r="G665" t="s">
        <v>796</v>
      </c>
      <c r="H665" s="2">
        <v>0.79166666666666663</v>
      </c>
      <c r="I665" t="s">
        <v>766</v>
      </c>
      <c r="J665" s="1">
        <v>0.49399999999999999</v>
      </c>
      <c r="K665">
        <v>102.5</v>
      </c>
      <c r="L665">
        <v>6</v>
      </c>
      <c r="M665">
        <v>3</v>
      </c>
      <c r="N665">
        <v>3.44</v>
      </c>
      <c r="Q665" s="3">
        <v>0.52708333333333335</v>
      </c>
      <c r="R665">
        <v>2.1</v>
      </c>
      <c r="S665">
        <v>1.64</v>
      </c>
      <c r="T665">
        <v>0</v>
      </c>
      <c r="U665">
        <v>0</v>
      </c>
      <c r="V665">
        <v>0</v>
      </c>
      <c r="W665">
        <v>100</v>
      </c>
      <c r="Y665">
        <v>61</v>
      </c>
      <c r="Z665">
        <v>0</v>
      </c>
      <c r="AA665">
        <v>0</v>
      </c>
    </row>
    <row r="666" spans="1:30" x14ac:dyDescent="0.2">
      <c r="A666" t="s">
        <v>77</v>
      </c>
      <c r="C666">
        <v>0</v>
      </c>
      <c r="D666" t="s">
        <v>10</v>
      </c>
      <c r="E666">
        <v>2500</v>
      </c>
      <c r="F666" t="s">
        <v>494</v>
      </c>
      <c r="G666" t="s">
        <v>782</v>
      </c>
      <c r="H666" s="2">
        <v>0.79166666666666663</v>
      </c>
      <c r="I666" t="s">
        <v>762</v>
      </c>
      <c r="J666" s="1">
        <v>0.47199999999999998</v>
      </c>
      <c r="K666">
        <v>-89.5</v>
      </c>
      <c r="L666">
        <v>6</v>
      </c>
      <c r="M666">
        <v>3</v>
      </c>
      <c r="N666">
        <v>2.82</v>
      </c>
      <c r="O666">
        <v>1</v>
      </c>
      <c r="P666">
        <v>2</v>
      </c>
      <c r="Q666" s="3">
        <v>0.52847222222222223</v>
      </c>
      <c r="R666">
        <v>4.5</v>
      </c>
      <c r="S666">
        <v>4.87</v>
      </c>
      <c r="T666">
        <v>15.22</v>
      </c>
      <c r="U666">
        <v>5.48</v>
      </c>
      <c r="V666">
        <v>5.48</v>
      </c>
      <c r="W666">
        <v>100</v>
      </c>
      <c r="Y666">
        <v>46</v>
      </c>
      <c r="Z666">
        <v>2.2000000000000002</v>
      </c>
      <c r="AA666">
        <v>0</v>
      </c>
      <c r="AB666" s="3">
        <v>0.61319444444444449</v>
      </c>
      <c r="AC666">
        <v>3</v>
      </c>
      <c r="AD666">
        <v>1.2</v>
      </c>
    </row>
    <row r="667" spans="1:30" x14ac:dyDescent="0.2">
      <c r="A667" t="s">
        <v>1036</v>
      </c>
      <c r="C667">
        <v>0</v>
      </c>
      <c r="D667" t="s">
        <v>5</v>
      </c>
      <c r="E667">
        <v>2500</v>
      </c>
      <c r="F667" t="s">
        <v>505</v>
      </c>
      <c r="G667" t="s">
        <v>793</v>
      </c>
      <c r="H667" s="2">
        <v>0.91666666666666663</v>
      </c>
      <c r="I667" t="s">
        <v>762</v>
      </c>
      <c r="J667" s="1">
        <v>0.41499999999999998</v>
      </c>
      <c r="K667">
        <v>-71</v>
      </c>
      <c r="L667">
        <v>6</v>
      </c>
      <c r="M667">
        <v>3.02</v>
      </c>
      <c r="N667">
        <v>3</v>
      </c>
      <c r="Q667" s="3">
        <v>0.21527777777777779</v>
      </c>
      <c r="R667">
        <v>1.5</v>
      </c>
      <c r="S667">
        <v>0</v>
      </c>
      <c r="T667">
        <v>0</v>
      </c>
      <c r="U667">
        <v>0</v>
      </c>
      <c r="V667">
        <v>0</v>
      </c>
      <c r="W667">
        <v>100</v>
      </c>
      <c r="Y667">
        <v>0</v>
      </c>
      <c r="Z667">
        <v>0</v>
      </c>
      <c r="AA667">
        <v>0</v>
      </c>
    </row>
    <row r="668" spans="1:30" x14ac:dyDescent="0.2">
      <c r="A668" t="s">
        <v>816</v>
      </c>
      <c r="C668">
        <v>0</v>
      </c>
      <c r="D668" t="s">
        <v>10</v>
      </c>
      <c r="E668">
        <v>2500</v>
      </c>
      <c r="F668" t="s">
        <v>488</v>
      </c>
      <c r="G668" t="s">
        <v>781</v>
      </c>
      <c r="H668" s="2">
        <v>0.91666666666666663</v>
      </c>
      <c r="I668" t="s">
        <v>766</v>
      </c>
      <c r="J668" s="1">
        <v>0.53500000000000003</v>
      </c>
      <c r="K668">
        <v>87</v>
      </c>
      <c r="L668">
        <v>6</v>
      </c>
      <c r="M668">
        <v>3</v>
      </c>
      <c r="N668">
        <v>3.14</v>
      </c>
      <c r="O668">
        <v>4</v>
      </c>
      <c r="Q668" s="3">
        <v>0.5131944444444444</v>
      </c>
      <c r="R668">
        <v>2.7</v>
      </c>
      <c r="S668">
        <v>3.29</v>
      </c>
      <c r="T668">
        <v>9.5500000000000007</v>
      </c>
      <c r="U668">
        <v>2.97</v>
      </c>
      <c r="V668">
        <v>2.97</v>
      </c>
      <c r="W668">
        <v>100</v>
      </c>
      <c r="Y668">
        <v>39</v>
      </c>
      <c r="Z668">
        <v>1.2</v>
      </c>
      <c r="AA668">
        <v>0</v>
      </c>
      <c r="AB668" s="3">
        <v>0.50069444444444444</v>
      </c>
      <c r="AC668">
        <v>0</v>
      </c>
    </row>
    <row r="669" spans="1:30" x14ac:dyDescent="0.2">
      <c r="A669" t="s">
        <v>618</v>
      </c>
      <c r="C669">
        <v>0</v>
      </c>
      <c r="D669" t="s">
        <v>10</v>
      </c>
      <c r="E669">
        <v>2500</v>
      </c>
      <c r="F669" t="s">
        <v>504</v>
      </c>
      <c r="G669" t="s">
        <v>799</v>
      </c>
      <c r="H669" s="2">
        <v>0.83333333333333337</v>
      </c>
      <c r="I669" t="s">
        <v>766</v>
      </c>
      <c r="J669" s="1">
        <v>0.51300000000000001</v>
      </c>
      <c r="K669">
        <v>95</v>
      </c>
      <c r="L669">
        <v>5.5</v>
      </c>
      <c r="M669">
        <v>2.54</v>
      </c>
      <c r="N669">
        <v>2.75</v>
      </c>
      <c r="Q669" s="3">
        <v>0.55694444444444446</v>
      </c>
      <c r="R669">
        <v>4.3</v>
      </c>
      <c r="S669">
        <v>5.15</v>
      </c>
      <c r="T669">
        <v>0</v>
      </c>
      <c r="U669">
        <v>0</v>
      </c>
      <c r="V669">
        <v>0</v>
      </c>
      <c r="W669">
        <v>100</v>
      </c>
      <c r="Y669">
        <v>40</v>
      </c>
      <c r="Z669">
        <v>0</v>
      </c>
      <c r="AA669">
        <v>0</v>
      </c>
      <c r="AB669" s="3">
        <v>0.53819444444444442</v>
      </c>
      <c r="AC669">
        <v>11.3</v>
      </c>
      <c r="AD669">
        <v>4.5</v>
      </c>
    </row>
    <row r="670" spans="1:30" x14ac:dyDescent="0.2">
      <c r="A670" t="s">
        <v>563</v>
      </c>
      <c r="C670">
        <v>0</v>
      </c>
      <c r="D670" t="s">
        <v>5</v>
      </c>
      <c r="E670">
        <v>2500</v>
      </c>
      <c r="F670" t="s">
        <v>504</v>
      </c>
      <c r="G670" t="s">
        <v>799</v>
      </c>
      <c r="H670" s="2">
        <v>0.83333333333333337</v>
      </c>
      <c r="I670" t="s">
        <v>766</v>
      </c>
      <c r="J670" s="1">
        <v>0.51300000000000001</v>
      </c>
      <c r="K670">
        <v>95</v>
      </c>
      <c r="L670">
        <v>5.5</v>
      </c>
      <c r="M670">
        <v>2.54</v>
      </c>
      <c r="N670">
        <v>2.75</v>
      </c>
      <c r="Q670" s="3">
        <v>0.59097222222222223</v>
      </c>
      <c r="R670">
        <v>5.4</v>
      </c>
      <c r="S670">
        <v>4.71</v>
      </c>
      <c r="T670">
        <v>0</v>
      </c>
      <c r="U670">
        <v>0</v>
      </c>
      <c r="V670">
        <v>0</v>
      </c>
      <c r="W670">
        <v>100</v>
      </c>
      <c r="Y670">
        <v>56</v>
      </c>
      <c r="Z670">
        <v>0</v>
      </c>
      <c r="AA670">
        <v>0</v>
      </c>
    </row>
    <row r="671" spans="1:30" x14ac:dyDescent="0.2">
      <c r="A671" t="s">
        <v>708</v>
      </c>
      <c r="C671">
        <v>0</v>
      </c>
      <c r="D671" t="s">
        <v>10</v>
      </c>
      <c r="E671">
        <v>2500</v>
      </c>
      <c r="F671" t="s">
        <v>497</v>
      </c>
      <c r="G671" t="s">
        <v>784</v>
      </c>
      <c r="H671" s="2">
        <v>0.79166666666666663</v>
      </c>
      <c r="I671" t="s">
        <v>766</v>
      </c>
      <c r="J671" s="1">
        <v>0.55100000000000005</v>
      </c>
      <c r="K671">
        <v>81.5</v>
      </c>
      <c r="L671">
        <v>6.5</v>
      </c>
      <c r="M671">
        <v>3.17</v>
      </c>
      <c r="N671">
        <v>3.25</v>
      </c>
      <c r="Q671" s="3">
        <v>0.39652777777777776</v>
      </c>
      <c r="R671">
        <v>2.2999999999999998</v>
      </c>
      <c r="S671">
        <v>2.79</v>
      </c>
      <c r="T671">
        <v>0</v>
      </c>
      <c r="U671">
        <v>0</v>
      </c>
      <c r="V671">
        <v>0</v>
      </c>
      <c r="W671">
        <v>100</v>
      </c>
      <c r="Y671">
        <v>39</v>
      </c>
      <c r="Z671">
        <v>0</v>
      </c>
      <c r="AA671">
        <v>0</v>
      </c>
    </row>
    <row r="672" spans="1:30" x14ac:dyDescent="0.2">
      <c r="A672" t="s">
        <v>961</v>
      </c>
      <c r="C672">
        <v>0</v>
      </c>
      <c r="D672" t="s">
        <v>17</v>
      </c>
      <c r="E672">
        <v>2500</v>
      </c>
      <c r="F672" t="s">
        <v>499</v>
      </c>
      <c r="G672" t="s">
        <v>775</v>
      </c>
      <c r="H672" s="2">
        <v>0.79166666666666663</v>
      </c>
      <c r="I672" t="s">
        <v>762</v>
      </c>
      <c r="J672" s="1">
        <v>0.50700000000000001</v>
      </c>
      <c r="K672">
        <v>-103</v>
      </c>
      <c r="L672">
        <v>6.5</v>
      </c>
      <c r="M672">
        <v>3.71</v>
      </c>
      <c r="N672">
        <v>3.25</v>
      </c>
      <c r="Q672" s="3">
        <v>0.56597222222222221</v>
      </c>
      <c r="R672">
        <v>1.1000000000000001</v>
      </c>
      <c r="S672">
        <v>1</v>
      </c>
      <c r="T672">
        <v>0</v>
      </c>
      <c r="U672">
        <v>0</v>
      </c>
      <c r="V672">
        <v>0</v>
      </c>
      <c r="W672">
        <v>100</v>
      </c>
      <c r="Y672">
        <v>55</v>
      </c>
      <c r="Z672">
        <v>0</v>
      </c>
      <c r="AA672">
        <v>0</v>
      </c>
    </row>
    <row r="673" spans="1:30" x14ac:dyDescent="0.2">
      <c r="A673" t="s">
        <v>279</v>
      </c>
      <c r="C673">
        <v>0</v>
      </c>
      <c r="D673" t="s">
        <v>17</v>
      </c>
      <c r="E673">
        <v>3100</v>
      </c>
      <c r="F673" t="s">
        <v>486</v>
      </c>
      <c r="G673" t="s">
        <v>776</v>
      </c>
      <c r="H673" s="2">
        <v>0.79166666666666663</v>
      </c>
      <c r="I673" t="s">
        <v>762</v>
      </c>
      <c r="J673" s="1">
        <v>0.435</v>
      </c>
      <c r="K673">
        <v>-77</v>
      </c>
      <c r="L673">
        <v>5.5</v>
      </c>
      <c r="M673">
        <v>2.87</v>
      </c>
      <c r="N673">
        <v>2.75</v>
      </c>
      <c r="O673">
        <v>2</v>
      </c>
      <c r="Q673" s="3">
        <v>0.89513888888888893</v>
      </c>
      <c r="R673">
        <v>5.4</v>
      </c>
      <c r="S673">
        <v>3.61</v>
      </c>
      <c r="T673">
        <v>13.25</v>
      </c>
      <c r="U673">
        <v>6.03</v>
      </c>
      <c r="V673">
        <v>6.03</v>
      </c>
      <c r="W673">
        <v>100</v>
      </c>
      <c r="Y673">
        <v>67</v>
      </c>
      <c r="Z673">
        <v>1.9</v>
      </c>
      <c r="AA673">
        <v>0</v>
      </c>
      <c r="AB673" s="3">
        <v>0.93333333333333335</v>
      </c>
      <c r="AC673">
        <v>4.5</v>
      </c>
      <c r="AD673">
        <v>1.5</v>
      </c>
    </row>
    <row r="674" spans="1:30" x14ac:dyDescent="0.2">
      <c r="A674" t="s">
        <v>215</v>
      </c>
      <c r="C674">
        <v>0</v>
      </c>
      <c r="D674" t="s">
        <v>10</v>
      </c>
      <c r="E674">
        <v>4900</v>
      </c>
      <c r="F674" t="s">
        <v>509</v>
      </c>
      <c r="G674" t="s">
        <v>791</v>
      </c>
      <c r="H674" s="2">
        <v>0.79166666666666663</v>
      </c>
      <c r="I674" t="s">
        <v>766</v>
      </c>
      <c r="J674" s="1">
        <v>0.51900000000000002</v>
      </c>
      <c r="K674">
        <v>92.5</v>
      </c>
      <c r="L674">
        <v>6.5</v>
      </c>
      <c r="M674">
        <v>3.25</v>
      </c>
      <c r="N674">
        <v>3.62</v>
      </c>
      <c r="O674">
        <v>2</v>
      </c>
      <c r="P674">
        <v>2</v>
      </c>
      <c r="Q674" s="3">
        <v>0.68472222222222223</v>
      </c>
      <c r="R674">
        <v>9.3000000000000007</v>
      </c>
      <c r="S674">
        <v>9.42</v>
      </c>
      <c r="T674">
        <v>31.02</v>
      </c>
      <c r="U674">
        <v>12.18</v>
      </c>
      <c r="V674">
        <v>12.18</v>
      </c>
      <c r="W674">
        <v>100</v>
      </c>
      <c r="Y674">
        <v>49</v>
      </c>
      <c r="Z674">
        <v>2.5</v>
      </c>
      <c r="AA674">
        <v>0</v>
      </c>
      <c r="AB674" s="3">
        <v>0.67222222222222228</v>
      </c>
      <c r="AC674">
        <v>18.5</v>
      </c>
      <c r="AD674">
        <v>3.8</v>
      </c>
    </row>
    <row r="675" spans="1:30" x14ac:dyDescent="0.2">
      <c r="A675" t="s">
        <v>690</v>
      </c>
      <c r="C675">
        <v>0</v>
      </c>
      <c r="D675" t="s">
        <v>10</v>
      </c>
      <c r="E675">
        <v>2500</v>
      </c>
      <c r="F675" t="s">
        <v>506</v>
      </c>
      <c r="G675" t="s">
        <v>786</v>
      </c>
      <c r="H675" s="2">
        <v>0.79166666666666663</v>
      </c>
      <c r="I675" t="s">
        <v>766</v>
      </c>
      <c r="J675" s="1">
        <v>0.53600000000000003</v>
      </c>
      <c r="K675">
        <v>86.5</v>
      </c>
      <c r="L675">
        <v>6</v>
      </c>
      <c r="M675">
        <v>3</v>
      </c>
      <c r="N675">
        <v>3.19</v>
      </c>
      <c r="O675">
        <v>4</v>
      </c>
      <c r="Q675" s="3">
        <v>0.45277777777777778</v>
      </c>
      <c r="R675">
        <v>2.9</v>
      </c>
      <c r="S675">
        <v>3.82</v>
      </c>
      <c r="T675">
        <v>11.28</v>
      </c>
      <c r="U675">
        <v>3.64</v>
      </c>
      <c r="V675">
        <v>3.64</v>
      </c>
      <c r="W675">
        <v>100</v>
      </c>
      <c r="Y675">
        <v>34</v>
      </c>
      <c r="Z675">
        <v>1.5</v>
      </c>
      <c r="AA675">
        <v>0</v>
      </c>
      <c r="AB675" s="3">
        <v>0.3888888888888889</v>
      </c>
      <c r="AC675">
        <v>1.3</v>
      </c>
      <c r="AD675">
        <v>0.5</v>
      </c>
    </row>
    <row r="676" spans="1:30" x14ac:dyDescent="0.2">
      <c r="A676" t="s">
        <v>715</v>
      </c>
      <c r="C676">
        <v>0</v>
      </c>
      <c r="D676" t="s">
        <v>5</v>
      </c>
      <c r="E676">
        <v>2500</v>
      </c>
      <c r="F676" t="s">
        <v>496</v>
      </c>
      <c r="G676" t="s">
        <v>787</v>
      </c>
      <c r="H676" s="2">
        <v>0.79166666666666663</v>
      </c>
      <c r="I676" t="s">
        <v>766</v>
      </c>
      <c r="J676" s="1">
        <v>0.48199999999999998</v>
      </c>
      <c r="K676">
        <v>107.5</v>
      </c>
      <c r="L676">
        <v>5.5</v>
      </c>
      <c r="M676">
        <v>2.75</v>
      </c>
      <c r="N676">
        <v>3.2</v>
      </c>
      <c r="Q676" s="3">
        <v>0.41666666666666669</v>
      </c>
      <c r="R676">
        <v>3.9</v>
      </c>
      <c r="S676">
        <v>4.3600000000000003</v>
      </c>
      <c r="T676">
        <v>0</v>
      </c>
      <c r="U676">
        <v>0</v>
      </c>
      <c r="V676">
        <v>0</v>
      </c>
      <c r="W676">
        <v>100</v>
      </c>
      <c r="Y676">
        <v>44</v>
      </c>
      <c r="Z676">
        <v>0</v>
      </c>
      <c r="AA676">
        <v>0</v>
      </c>
    </row>
    <row r="677" spans="1:30" x14ac:dyDescent="0.2">
      <c r="A677" t="s">
        <v>218</v>
      </c>
      <c r="C677">
        <v>0</v>
      </c>
      <c r="D677" t="s">
        <v>5</v>
      </c>
      <c r="E677">
        <v>2700</v>
      </c>
      <c r="F677" t="s">
        <v>478</v>
      </c>
      <c r="G677" t="s">
        <v>763</v>
      </c>
      <c r="H677" s="2">
        <v>0.79166666666666663</v>
      </c>
      <c r="I677" t="s">
        <v>762</v>
      </c>
      <c r="J677" s="1">
        <v>0.44900000000000001</v>
      </c>
      <c r="K677">
        <v>-81.5</v>
      </c>
      <c r="L677">
        <v>6.5</v>
      </c>
      <c r="M677">
        <v>3.25</v>
      </c>
      <c r="N677">
        <v>3.17</v>
      </c>
      <c r="O677">
        <v>4</v>
      </c>
      <c r="Q677" s="3">
        <v>0.51736111111111116</v>
      </c>
      <c r="R677">
        <v>5.7</v>
      </c>
      <c r="S677">
        <v>6.39</v>
      </c>
      <c r="T677">
        <v>19.07</v>
      </c>
      <c r="U677">
        <v>6.29</v>
      </c>
      <c r="V677">
        <v>6.29</v>
      </c>
      <c r="W677">
        <v>100</v>
      </c>
      <c r="Y677">
        <v>44</v>
      </c>
      <c r="Z677">
        <v>2.2999999999999998</v>
      </c>
      <c r="AA677">
        <v>0</v>
      </c>
      <c r="AB677" s="3">
        <v>0.5493055555555556</v>
      </c>
      <c r="AC677">
        <v>2.8</v>
      </c>
      <c r="AD677">
        <v>1</v>
      </c>
    </row>
    <row r="678" spans="1:30" x14ac:dyDescent="0.2">
      <c r="A678" t="s">
        <v>199</v>
      </c>
      <c r="C678">
        <v>0</v>
      </c>
      <c r="D678" t="s">
        <v>17</v>
      </c>
      <c r="E678">
        <v>2600</v>
      </c>
      <c r="F678" t="s">
        <v>499</v>
      </c>
      <c r="G678" t="s">
        <v>775</v>
      </c>
      <c r="H678" s="2">
        <v>0.79166666666666663</v>
      </c>
      <c r="I678" t="s">
        <v>762</v>
      </c>
      <c r="J678" s="1">
        <v>0.50700000000000001</v>
      </c>
      <c r="K678">
        <v>-103</v>
      </c>
      <c r="L678">
        <v>6.5</v>
      </c>
      <c r="M678">
        <v>3.71</v>
      </c>
      <c r="N678">
        <v>3.25</v>
      </c>
      <c r="O678">
        <v>1</v>
      </c>
      <c r="Q678" s="3">
        <v>0.84791666666666665</v>
      </c>
      <c r="R678">
        <v>6</v>
      </c>
      <c r="S678">
        <v>4.2699999999999996</v>
      </c>
      <c r="T678">
        <v>17.18</v>
      </c>
      <c r="U678">
        <v>8.64</v>
      </c>
      <c r="V678">
        <v>8.64</v>
      </c>
      <c r="W678">
        <v>100</v>
      </c>
      <c r="Y678">
        <v>64</v>
      </c>
      <c r="Z678">
        <v>3.3</v>
      </c>
      <c r="AA678">
        <v>0</v>
      </c>
      <c r="AB678" s="3">
        <v>0.85</v>
      </c>
      <c r="AC678">
        <v>6.5</v>
      </c>
      <c r="AD678">
        <v>2.5</v>
      </c>
    </row>
    <row r="679" spans="1:30" x14ac:dyDescent="0.2">
      <c r="A679" t="s">
        <v>1008</v>
      </c>
      <c r="C679">
        <v>0</v>
      </c>
      <c r="D679" t="s">
        <v>5</v>
      </c>
      <c r="E679">
        <v>2500</v>
      </c>
      <c r="F679" t="s">
        <v>764</v>
      </c>
      <c r="G679" t="s">
        <v>765</v>
      </c>
      <c r="H679" s="2">
        <v>0.875</v>
      </c>
      <c r="I679" t="s">
        <v>766</v>
      </c>
      <c r="J679" s="1">
        <v>0.47099999999999997</v>
      </c>
      <c r="K679">
        <v>112.5</v>
      </c>
      <c r="L679">
        <v>7</v>
      </c>
      <c r="M679">
        <v>3.5</v>
      </c>
      <c r="N679">
        <v>4.05</v>
      </c>
      <c r="Q679" s="3">
        <v>0.37013888888888891</v>
      </c>
      <c r="R679">
        <v>3.5</v>
      </c>
      <c r="S679">
        <v>2.08</v>
      </c>
      <c r="T679">
        <v>0</v>
      </c>
      <c r="U679">
        <v>0</v>
      </c>
      <c r="V679">
        <v>0</v>
      </c>
      <c r="W679">
        <v>100</v>
      </c>
      <c r="Y679">
        <v>70</v>
      </c>
      <c r="Z679">
        <v>0</v>
      </c>
      <c r="AA679">
        <v>0</v>
      </c>
    </row>
    <row r="680" spans="1:30" x14ac:dyDescent="0.2">
      <c r="A680" t="s">
        <v>66</v>
      </c>
      <c r="C680">
        <v>0</v>
      </c>
      <c r="D680" t="s">
        <v>10</v>
      </c>
      <c r="E680">
        <v>4800</v>
      </c>
      <c r="F680" t="s">
        <v>492</v>
      </c>
      <c r="G680" t="s">
        <v>774</v>
      </c>
      <c r="H680" s="2">
        <v>0.8125</v>
      </c>
      <c r="I680" t="s">
        <v>762</v>
      </c>
      <c r="J680" s="1">
        <v>0.44</v>
      </c>
      <c r="K680">
        <v>-78.5</v>
      </c>
      <c r="L680">
        <v>6.5</v>
      </c>
      <c r="M680">
        <v>3.43</v>
      </c>
      <c r="N680">
        <v>3.25</v>
      </c>
      <c r="O680">
        <v>2</v>
      </c>
      <c r="P680">
        <v>1</v>
      </c>
      <c r="Q680" s="3">
        <v>0.71527777777777779</v>
      </c>
      <c r="R680">
        <v>9.8000000000000007</v>
      </c>
      <c r="S680">
        <v>7.02</v>
      </c>
      <c r="T680">
        <v>25.76</v>
      </c>
      <c r="U680">
        <v>11.72</v>
      </c>
      <c r="V680">
        <v>11.72</v>
      </c>
      <c r="W680">
        <v>100</v>
      </c>
      <c r="Y680">
        <v>64</v>
      </c>
      <c r="Z680">
        <v>2.4</v>
      </c>
      <c r="AA680">
        <v>0</v>
      </c>
      <c r="AB680" s="3">
        <v>0.79722222222222228</v>
      </c>
      <c r="AC680">
        <v>9.3000000000000007</v>
      </c>
      <c r="AD680">
        <v>1.9</v>
      </c>
    </row>
    <row r="681" spans="1:30" x14ac:dyDescent="0.2">
      <c r="A681" t="s">
        <v>926</v>
      </c>
      <c r="C681">
        <v>0</v>
      </c>
      <c r="D681" t="s">
        <v>10</v>
      </c>
      <c r="E681">
        <v>2500</v>
      </c>
      <c r="F681" t="s">
        <v>497</v>
      </c>
      <c r="G681" t="s">
        <v>784</v>
      </c>
      <c r="H681" s="2">
        <v>0.79166666666666663</v>
      </c>
      <c r="I681" t="s">
        <v>766</v>
      </c>
      <c r="J681" s="1">
        <v>0.55100000000000005</v>
      </c>
      <c r="K681">
        <v>81.5</v>
      </c>
      <c r="L681">
        <v>6.5</v>
      </c>
      <c r="M681">
        <v>3.17</v>
      </c>
      <c r="N681">
        <v>3.25</v>
      </c>
      <c r="Q681" s="3">
        <v>0.54791666666666672</v>
      </c>
      <c r="R681">
        <v>2.8</v>
      </c>
      <c r="S681">
        <v>2.81</v>
      </c>
      <c r="T681">
        <v>0</v>
      </c>
      <c r="U681">
        <v>0</v>
      </c>
      <c r="V681">
        <v>0</v>
      </c>
      <c r="W681">
        <v>100</v>
      </c>
      <c r="Y681">
        <v>50</v>
      </c>
      <c r="Z681">
        <v>0</v>
      </c>
      <c r="AA681">
        <v>0</v>
      </c>
    </row>
    <row r="682" spans="1:30" x14ac:dyDescent="0.2">
      <c r="A682" t="s">
        <v>643</v>
      </c>
      <c r="C682">
        <v>0</v>
      </c>
      <c r="D682" t="s">
        <v>10</v>
      </c>
      <c r="E682">
        <v>2500</v>
      </c>
      <c r="F682" t="s">
        <v>777</v>
      </c>
      <c r="G682" t="s">
        <v>778</v>
      </c>
      <c r="H682" s="2">
        <v>0.79166666666666663</v>
      </c>
      <c r="I682" t="s">
        <v>762</v>
      </c>
      <c r="J682" s="1">
        <v>0.46400000000000002</v>
      </c>
      <c r="K682">
        <v>-86.5</v>
      </c>
      <c r="L682">
        <v>6</v>
      </c>
      <c r="M682">
        <v>3.19</v>
      </c>
      <c r="N682">
        <v>3</v>
      </c>
      <c r="O682">
        <v>4</v>
      </c>
      <c r="Q682" s="3">
        <v>0.48958333333333331</v>
      </c>
      <c r="R682">
        <v>3.5</v>
      </c>
      <c r="S682">
        <v>4.68</v>
      </c>
      <c r="T682">
        <v>13.31</v>
      </c>
      <c r="U682">
        <v>3.95</v>
      </c>
      <c r="V682">
        <v>3.95</v>
      </c>
      <c r="W682">
        <v>100</v>
      </c>
      <c r="Y682">
        <v>33</v>
      </c>
      <c r="Z682">
        <v>1.6</v>
      </c>
      <c r="AA682">
        <v>0</v>
      </c>
      <c r="AB682" s="3">
        <v>0.5625</v>
      </c>
      <c r="AC682">
        <v>4.3</v>
      </c>
      <c r="AD682">
        <v>1.7</v>
      </c>
    </row>
    <row r="683" spans="1:30" x14ac:dyDescent="0.2">
      <c r="A683" t="s">
        <v>152</v>
      </c>
      <c r="C683">
        <v>0</v>
      </c>
      <c r="D683" t="s">
        <v>5</v>
      </c>
      <c r="E683">
        <v>3800</v>
      </c>
      <c r="F683" t="s">
        <v>504</v>
      </c>
      <c r="G683" t="s">
        <v>799</v>
      </c>
      <c r="H683" s="2">
        <v>0.83333333333333337</v>
      </c>
      <c r="I683" t="s">
        <v>766</v>
      </c>
      <c r="J683" s="1">
        <v>0.51300000000000001</v>
      </c>
      <c r="K683">
        <v>95</v>
      </c>
      <c r="L683">
        <v>5.5</v>
      </c>
      <c r="M683">
        <v>2.54</v>
      </c>
      <c r="N683">
        <v>2.75</v>
      </c>
      <c r="O683">
        <v>2</v>
      </c>
      <c r="P683">
        <v>1</v>
      </c>
      <c r="Q683" s="3">
        <v>0.75694444444444442</v>
      </c>
      <c r="R683">
        <v>6.7</v>
      </c>
      <c r="S683">
        <v>4.8</v>
      </c>
      <c r="T683">
        <v>16.8</v>
      </c>
      <c r="U683">
        <v>7.2</v>
      </c>
      <c r="V683">
        <v>7.2</v>
      </c>
      <c r="W683">
        <v>100</v>
      </c>
      <c r="Y683">
        <v>64</v>
      </c>
      <c r="Z683">
        <v>1.9</v>
      </c>
      <c r="AA683">
        <v>0</v>
      </c>
      <c r="AB683" s="3">
        <v>0.9145833333333333</v>
      </c>
      <c r="AC683">
        <v>13</v>
      </c>
      <c r="AD683">
        <v>3.4</v>
      </c>
    </row>
    <row r="684" spans="1:30" x14ac:dyDescent="0.2">
      <c r="A684" t="s">
        <v>243</v>
      </c>
      <c r="C684">
        <v>0</v>
      </c>
      <c r="D684" t="s">
        <v>10</v>
      </c>
      <c r="E684">
        <v>6600</v>
      </c>
      <c r="F684" t="s">
        <v>483</v>
      </c>
      <c r="G684" t="s">
        <v>772</v>
      </c>
      <c r="H684" s="2">
        <v>0.91666666666666663</v>
      </c>
      <c r="I684" t="s">
        <v>762</v>
      </c>
      <c r="J684" s="1">
        <v>0.46500000000000002</v>
      </c>
      <c r="K684">
        <v>-87</v>
      </c>
      <c r="L684">
        <v>6</v>
      </c>
      <c r="M684">
        <v>3.14</v>
      </c>
      <c r="N684">
        <v>3</v>
      </c>
      <c r="O684">
        <v>2</v>
      </c>
      <c r="P684">
        <v>1</v>
      </c>
      <c r="Q684" s="3">
        <v>0.73402777777777772</v>
      </c>
      <c r="R684">
        <v>10.8</v>
      </c>
      <c r="S684">
        <v>9.23</v>
      </c>
      <c r="T684">
        <v>31.37</v>
      </c>
      <c r="U684">
        <v>12.91</v>
      </c>
      <c r="V684">
        <v>12.91</v>
      </c>
      <c r="W684">
        <v>100</v>
      </c>
      <c r="Y684">
        <v>57</v>
      </c>
      <c r="Z684">
        <v>2</v>
      </c>
      <c r="AA684">
        <v>0</v>
      </c>
      <c r="AB684" s="3">
        <v>0.72013888888888888</v>
      </c>
      <c r="AC684">
        <v>0</v>
      </c>
    </row>
    <row r="685" spans="1:30" x14ac:dyDescent="0.2">
      <c r="A685" t="s">
        <v>118</v>
      </c>
      <c r="C685">
        <v>0</v>
      </c>
      <c r="D685" t="s">
        <v>17</v>
      </c>
      <c r="E685">
        <v>3400</v>
      </c>
      <c r="F685" t="s">
        <v>489</v>
      </c>
      <c r="G685" t="s">
        <v>788</v>
      </c>
      <c r="H685" s="2">
        <v>0.91666666666666663</v>
      </c>
      <c r="I685" t="s">
        <v>762</v>
      </c>
      <c r="J685" s="1">
        <v>0.48799999999999999</v>
      </c>
      <c r="K685">
        <v>-95.5</v>
      </c>
      <c r="L685">
        <v>6.5</v>
      </c>
      <c r="M685">
        <v>3.25</v>
      </c>
      <c r="N685">
        <v>3.01</v>
      </c>
      <c r="O685">
        <v>2</v>
      </c>
      <c r="P685">
        <v>2</v>
      </c>
      <c r="Q685" s="3">
        <v>0.74513888888888891</v>
      </c>
      <c r="R685">
        <v>6.1</v>
      </c>
      <c r="S685">
        <v>5.68</v>
      </c>
      <c r="T685">
        <v>20.75</v>
      </c>
      <c r="U685">
        <v>9.39</v>
      </c>
      <c r="V685">
        <v>9.39</v>
      </c>
      <c r="W685">
        <v>100</v>
      </c>
      <c r="Y685">
        <v>53</v>
      </c>
      <c r="Z685">
        <v>2.8</v>
      </c>
      <c r="AA685">
        <v>0</v>
      </c>
      <c r="AB685" s="3">
        <v>0.85138888888888886</v>
      </c>
      <c r="AC685">
        <v>1.3</v>
      </c>
      <c r="AD685">
        <v>0.4</v>
      </c>
    </row>
    <row r="686" spans="1:30" x14ac:dyDescent="0.2">
      <c r="A686" t="s">
        <v>33</v>
      </c>
      <c r="C686">
        <v>0</v>
      </c>
      <c r="D686" t="s">
        <v>5</v>
      </c>
      <c r="E686">
        <v>3900</v>
      </c>
      <c r="F686" t="s">
        <v>485</v>
      </c>
      <c r="G686" t="s">
        <v>767</v>
      </c>
      <c r="H686" s="2">
        <v>0.79166666666666663</v>
      </c>
      <c r="I686" t="s">
        <v>762</v>
      </c>
      <c r="J686" s="1">
        <v>0.48099999999999998</v>
      </c>
      <c r="K686">
        <v>-92.5</v>
      </c>
      <c r="L686">
        <v>6.5</v>
      </c>
      <c r="M686">
        <v>3.62</v>
      </c>
      <c r="N686">
        <v>3.25</v>
      </c>
      <c r="O686">
        <v>1</v>
      </c>
      <c r="P686">
        <v>1</v>
      </c>
      <c r="Q686" s="3">
        <v>0.71875</v>
      </c>
      <c r="R686">
        <v>7.5</v>
      </c>
      <c r="S686">
        <v>6.74</v>
      </c>
      <c r="T686">
        <v>23.68</v>
      </c>
      <c r="U686">
        <v>10.199999999999999</v>
      </c>
      <c r="V686">
        <v>10.199999999999999</v>
      </c>
      <c r="W686">
        <v>100</v>
      </c>
      <c r="Y686">
        <v>55</v>
      </c>
      <c r="Z686">
        <v>2.6</v>
      </c>
      <c r="AA686">
        <v>0</v>
      </c>
      <c r="AB686" s="3">
        <v>0.44861111111111113</v>
      </c>
      <c r="AC686">
        <v>10</v>
      </c>
      <c r="AD686">
        <v>2.6</v>
      </c>
    </row>
    <row r="687" spans="1:30" x14ac:dyDescent="0.2">
      <c r="A687" t="s">
        <v>180</v>
      </c>
      <c r="C687">
        <v>0</v>
      </c>
      <c r="D687" t="s">
        <v>10</v>
      </c>
      <c r="E687">
        <v>4000</v>
      </c>
      <c r="F687" t="s">
        <v>764</v>
      </c>
      <c r="G687" t="s">
        <v>765</v>
      </c>
      <c r="H687" s="2">
        <v>0.875</v>
      </c>
      <c r="I687" t="s">
        <v>766</v>
      </c>
      <c r="J687" s="1">
        <v>0.47099999999999997</v>
      </c>
      <c r="K687">
        <v>112.5</v>
      </c>
      <c r="L687">
        <v>7</v>
      </c>
      <c r="M687">
        <v>3.5</v>
      </c>
      <c r="N687">
        <v>4.05</v>
      </c>
      <c r="O687">
        <v>2</v>
      </c>
      <c r="P687">
        <v>2</v>
      </c>
      <c r="Q687" s="3">
        <v>0.60416666666666663</v>
      </c>
      <c r="R687">
        <v>10.6</v>
      </c>
      <c r="S687">
        <v>10.97</v>
      </c>
      <c r="T687">
        <v>33.869999999999997</v>
      </c>
      <c r="U687">
        <v>11.93</v>
      </c>
      <c r="V687">
        <v>11.93</v>
      </c>
      <c r="W687">
        <v>100</v>
      </c>
      <c r="Y687">
        <v>48</v>
      </c>
      <c r="Z687">
        <v>3</v>
      </c>
      <c r="AA687">
        <v>0</v>
      </c>
      <c r="AB687" s="3">
        <v>0.57777777777777772</v>
      </c>
      <c r="AC687">
        <v>0</v>
      </c>
    </row>
    <row r="688" spans="1:30" x14ac:dyDescent="0.2">
      <c r="A688" t="s">
        <v>835</v>
      </c>
      <c r="C688">
        <v>0</v>
      </c>
      <c r="D688" t="s">
        <v>7</v>
      </c>
      <c r="E688">
        <v>7700</v>
      </c>
      <c r="F688" t="s">
        <v>489</v>
      </c>
      <c r="G688" t="s">
        <v>788</v>
      </c>
      <c r="H688" s="2">
        <v>0.91666666666666663</v>
      </c>
      <c r="I688" t="s">
        <v>762</v>
      </c>
      <c r="J688" s="1">
        <v>0.48799999999999999</v>
      </c>
      <c r="K688">
        <v>-95.5</v>
      </c>
      <c r="L688">
        <v>6.5</v>
      </c>
      <c r="M688">
        <v>3.25</v>
      </c>
      <c r="N688">
        <v>3.01</v>
      </c>
      <c r="O688" t="s">
        <v>818</v>
      </c>
      <c r="Q688" s="4">
        <v>2.1493055555555554</v>
      </c>
      <c r="R688">
        <v>4.9000000000000004</v>
      </c>
      <c r="S688">
        <v>9.67</v>
      </c>
      <c r="T688">
        <v>0</v>
      </c>
      <c r="U688">
        <v>0</v>
      </c>
      <c r="V688">
        <v>0</v>
      </c>
      <c r="W688">
        <v>100</v>
      </c>
      <c r="Y688">
        <v>1</v>
      </c>
      <c r="Z688">
        <v>0</v>
      </c>
      <c r="AA688">
        <v>0</v>
      </c>
    </row>
    <row r="689" spans="1:30" x14ac:dyDescent="0.2">
      <c r="A689" t="s">
        <v>340</v>
      </c>
      <c r="C689">
        <v>0</v>
      </c>
      <c r="D689" t="s">
        <v>5</v>
      </c>
      <c r="E689">
        <v>2600</v>
      </c>
      <c r="F689" t="s">
        <v>486</v>
      </c>
      <c r="G689" t="s">
        <v>776</v>
      </c>
      <c r="H689" s="2">
        <v>0.79166666666666663</v>
      </c>
      <c r="I689" t="s">
        <v>762</v>
      </c>
      <c r="J689" s="1">
        <v>0.435</v>
      </c>
      <c r="K689">
        <v>-77</v>
      </c>
      <c r="L689">
        <v>5.5</v>
      </c>
      <c r="M689">
        <v>2.87</v>
      </c>
      <c r="N689">
        <v>2.75</v>
      </c>
      <c r="O689">
        <v>4</v>
      </c>
      <c r="Q689" s="3">
        <v>0.56944444444444442</v>
      </c>
      <c r="R689">
        <v>5.3</v>
      </c>
      <c r="S689">
        <v>4.4000000000000004</v>
      </c>
      <c r="T689">
        <v>15.26</v>
      </c>
      <c r="U689">
        <v>6.46</v>
      </c>
      <c r="V689">
        <v>6.46</v>
      </c>
      <c r="W689">
        <v>100</v>
      </c>
      <c r="Y689">
        <v>58</v>
      </c>
      <c r="Z689">
        <v>2.5</v>
      </c>
      <c r="AA689">
        <v>0</v>
      </c>
      <c r="AB689" s="3">
        <v>0.53472222222222221</v>
      </c>
      <c r="AC689">
        <v>3</v>
      </c>
      <c r="AD689">
        <v>1.2</v>
      </c>
    </row>
    <row r="690" spans="1:30" x14ac:dyDescent="0.2">
      <c r="A690" t="s">
        <v>859</v>
      </c>
      <c r="C690">
        <v>0</v>
      </c>
      <c r="D690" t="s">
        <v>7</v>
      </c>
      <c r="E690">
        <v>6500</v>
      </c>
      <c r="F690" t="s">
        <v>794</v>
      </c>
      <c r="G690" t="s">
        <v>795</v>
      </c>
      <c r="H690" s="2">
        <v>0.79166666666666663</v>
      </c>
      <c r="I690" t="s">
        <v>766</v>
      </c>
      <c r="J690" s="1">
        <v>0.56499999999999995</v>
      </c>
      <c r="K690">
        <v>77</v>
      </c>
      <c r="L690">
        <v>5.5</v>
      </c>
      <c r="M690">
        <v>2.75</v>
      </c>
      <c r="N690">
        <v>2.87</v>
      </c>
      <c r="O690" t="s">
        <v>818</v>
      </c>
      <c r="Q690" s="4">
        <v>1.6368055555555556</v>
      </c>
      <c r="R690">
        <v>5.6</v>
      </c>
      <c r="S690">
        <v>1.4</v>
      </c>
      <c r="T690">
        <v>0</v>
      </c>
      <c r="U690">
        <v>0</v>
      </c>
      <c r="V690">
        <v>0</v>
      </c>
      <c r="W690">
        <v>100</v>
      </c>
      <c r="Y690">
        <v>0</v>
      </c>
      <c r="Z690">
        <v>0</v>
      </c>
      <c r="AA690">
        <v>0</v>
      </c>
    </row>
    <row r="691" spans="1:30" x14ac:dyDescent="0.2">
      <c r="A691" t="s">
        <v>337</v>
      </c>
      <c r="C691">
        <v>0</v>
      </c>
      <c r="D691" t="s">
        <v>17</v>
      </c>
      <c r="E691">
        <v>3500</v>
      </c>
      <c r="F691" t="s">
        <v>504</v>
      </c>
      <c r="G691" t="s">
        <v>799</v>
      </c>
      <c r="H691" s="2">
        <v>0.83333333333333337</v>
      </c>
      <c r="I691" t="s">
        <v>766</v>
      </c>
      <c r="J691" s="1">
        <v>0.51300000000000001</v>
      </c>
      <c r="K691">
        <v>95</v>
      </c>
      <c r="L691">
        <v>5.5</v>
      </c>
      <c r="M691">
        <v>2.54</v>
      </c>
      <c r="N691">
        <v>2.75</v>
      </c>
      <c r="O691">
        <v>1</v>
      </c>
      <c r="P691">
        <v>2</v>
      </c>
      <c r="Q691" s="3">
        <v>0.97430555555555554</v>
      </c>
      <c r="R691">
        <v>6.3</v>
      </c>
      <c r="S691">
        <v>5.53</v>
      </c>
      <c r="T691">
        <v>16.399999999999999</v>
      </c>
      <c r="U691">
        <v>5.34</v>
      </c>
      <c r="V691">
        <v>5.34</v>
      </c>
      <c r="W691">
        <v>100</v>
      </c>
      <c r="Y691">
        <v>56</v>
      </c>
      <c r="Z691">
        <v>1.5</v>
      </c>
      <c r="AA691">
        <v>0</v>
      </c>
      <c r="AB691" s="3">
        <v>0.99375000000000002</v>
      </c>
      <c r="AC691">
        <v>10.6</v>
      </c>
      <c r="AD691">
        <v>3</v>
      </c>
    </row>
    <row r="692" spans="1:30" x14ac:dyDescent="0.2">
      <c r="A692" t="s">
        <v>673</v>
      </c>
      <c r="C692">
        <v>0</v>
      </c>
      <c r="D692" t="s">
        <v>10</v>
      </c>
      <c r="E692">
        <v>2500</v>
      </c>
      <c r="F692" t="s">
        <v>499</v>
      </c>
      <c r="G692" t="s">
        <v>775</v>
      </c>
      <c r="H692" s="2">
        <v>0.79166666666666663</v>
      </c>
      <c r="I692" t="s">
        <v>762</v>
      </c>
      <c r="J692" s="1">
        <v>0.50700000000000001</v>
      </c>
      <c r="K692">
        <v>-103</v>
      </c>
      <c r="L692">
        <v>6.5</v>
      </c>
      <c r="M692">
        <v>3.71</v>
      </c>
      <c r="N692">
        <v>3.25</v>
      </c>
      <c r="Q692" s="3">
        <v>0.51597222222222228</v>
      </c>
      <c r="R692">
        <v>4.9000000000000004</v>
      </c>
      <c r="S692">
        <v>4.3899999999999997</v>
      </c>
      <c r="T692">
        <v>0</v>
      </c>
      <c r="U692">
        <v>0</v>
      </c>
      <c r="V692">
        <v>0</v>
      </c>
      <c r="W692">
        <v>100</v>
      </c>
      <c r="Y692">
        <v>55</v>
      </c>
      <c r="Z692">
        <v>0</v>
      </c>
      <c r="AA692">
        <v>0</v>
      </c>
    </row>
    <row r="693" spans="1:30" x14ac:dyDescent="0.2">
      <c r="A693" t="s">
        <v>837</v>
      </c>
      <c r="C693">
        <v>0</v>
      </c>
      <c r="D693" t="s">
        <v>7</v>
      </c>
      <c r="E693">
        <v>7600</v>
      </c>
      <c r="F693" t="s">
        <v>505</v>
      </c>
      <c r="G693" t="s">
        <v>793</v>
      </c>
      <c r="H693" s="2">
        <v>0.91666666666666663</v>
      </c>
      <c r="I693" t="s">
        <v>762</v>
      </c>
      <c r="J693" s="1">
        <v>0.41499999999999998</v>
      </c>
      <c r="K693">
        <v>-71</v>
      </c>
      <c r="L693">
        <v>6</v>
      </c>
      <c r="M693">
        <v>3.02</v>
      </c>
      <c r="N693">
        <v>3</v>
      </c>
      <c r="O693" t="s">
        <v>818</v>
      </c>
      <c r="Q693" s="4">
        <v>2.3236111111111111</v>
      </c>
      <c r="R693">
        <v>13.7</v>
      </c>
      <c r="S693">
        <v>9.4600000000000009</v>
      </c>
      <c r="T693">
        <v>0</v>
      </c>
      <c r="U693">
        <v>0</v>
      </c>
      <c r="V693">
        <v>0</v>
      </c>
      <c r="W693">
        <v>100</v>
      </c>
      <c r="Y693">
        <v>65</v>
      </c>
      <c r="Z693">
        <v>0</v>
      </c>
      <c r="AA693">
        <v>0</v>
      </c>
      <c r="AB693" s="3">
        <v>0</v>
      </c>
      <c r="AC693">
        <v>0</v>
      </c>
    </row>
    <row r="694" spans="1:30" x14ac:dyDescent="0.2">
      <c r="A694" t="s">
        <v>1011</v>
      </c>
      <c r="C694">
        <v>0</v>
      </c>
      <c r="D694" t="s">
        <v>5</v>
      </c>
      <c r="E694">
        <v>2500</v>
      </c>
      <c r="F694" t="s">
        <v>764</v>
      </c>
      <c r="G694" t="s">
        <v>765</v>
      </c>
      <c r="H694" s="2">
        <v>0.875</v>
      </c>
      <c r="I694" t="s">
        <v>766</v>
      </c>
      <c r="J694" s="1">
        <v>0.47099999999999997</v>
      </c>
      <c r="K694">
        <v>112.5</v>
      </c>
      <c r="L694">
        <v>7</v>
      </c>
      <c r="M694">
        <v>3.5</v>
      </c>
      <c r="N694">
        <v>4.05</v>
      </c>
      <c r="Q694" s="3">
        <v>0.66597222222222219</v>
      </c>
      <c r="R694">
        <v>5.7</v>
      </c>
      <c r="S694">
        <v>6.44</v>
      </c>
      <c r="T694">
        <v>0</v>
      </c>
      <c r="U694">
        <v>0</v>
      </c>
      <c r="V694">
        <v>0</v>
      </c>
      <c r="W694">
        <v>100</v>
      </c>
      <c r="Y694">
        <v>44</v>
      </c>
      <c r="Z694">
        <v>0</v>
      </c>
      <c r="AA694">
        <v>0</v>
      </c>
    </row>
    <row r="695" spans="1:30" x14ac:dyDescent="0.2">
      <c r="A695" t="s">
        <v>573</v>
      </c>
      <c r="C695">
        <v>0</v>
      </c>
      <c r="D695" t="s">
        <v>17</v>
      </c>
      <c r="E695">
        <v>2500</v>
      </c>
      <c r="F695" t="s">
        <v>490</v>
      </c>
      <c r="G695" t="s">
        <v>771</v>
      </c>
      <c r="H695" s="2">
        <v>0.91666666666666663</v>
      </c>
      <c r="I695" t="s">
        <v>766</v>
      </c>
      <c r="J695" s="1">
        <v>0.58499999999999996</v>
      </c>
      <c r="K695">
        <v>71</v>
      </c>
      <c r="L695">
        <v>6</v>
      </c>
      <c r="M695">
        <v>3</v>
      </c>
      <c r="N695">
        <v>3.02</v>
      </c>
      <c r="Q695" s="3">
        <v>0.58958333333333335</v>
      </c>
      <c r="R695">
        <v>4.5</v>
      </c>
      <c r="S695">
        <v>4</v>
      </c>
      <c r="T695">
        <v>0</v>
      </c>
      <c r="U695">
        <v>0</v>
      </c>
      <c r="V695">
        <v>0</v>
      </c>
      <c r="W695">
        <v>100</v>
      </c>
      <c r="Y695">
        <v>56</v>
      </c>
      <c r="Z695">
        <v>0</v>
      </c>
      <c r="AA695">
        <v>0</v>
      </c>
    </row>
    <row r="696" spans="1:30" x14ac:dyDescent="0.2">
      <c r="A696" t="s">
        <v>336</v>
      </c>
      <c r="C696">
        <v>0</v>
      </c>
      <c r="D696" t="s">
        <v>5</v>
      </c>
      <c r="E696">
        <v>2800</v>
      </c>
      <c r="F696" t="s">
        <v>497</v>
      </c>
      <c r="G696" t="s">
        <v>784</v>
      </c>
      <c r="H696" s="2">
        <v>0.79166666666666663</v>
      </c>
      <c r="I696" t="s">
        <v>766</v>
      </c>
      <c r="J696" s="1">
        <v>0.55100000000000005</v>
      </c>
      <c r="K696">
        <v>81.5</v>
      </c>
      <c r="L696">
        <v>6.5</v>
      </c>
      <c r="M696">
        <v>3.17</v>
      </c>
      <c r="N696">
        <v>3.25</v>
      </c>
      <c r="O696">
        <v>4</v>
      </c>
      <c r="Q696" s="3">
        <v>0.6743055555555556</v>
      </c>
      <c r="R696">
        <v>4.9000000000000004</v>
      </c>
      <c r="S696">
        <v>5.68</v>
      </c>
      <c r="T696">
        <v>17.09</v>
      </c>
      <c r="U696">
        <v>5.73</v>
      </c>
      <c r="V696">
        <v>5.73</v>
      </c>
      <c r="W696">
        <v>100</v>
      </c>
      <c r="Y696">
        <v>42</v>
      </c>
      <c r="Z696">
        <v>2</v>
      </c>
      <c r="AA696">
        <v>0</v>
      </c>
      <c r="AB696" s="3">
        <v>0.61805555555555558</v>
      </c>
      <c r="AC696">
        <v>0</v>
      </c>
    </row>
    <row r="697" spans="1:30" x14ac:dyDescent="0.2">
      <c r="A697" t="s">
        <v>955</v>
      </c>
      <c r="C697">
        <v>0</v>
      </c>
      <c r="D697" t="s">
        <v>10</v>
      </c>
      <c r="E697">
        <v>2500</v>
      </c>
      <c r="F697" t="s">
        <v>494</v>
      </c>
      <c r="G697" t="s">
        <v>782</v>
      </c>
      <c r="H697" s="2">
        <v>0.79166666666666663</v>
      </c>
      <c r="I697" t="s">
        <v>762</v>
      </c>
      <c r="J697" s="1">
        <v>0.47199999999999998</v>
      </c>
      <c r="K697">
        <v>-89.5</v>
      </c>
      <c r="L697">
        <v>6</v>
      </c>
      <c r="M697">
        <v>3</v>
      </c>
      <c r="N697">
        <v>2.82</v>
      </c>
      <c r="T697">
        <v>0</v>
      </c>
      <c r="U697">
        <v>0</v>
      </c>
      <c r="V697">
        <v>0</v>
      </c>
      <c r="W697">
        <v>100</v>
      </c>
      <c r="Y697">
        <v>0</v>
      </c>
      <c r="Z697">
        <v>0</v>
      </c>
      <c r="AA697">
        <v>0</v>
      </c>
    </row>
    <row r="698" spans="1:30" x14ac:dyDescent="0.2">
      <c r="A698" t="s">
        <v>899</v>
      </c>
      <c r="C698">
        <v>0</v>
      </c>
      <c r="D698" t="s">
        <v>5</v>
      </c>
      <c r="E698">
        <v>2900</v>
      </c>
      <c r="F698" t="s">
        <v>500</v>
      </c>
      <c r="G698" t="s">
        <v>785</v>
      </c>
      <c r="H698" s="2">
        <v>0.8125</v>
      </c>
      <c r="I698" t="s">
        <v>766</v>
      </c>
      <c r="J698" s="1">
        <v>0.56000000000000005</v>
      </c>
      <c r="K698">
        <v>78.5</v>
      </c>
      <c r="L698">
        <v>6.5</v>
      </c>
      <c r="M698">
        <v>3.25</v>
      </c>
      <c r="N698">
        <v>3.43</v>
      </c>
      <c r="Q698" s="3">
        <v>0.65416666666666667</v>
      </c>
      <c r="R698">
        <v>4.0999999999999996</v>
      </c>
      <c r="S698">
        <v>3.88</v>
      </c>
      <c r="T698">
        <v>0</v>
      </c>
      <c r="U698">
        <v>0</v>
      </c>
      <c r="V698">
        <v>0</v>
      </c>
      <c r="W698">
        <v>100</v>
      </c>
      <c r="Y698">
        <v>53</v>
      </c>
      <c r="Z698">
        <v>0</v>
      </c>
      <c r="AA698">
        <v>0</v>
      </c>
    </row>
    <row r="699" spans="1:30" x14ac:dyDescent="0.2">
      <c r="A699" t="s">
        <v>604</v>
      </c>
      <c r="C699">
        <v>0</v>
      </c>
      <c r="D699" t="s">
        <v>17</v>
      </c>
      <c r="E699">
        <v>2500</v>
      </c>
      <c r="F699" t="s">
        <v>510</v>
      </c>
      <c r="G699" t="s">
        <v>802</v>
      </c>
      <c r="H699" s="2">
        <v>0.91666666666666663</v>
      </c>
      <c r="I699" t="s">
        <v>766</v>
      </c>
      <c r="J699" s="1">
        <v>0.51200000000000001</v>
      </c>
      <c r="K699">
        <v>95.5</v>
      </c>
      <c r="L699">
        <v>6.5</v>
      </c>
      <c r="M699">
        <v>3.01</v>
      </c>
      <c r="N699">
        <v>3.25</v>
      </c>
      <c r="T699">
        <v>0</v>
      </c>
      <c r="U699">
        <v>0</v>
      </c>
      <c r="V699">
        <v>0</v>
      </c>
      <c r="W699">
        <v>100</v>
      </c>
      <c r="Y699">
        <v>0</v>
      </c>
      <c r="Z699">
        <v>0</v>
      </c>
      <c r="AA699">
        <v>0</v>
      </c>
    </row>
    <row r="700" spans="1:30" x14ac:dyDescent="0.2">
      <c r="A700" t="s">
        <v>990</v>
      </c>
      <c r="C700">
        <v>0</v>
      </c>
      <c r="D700" t="s">
        <v>5</v>
      </c>
      <c r="E700">
        <v>2500</v>
      </c>
      <c r="F700" t="s">
        <v>504</v>
      </c>
      <c r="G700" t="s">
        <v>799</v>
      </c>
      <c r="H700" s="2">
        <v>0.83333333333333337</v>
      </c>
      <c r="I700" t="s">
        <v>766</v>
      </c>
      <c r="J700" s="1">
        <v>0.51300000000000001</v>
      </c>
      <c r="K700">
        <v>95</v>
      </c>
      <c r="L700">
        <v>5.5</v>
      </c>
      <c r="M700">
        <v>2.54</v>
      </c>
      <c r="N700">
        <v>2.75</v>
      </c>
      <c r="Q700" s="3">
        <v>0.6791666666666667</v>
      </c>
      <c r="R700">
        <v>5.7</v>
      </c>
      <c r="S700">
        <v>5.42</v>
      </c>
      <c r="T700">
        <v>0</v>
      </c>
      <c r="U700">
        <v>0</v>
      </c>
      <c r="V700">
        <v>0</v>
      </c>
      <c r="W700">
        <v>100</v>
      </c>
      <c r="Y700">
        <v>52</v>
      </c>
      <c r="Z700">
        <v>0</v>
      </c>
      <c r="AA700">
        <v>0</v>
      </c>
    </row>
    <row r="701" spans="1:30" x14ac:dyDescent="0.2">
      <c r="A701" t="s">
        <v>527</v>
      </c>
      <c r="C701">
        <v>0</v>
      </c>
      <c r="D701" t="s">
        <v>10</v>
      </c>
      <c r="E701">
        <v>2700</v>
      </c>
      <c r="F701" t="s">
        <v>768</v>
      </c>
      <c r="G701" t="s">
        <v>769</v>
      </c>
      <c r="H701" s="2">
        <v>0.79166666666666663</v>
      </c>
      <c r="I701" t="s">
        <v>762</v>
      </c>
      <c r="J701" s="1">
        <v>0.51800000000000002</v>
      </c>
      <c r="K701">
        <v>-107.5</v>
      </c>
      <c r="L701">
        <v>5.5</v>
      </c>
      <c r="M701">
        <v>3.2</v>
      </c>
      <c r="N701">
        <v>2.75</v>
      </c>
      <c r="O701">
        <v>3</v>
      </c>
      <c r="Q701" s="3">
        <v>0.55972222222222223</v>
      </c>
      <c r="R701">
        <v>4.9000000000000004</v>
      </c>
      <c r="S701">
        <v>4.67</v>
      </c>
      <c r="T701">
        <v>15.78</v>
      </c>
      <c r="U701">
        <v>6.44</v>
      </c>
      <c r="V701">
        <v>6.44</v>
      </c>
      <c r="W701">
        <v>100</v>
      </c>
      <c r="Y701">
        <v>52</v>
      </c>
      <c r="Z701">
        <v>2.4</v>
      </c>
      <c r="AA701">
        <v>0</v>
      </c>
      <c r="AB701" s="3">
        <v>0.66180555555555554</v>
      </c>
      <c r="AC701">
        <v>3</v>
      </c>
      <c r="AD701">
        <v>1.1000000000000001</v>
      </c>
    </row>
    <row r="702" spans="1:30" x14ac:dyDescent="0.2">
      <c r="A702" t="s">
        <v>828</v>
      </c>
      <c r="C702">
        <v>0</v>
      </c>
      <c r="D702" t="s">
        <v>7</v>
      </c>
      <c r="E702">
        <v>8000</v>
      </c>
      <c r="F702" t="s">
        <v>498</v>
      </c>
      <c r="G702" t="s">
        <v>779</v>
      </c>
      <c r="H702" s="2">
        <v>0.79166666666666663</v>
      </c>
      <c r="I702" t="s">
        <v>762</v>
      </c>
      <c r="J702" s="1">
        <v>0.50600000000000001</v>
      </c>
      <c r="K702">
        <v>-102.5</v>
      </c>
      <c r="L702">
        <v>6</v>
      </c>
      <c r="M702">
        <v>3.44</v>
      </c>
      <c r="N702">
        <v>3</v>
      </c>
      <c r="O702" t="s">
        <v>818</v>
      </c>
      <c r="Q702" s="4">
        <v>2.3111111111111109</v>
      </c>
      <c r="R702">
        <v>10</v>
      </c>
      <c r="S702">
        <v>9.5</v>
      </c>
      <c r="T702">
        <v>0</v>
      </c>
      <c r="U702">
        <v>0</v>
      </c>
      <c r="V702">
        <v>0</v>
      </c>
      <c r="W702">
        <v>100</v>
      </c>
      <c r="Y702">
        <v>53</v>
      </c>
      <c r="Z702">
        <v>0</v>
      </c>
      <c r="AA702">
        <v>0</v>
      </c>
    </row>
    <row r="703" spans="1:30" x14ac:dyDescent="0.2">
      <c r="A703" t="s">
        <v>62</v>
      </c>
      <c r="C703">
        <v>0</v>
      </c>
      <c r="D703" t="s">
        <v>17</v>
      </c>
      <c r="E703">
        <v>7900</v>
      </c>
      <c r="F703" t="s">
        <v>487</v>
      </c>
      <c r="G703" t="s">
        <v>770</v>
      </c>
      <c r="H703" s="2">
        <v>0.83333333333333337</v>
      </c>
      <c r="I703" t="s">
        <v>762</v>
      </c>
      <c r="J703" s="1">
        <v>0.51300000000000001</v>
      </c>
      <c r="K703">
        <v>-105.5</v>
      </c>
      <c r="L703">
        <v>6</v>
      </c>
      <c r="M703">
        <v>3.46</v>
      </c>
      <c r="N703">
        <v>3</v>
      </c>
      <c r="O703">
        <v>1</v>
      </c>
      <c r="P703">
        <v>1</v>
      </c>
      <c r="Q703" s="4">
        <v>1.1520833333333333</v>
      </c>
      <c r="R703">
        <v>12.4</v>
      </c>
      <c r="S703">
        <v>7.97</v>
      </c>
      <c r="T703">
        <v>30.59</v>
      </c>
      <c r="U703">
        <v>14.65</v>
      </c>
      <c r="V703">
        <v>14.65</v>
      </c>
      <c r="W703">
        <v>100</v>
      </c>
      <c r="Y703">
        <v>68</v>
      </c>
      <c r="Z703">
        <v>1.9</v>
      </c>
      <c r="AA703">
        <v>0</v>
      </c>
      <c r="AB703" s="4">
        <v>1.1645833333333333</v>
      </c>
      <c r="AC703">
        <v>9.5</v>
      </c>
      <c r="AD703">
        <v>1.2</v>
      </c>
    </row>
    <row r="704" spans="1:30" x14ac:dyDescent="0.2">
      <c r="A704" t="s">
        <v>1007</v>
      </c>
      <c r="C704">
        <v>0</v>
      </c>
      <c r="D704" t="s">
        <v>10</v>
      </c>
      <c r="E704">
        <v>2500</v>
      </c>
      <c r="F704" t="s">
        <v>480</v>
      </c>
      <c r="G704" t="s">
        <v>761</v>
      </c>
      <c r="H704" s="2">
        <v>0.875</v>
      </c>
      <c r="I704" t="s">
        <v>762</v>
      </c>
      <c r="J704" s="1">
        <v>0.52900000000000003</v>
      </c>
      <c r="K704">
        <v>-112.5</v>
      </c>
      <c r="L704">
        <v>7</v>
      </c>
      <c r="M704">
        <v>4.05</v>
      </c>
      <c r="N704">
        <v>3.5</v>
      </c>
      <c r="Q704" s="3">
        <v>0.37013888888888891</v>
      </c>
      <c r="R704">
        <v>2.9</v>
      </c>
      <c r="S704">
        <v>4.2699999999999996</v>
      </c>
      <c r="T704">
        <v>0</v>
      </c>
      <c r="U704">
        <v>0</v>
      </c>
      <c r="V704">
        <v>0</v>
      </c>
      <c r="W704">
        <v>100</v>
      </c>
      <c r="Y704">
        <v>26</v>
      </c>
      <c r="Z704">
        <v>0</v>
      </c>
      <c r="AA704">
        <v>0</v>
      </c>
    </row>
    <row r="705" spans="1:30" x14ac:dyDescent="0.2">
      <c r="A705" t="s">
        <v>283</v>
      </c>
      <c r="C705">
        <v>0</v>
      </c>
      <c r="D705" t="s">
        <v>5</v>
      </c>
      <c r="E705">
        <v>4500</v>
      </c>
      <c r="F705" t="s">
        <v>794</v>
      </c>
      <c r="G705" t="s">
        <v>795</v>
      </c>
      <c r="H705" s="2">
        <v>0.79166666666666663</v>
      </c>
      <c r="I705" t="s">
        <v>766</v>
      </c>
      <c r="J705" s="1">
        <v>0.56499999999999995</v>
      </c>
      <c r="K705">
        <v>77</v>
      </c>
      <c r="L705">
        <v>5.5</v>
      </c>
      <c r="M705">
        <v>2.75</v>
      </c>
      <c r="N705">
        <v>2.87</v>
      </c>
      <c r="O705">
        <v>2</v>
      </c>
      <c r="P705">
        <v>2</v>
      </c>
      <c r="Q705" s="3">
        <v>0.8354166666666667</v>
      </c>
      <c r="R705">
        <v>7.7</v>
      </c>
      <c r="S705">
        <v>6.44</v>
      </c>
      <c r="T705">
        <v>19.23</v>
      </c>
      <c r="U705">
        <v>6.35</v>
      </c>
      <c r="V705">
        <v>6.35</v>
      </c>
      <c r="W705">
        <v>100</v>
      </c>
      <c r="Y705">
        <v>58</v>
      </c>
      <c r="Z705">
        <v>1.4</v>
      </c>
      <c r="AA705">
        <v>0</v>
      </c>
      <c r="AB705" s="3">
        <v>0.66249999999999998</v>
      </c>
      <c r="AC705">
        <v>1.5</v>
      </c>
      <c r="AD705">
        <v>0.3</v>
      </c>
    </row>
    <row r="706" spans="1:30" x14ac:dyDescent="0.2">
      <c r="A706" t="s">
        <v>652</v>
      </c>
      <c r="C706">
        <v>0</v>
      </c>
      <c r="D706" t="s">
        <v>5</v>
      </c>
      <c r="E706">
        <v>2500</v>
      </c>
      <c r="F706" t="s">
        <v>488</v>
      </c>
      <c r="G706" t="s">
        <v>781</v>
      </c>
      <c r="H706" s="2">
        <v>0.91666666666666663</v>
      </c>
      <c r="I706" t="s">
        <v>766</v>
      </c>
      <c r="J706" s="1">
        <v>0.53500000000000003</v>
      </c>
      <c r="K706">
        <v>87</v>
      </c>
      <c r="L706">
        <v>6</v>
      </c>
      <c r="M706">
        <v>3</v>
      </c>
      <c r="N706">
        <v>3.14</v>
      </c>
      <c r="O706">
        <v>4</v>
      </c>
      <c r="Q706" s="3">
        <v>0.48819444444444443</v>
      </c>
      <c r="R706">
        <v>3.7</v>
      </c>
      <c r="S706">
        <v>4.2300000000000004</v>
      </c>
      <c r="T706">
        <v>12.27</v>
      </c>
      <c r="U706">
        <v>3.81</v>
      </c>
      <c r="V706">
        <v>3.81</v>
      </c>
      <c r="W706">
        <v>100</v>
      </c>
      <c r="Y706">
        <v>43</v>
      </c>
      <c r="Z706">
        <v>1.5</v>
      </c>
      <c r="AA706">
        <v>0</v>
      </c>
      <c r="AB706" s="3">
        <v>0.50972222222222219</v>
      </c>
      <c r="AC706">
        <v>2.8</v>
      </c>
      <c r="AD706">
        <v>1.1000000000000001</v>
      </c>
    </row>
    <row r="707" spans="1:30" x14ac:dyDescent="0.2">
      <c r="A707" t="s">
        <v>382</v>
      </c>
      <c r="C707">
        <v>0</v>
      </c>
      <c r="D707" t="s">
        <v>17</v>
      </c>
      <c r="E707">
        <v>2800</v>
      </c>
      <c r="F707" t="s">
        <v>489</v>
      </c>
      <c r="G707" t="s">
        <v>788</v>
      </c>
      <c r="H707" s="2">
        <v>0.91666666666666663</v>
      </c>
      <c r="I707" t="s">
        <v>762</v>
      </c>
      <c r="J707" s="1">
        <v>0.48799999999999999</v>
      </c>
      <c r="K707">
        <v>-95.5</v>
      </c>
      <c r="L707">
        <v>6.5</v>
      </c>
      <c r="M707">
        <v>3.25</v>
      </c>
      <c r="N707">
        <v>3.01</v>
      </c>
      <c r="O707">
        <v>3</v>
      </c>
      <c r="Q707" s="3">
        <v>0.70625000000000004</v>
      </c>
      <c r="R707">
        <v>6.1</v>
      </c>
      <c r="S707">
        <v>4.2300000000000004</v>
      </c>
      <c r="T707">
        <v>15.64</v>
      </c>
      <c r="U707">
        <v>7.18</v>
      </c>
      <c r="V707">
        <v>7.18</v>
      </c>
      <c r="W707">
        <v>100</v>
      </c>
      <c r="Y707">
        <v>65</v>
      </c>
      <c r="Z707">
        <v>2.6</v>
      </c>
      <c r="AA707">
        <v>0</v>
      </c>
      <c r="AB707" s="3">
        <v>0.63472222222222219</v>
      </c>
      <c r="AC707">
        <v>1.3</v>
      </c>
      <c r="AD707">
        <v>0.5</v>
      </c>
    </row>
    <row r="708" spans="1:30" x14ac:dyDescent="0.2">
      <c r="A708" t="s">
        <v>146</v>
      </c>
      <c r="C708">
        <v>0</v>
      </c>
      <c r="D708" t="s">
        <v>17</v>
      </c>
      <c r="E708">
        <v>5500</v>
      </c>
      <c r="F708" t="s">
        <v>483</v>
      </c>
      <c r="G708" t="s">
        <v>772</v>
      </c>
      <c r="H708" s="2">
        <v>0.91666666666666663</v>
      </c>
      <c r="I708" t="s">
        <v>762</v>
      </c>
      <c r="J708" s="1">
        <v>0.46500000000000002</v>
      </c>
      <c r="K708">
        <v>-87</v>
      </c>
      <c r="L708">
        <v>6</v>
      </c>
      <c r="M708">
        <v>3.14</v>
      </c>
      <c r="N708">
        <v>3</v>
      </c>
      <c r="O708">
        <v>2</v>
      </c>
      <c r="P708">
        <v>2</v>
      </c>
      <c r="Q708" s="4">
        <v>1</v>
      </c>
      <c r="R708">
        <v>11.5</v>
      </c>
      <c r="S708">
        <v>7.62</v>
      </c>
      <c r="T708">
        <v>30.27</v>
      </c>
      <c r="U708">
        <v>15.03</v>
      </c>
      <c r="V708">
        <v>15.03</v>
      </c>
      <c r="W708">
        <v>100</v>
      </c>
      <c r="Y708">
        <v>67</v>
      </c>
      <c r="Z708">
        <v>2.7</v>
      </c>
      <c r="AA708">
        <v>0</v>
      </c>
      <c r="AB708" s="3">
        <v>0.94722222222222219</v>
      </c>
      <c r="AC708">
        <v>12.1</v>
      </c>
      <c r="AD708">
        <v>2.2000000000000002</v>
      </c>
    </row>
    <row r="709" spans="1:30" x14ac:dyDescent="0.2">
      <c r="A709" t="s">
        <v>103</v>
      </c>
      <c r="C709">
        <v>0</v>
      </c>
      <c r="D709" t="s">
        <v>17</v>
      </c>
      <c r="E709">
        <v>6900</v>
      </c>
      <c r="F709" t="s">
        <v>486</v>
      </c>
      <c r="G709" t="s">
        <v>776</v>
      </c>
      <c r="H709" s="2">
        <v>0.79166666666666663</v>
      </c>
      <c r="I709" t="s">
        <v>762</v>
      </c>
      <c r="J709" s="1">
        <v>0.435</v>
      </c>
      <c r="K709">
        <v>-77</v>
      </c>
      <c r="L709">
        <v>5.5</v>
      </c>
      <c r="M709">
        <v>2.87</v>
      </c>
      <c r="N709">
        <v>2.75</v>
      </c>
      <c r="O709">
        <v>1</v>
      </c>
      <c r="P709">
        <v>1</v>
      </c>
      <c r="Q709" s="4">
        <v>1.0194444444444444</v>
      </c>
      <c r="R709">
        <v>12.2</v>
      </c>
      <c r="S709">
        <v>8.9700000000000006</v>
      </c>
      <c r="T709">
        <v>31.96</v>
      </c>
      <c r="U709">
        <v>14.02</v>
      </c>
      <c r="V709">
        <v>14.02</v>
      </c>
      <c r="W709">
        <v>100</v>
      </c>
      <c r="Y709">
        <v>63</v>
      </c>
      <c r="Z709">
        <v>2</v>
      </c>
      <c r="AA709">
        <v>0</v>
      </c>
      <c r="AB709" s="4">
        <v>1.0784722222222223</v>
      </c>
      <c r="AC709">
        <v>8</v>
      </c>
      <c r="AD709">
        <v>1.2</v>
      </c>
    </row>
    <row r="710" spans="1:30" x14ac:dyDescent="0.2">
      <c r="A710" t="s">
        <v>892</v>
      </c>
      <c r="C710">
        <v>0</v>
      </c>
      <c r="D710" t="s">
        <v>17</v>
      </c>
      <c r="E710">
        <v>3200</v>
      </c>
      <c r="F710" t="s">
        <v>509</v>
      </c>
      <c r="G710" t="s">
        <v>791</v>
      </c>
      <c r="H710" s="2">
        <v>0.79166666666666663</v>
      </c>
      <c r="I710" t="s">
        <v>766</v>
      </c>
      <c r="J710" s="1">
        <v>0.51900000000000002</v>
      </c>
      <c r="K710">
        <v>92.5</v>
      </c>
      <c r="L710">
        <v>6.5</v>
      </c>
      <c r="M710">
        <v>3.25</v>
      </c>
      <c r="N710">
        <v>3.62</v>
      </c>
      <c r="Q710" s="3">
        <v>0.80486111111111114</v>
      </c>
      <c r="R710">
        <v>5.8</v>
      </c>
      <c r="S710">
        <v>4.24</v>
      </c>
      <c r="T710">
        <v>0</v>
      </c>
      <c r="U710">
        <v>0</v>
      </c>
      <c r="V710">
        <v>0</v>
      </c>
      <c r="W710">
        <v>100</v>
      </c>
      <c r="Y710">
        <v>63</v>
      </c>
      <c r="Z710">
        <v>0</v>
      </c>
      <c r="AA710">
        <v>0</v>
      </c>
      <c r="AB710" s="3">
        <v>0.91180555555555554</v>
      </c>
      <c r="AC710">
        <v>4.3</v>
      </c>
      <c r="AD710">
        <v>1.3</v>
      </c>
    </row>
    <row r="711" spans="1:30" x14ac:dyDescent="0.2">
      <c r="A711" t="s">
        <v>416</v>
      </c>
      <c r="C711">
        <v>0</v>
      </c>
      <c r="D711" t="s">
        <v>17</v>
      </c>
      <c r="E711">
        <v>2800</v>
      </c>
      <c r="F711" t="s">
        <v>500</v>
      </c>
      <c r="G711" t="s">
        <v>785</v>
      </c>
      <c r="H711" s="2">
        <v>0.8125</v>
      </c>
      <c r="I711" t="s">
        <v>766</v>
      </c>
      <c r="J711" s="1">
        <v>0.56000000000000005</v>
      </c>
      <c r="K711">
        <v>78.5</v>
      </c>
      <c r="L711">
        <v>6.5</v>
      </c>
      <c r="M711">
        <v>3.25</v>
      </c>
      <c r="N711">
        <v>3.43</v>
      </c>
      <c r="Q711" s="3">
        <v>0.79097222222222219</v>
      </c>
      <c r="R711">
        <v>6.9</v>
      </c>
      <c r="S711">
        <v>6.3</v>
      </c>
      <c r="T711">
        <v>0</v>
      </c>
      <c r="U711">
        <v>0</v>
      </c>
      <c r="V711">
        <v>0</v>
      </c>
      <c r="W711">
        <v>100</v>
      </c>
      <c r="Y711">
        <v>54</v>
      </c>
      <c r="Z711">
        <v>0</v>
      </c>
      <c r="AA711">
        <v>0</v>
      </c>
      <c r="AB711" s="3">
        <v>0.83611111111111114</v>
      </c>
      <c r="AC711">
        <v>5.6</v>
      </c>
      <c r="AD711">
        <v>2</v>
      </c>
    </row>
    <row r="712" spans="1:30" x14ac:dyDescent="0.2">
      <c r="A712" t="s">
        <v>638</v>
      </c>
      <c r="C712">
        <v>0</v>
      </c>
      <c r="D712" t="s">
        <v>10</v>
      </c>
      <c r="E712">
        <v>2500</v>
      </c>
      <c r="F712" t="s">
        <v>506</v>
      </c>
      <c r="G712" t="s">
        <v>786</v>
      </c>
      <c r="H712" s="2">
        <v>0.79166666666666663</v>
      </c>
      <c r="I712" t="s">
        <v>766</v>
      </c>
      <c r="J712" s="1">
        <v>0.53600000000000003</v>
      </c>
      <c r="K712">
        <v>86.5</v>
      </c>
      <c r="L712">
        <v>6</v>
      </c>
      <c r="M712">
        <v>3</v>
      </c>
      <c r="N712">
        <v>3.19</v>
      </c>
      <c r="Q712" s="3">
        <v>0.4375</v>
      </c>
      <c r="R712">
        <v>4.2</v>
      </c>
      <c r="S712">
        <v>4.1500000000000004</v>
      </c>
      <c r="T712">
        <v>0</v>
      </c>
      <c r="U712">
        <v>0</v>
      </c>
      <c r="V712">
        <v>0</v>
      </c>
      <c r="W712">
        <v>100</v>
      </c>
      <c r="Y712">
        <v>51</v>
      </c>
      <c r="Z712">
        <v>0</v>
      </c>
      <c r="AA712">
        <v>0</v>
      </c>
    </row>
    <row r="713" spans="1:30" x14ac:dyDescent="0.2">
      <c r="A713" t="s">
        <v>309</v>
      </c>
      <c r="C713">
        <v>0</v>
      </c>
      <c r="D713" t="s">
        <v>10</v>
      </c>
      <c r="E713">
        <v>3100</v>
      </c>
      <c r="F713" t="s">
        <v>483</v>
      </c>
      <c r="G713" t="s">
        <v>772</v>
      </c>
      <c r="H713" s="2">
        <v>0.91666666666666663</v>
      </c>
      <c r="I713" t="s">
        <v>762</v>
      </c>
      <c r="J713" s="1">
        <v>0.46500000000000002</v>
      </c>
      <c r="K713">
        <v>-87</v>
      </c>
      <c r="L713">
        <v>6</v>
      </c>
      <c r="M713">
        <v>3.14</v>
      </c>
      <c r="N713">
        <v>3</v>
      </c>
      <c r="O713">
        <v>1</v>
      </c>
      <c r="Q713" s="3">
        <v>0.57986111111111116</v>
      </c>
      <c r="R713">
        <v>4.3</v>
      </c>
      <c r="S713">
        <v>4.83</v>
      </c>
      <c r="T713">
        <v>14.36</v>
      </c>
      <c r="U713">
        <v>4.7</v>
      </c>
      <c r="V713">
        <v>4.7</v>
      </c>
      <c r="W713">
        <v>100</v>
      </c>
      <c r="Y713">
        <v>44</v>
      </c>
      <c r="Z713">
        <v>1.5</v>
      </c>
      <c r="AA713">
        <v>0</v>
      </c>
      <c r="AB713" s="3">
        <v>0.6</v>
      </c>
      <c r="AC713">
        <v>10</v>
      </c>
      <c r="AD713">
        <v>3.2</v>
      </c>
    </row>
    <row r="714" spans="1:30" x14ac:dyDescent="0.2">
      <c r="A714" t="s">
        <v>73</v>
      </c>
      <c r="C714">
        <v>0</v>
      </c>
      <c r="D714" t="s">
        <v>10</v>
      </c>
      <c r="E714">
        <v>6200</v>
      </c>
      <c r="F714" t="s">
        <v>499</v>
      </c>
      <c r="G714" t="s">
        <v>775</v>
      </c>
      <c r="H714" s="2">
        <v>0.79166666666666663</v>
      </c>
      <c r="I714" t="s">
        <v>762</v>
      </c>
      <c r="J714" s="1">
        <v>0.50700000000000001</v>
      </c>
      <c r="K714">
        <v>-103</v>
      </c>
      <c r="L714">
        <v>6.5</v>
      </c>
      <c r="M714">
        <v>3.71</v>
      </c>
      <c r="N714">
        <v>3.25</v>
      </c>
      <c r="O714">
        <v>1</v>
      </c>
      <c r="P714">
        <v>1</v>
      </c>
      <c r="Q714" s="3">
        <v>0.79097222222222219</v>
      </c>
      <c r="R714">
        <v>11.1</v>
      </c>
      <c r="S714">
        <v>6.14</v>
      </c>
      <c r="T714">
        <v>27.18</v>
      </c>
      <c r="U714">
        <v>14.9</v>
      </c>
      <c r="V714">
        <v>14.9</v>
      </c>
      <c r="W714">
        <v>100</v>
      </c>
      <c r="Y714">
        <v>72</v>
      </c>
      <c r="Z714">
        <v>2.4</v>
      </c>
      <c r="AA714">
        <v>0</v>
      </c>
      <c r="AB714" s="3">
        <v>0.75277777777777777</v>
      </c>
      <c r="AC714">
        <v>11.8</v>
      </c>
      <c r="AD714">
        <v>1.9</v>
      </c>
    </row>
    <row r="715" spans="1:30" x14ac:dyDescent="0.2">
      <c r="A715" t="s">
        <v>1005</v>
      </c>
      <c r="C715">
        <v>0</v>
      </c>
      <c r="D715" t="s">
        <v>17</v>
      </c>
      <c r="E715">
        <v>2500</v>
      </c>
      <c r="F715" t="s">
        <v>480</v>
      </c>
      <c r="G715" t="s">
        <v>761</v>
      </c>
      <c r="H715" s="2">
        <v>0.875</v>
      </c>
      <c r="I715" t="s">
        <v>762</v>
      </c>
      <c r="J715" s="1">
        <v>0.52900000000000003</v>
      </c>
      <c r="K715">
        <v>-112.5</v>
      </c>
      <c r="L715">
        <v>7</v>
      </c>
      <c r="M715">
        <v>4.05</v>
      </c>
      <c r="N715">
        <v>3.5</v>
      </c>
      <c r="Q715" s="3">
        <v>0.50138888888888888</v>
      </c>
      <c r="R715">
        <v>1.7</v>
      </c>
      <c r="S715">
        <v>0.54</v>
      </c>
      <c r="T715">
        <v>0</v>
      </c>
      <c r="U715">
        <v>0</v>
      </c>
      <c r="V715">
        <v>0</v>
      </c>
      <c r="W715">
        <v>100</v>
      </c>
      <c r="Y715">
        <v>84</v>
      </c>
      <c r="Z715">
        <v>0</v>
      </c>
      <c r="AA715">
        <v>0</v>
      </c>
    </row>
    <row r="716" spans="1:30" x14ac:dyDescent="0.2">
      <c r="A716" t="s">
        <v>907</v>
      </c>
      <c r="C716">
        <v>0</v>
      </c>
      <c r="D716" t="s">
        <v>10</v>
      </c>
      <c r="E716">
        <v>2500</v>
      </c>
      <c r="F716" t="s">
        <v>485</v>
      </c>
      <c r="G716" t="s">
        <v>767</v>
      </c>
      <c r="H716" s="2">
        <v>0.79166666666666663</v>
      </c>
      <c r="I716" t="s">
        <v>762</v>
      </c>
      <c r="J716" s="1">
        <v>0.48099999999999998</v>
      </c>
      <c r="K716">
        <v>-92.5</v>
      </c>
      <c r="L716">
        <v>6.5</v>
      </c>
      <c r="M716">
        <v>3.62</v>
      </c>
      <c r="N716">
        <v>3.25</v>
      </c>
      <c r="Q716" s="3">
        <v>0.49930555555555556</v>
      </c>
      <c r="R716">
        <v>5.2</v>
      </c>
      <c r="S716">
        <v>5.29</v>
      </c>
      <c r="T716">
        <v>0</v>
      </c>
      <c r="U716">
        <v>0</v>
      </c>
      <c r="V716">
        <v>0</v>
      </c>
      <c r="W716">
        <v>100</v>
      </c>
      <c r="Y716">
        <v>49</v>
      </c>
      <c r="Z716">
        <v>0</v>
      </c>
      <c r="AA716">
        <v>0</v>
      </c>
    </row>
    <row r="717" spans="1:30" x14ac:dyDescent="0.2">
      <c r="A717" t="s">
        <v>575</v>
      </c>
      <c r="C717">
        <v>0</v>
      </c>
      <c r="D717" t="s">
        <v>10</v>
      </c>
      <c r="E717">
        <v>2500</v>
      </c>
      <c r="F717" t="s">
        <v>504</v>
      </c>
      <c r="G717" t="s">
        <v>799</v>
      </c>
      <c r="H717" s="2">
        <v>0.83333333333333337</v>
      </c>
      <c r="I717" t="s">
        <v>766</v>
      </c>
      <c r="J717" s="1">
        <v>0.51300000000000001</v>
      </c>
      <c r="K717">
        <v>95</v>
      </c>
      <c r="L717">
        <v>5.5</v>
      </c>
      <c r="M717">
        <v>2.54</v>
      </c>
      <c r="N717">
        <v>2.75</v>
      </c>
      <c r="O717">
        <v>3</v>
      </c>
      <c r="Q717" s="3">
        <v>0.53680555555555554</v>
      </c>
      <c r="R717">
        <v>4.9000000000000004</v>
      </c>
      <c r="S717">
        <v>3.88</v>
      </c>
      <c r="T717">
        <v>12.69</v>
      </c>
      <c r="U717">
        <v>4.93</v>
      </c>
      <c r="V717">
        <v>4.93</v>
      </c>
      <c r="W717">
        <v>100</v>
      </c>
      <c r="Y717">
        <v>60</v>
      </c>
      <c r="Z717">
        <v>2</v>
      </c>
      <c r="AA717">
        <v>0</v>
      </c>
      <c r="AB717" s="3">
        <v>0.36875000000000002</v>
      </c>
      <c r="AC717">
        <v>4.3</v>
      </c>
      <c r="AD717">
        <v>1.7</v>
      </c>
    </row>
    <row r="718" spans="1:30" x14ac:dyDescent="0.2">
      <c r="A718" t="s">
        <v>868</v>
      </c>
      <c r="C718">
        <v>0</v>
      </c>
      <c r="D718" t="s">
        <v>5</v>
      </c>
      <c r="E718">
        <v>5400</v>
      </c>
      <c r="F718" t="s">
        <v>504</v>
      </c>
      <c r="G718" t="s">
        <v>799</v>
      </c>
      <c r="H718" s="2">
        <v>0.83333333333333337</v>
      </c>
      <c r="I718" t="s">
        <v>766</v>
      </c>
      <c r="J718" s="1">
        <v>0.51300000000000001</v>
      </c>
      <c r="K718">
        <v>95</v>
      </c>
      <c r="L718">
        <v>5.5</v>
      </c>
      <c r="M718">
        <v>2.54</v>
      </c>
      <c r="N718">
        <v>2.75</v>
      </c>
      <c r="Q718" s="3">
        <v>0.78055555555555556</v>
      </c>
      <c r="R718">
        <v>8.6</v>
      </c>
      <c r="S718">
        <v>7.1</v>
      </c>
      <c r="T718">
        <v>0</v>
      </c>
      <c r="U718">
        <v>0</v>
      </c>
      <c r="V718">
        <v>0</v>
      </c>
      <c r="W718">
        <v>100</v>
      </c>
      <c r="Y718">
        <v>59</v>
      </c>
      <c r="Z718">
        <v>0</v>
      </c>
      <c r="AA718">
        <v>0</v>
      </c>
    </row>
    <row r="719" spans="1:30" x14ac:dyDescent="0.2">
      <c r="A719" t="s">
        <v>911</v>
      </c>
      <c r="C719">
        <v>0</v>
      </c>
      <c r="D719" t="s">
        <v>5</v>
      </c>
      <c r="E719">
        <v>2500</v>
      </c>
      <c r="F719" t="s">
        <v>509</v>
      </c>
      <c r="G719" t="s">
        <v>791</v>
      </c>
      <c r="H719" s="2">
        <v>0.79166666666666663</v>
      </c>
      <c r="I719" t="s">
        <v>766</v>
      </c>
      <c r="J719" s="1">
        <v>0.51900000000000002</v>
      </c>
      <c r="K719">
        <v>92.5</v>
      </c>
      <c r="L719">
        <v>6.5</v>
      </c>
      <c r="M719">
        <v>3.25</v>
      </c>
      <c r="N719">
        <v>3.62</v>
      </c>
      <c r="Q719" s="3">
        <v>0.43680555555555556</v>
      </c>
      <c r="R719">
        <v>3.6</v>
      </c>
      <c r="S719">
        <v>3.78</v>
      </c>
      <c r="T719">
        <v>0</v>
      </c>
      <c r="U719">
        <v>0</v>
      </c>
      <c r="V719">
        <v>0</v>
      </c>
      <c r="W719">
        <v>100</v>
      </c>
      <c r="Y719">
        <v>48</v>
      </c>
      <c r="Z719">
        <v>0</v>
      </c>
      <c r="AA719">
        <v>0</v>
      </c>
    </row>
    <row r="720" spans="1:30" x14ac:dyDescent="0.2">
      <c r="A720" t="s">
        <v>69</v>
      </c>
      <c r="C720">
        <v>0</v>
      </c>
      <c r="D720" t="s">
        <v>17</v>
      </c>
      <c r="E720">
        <v>7000</v>
      </c>
      <c r="F720" t="s">
        <v>506</v>
      </c>
      <c r="G720" t="s">
        <v>786</v>
      </c>
      <c r="H720" s="2">
        <v>0.79166666666666663</v>
      </c>
      <c r="I720" t="s">
        <v>766</v>
      </c>
      <c r="J720" s="1">
        <v>0.53600000000000003</v>
      </c>
      <c r="K720">
        <v>86.5</v>
      </c>
      <c r="L720">
        <v>6</v>
      </c>
      <c r="M720">
        <v>3</v>
      </c>
      <c r="N720">
        <v>3.19</v>
      </c>
      <c r="O720">
        <v>1</v>
      </c>
      <c r="P720">
        <v>1</v>
      </c>
      <c r="Q720" s="3">
        <v>0.9916666666666667</v>
      </c>
      <c r="R720">
        <v>11.3</v>
      </c>
      <c r="S720">
        <v>6.29</v>
      </c>
      <c r="T720">
        <v>25.78</v>
      </c>
      <c r="U720">
        <v>13.2</v>
      </c>
      <c r="V720">
        <v>13.2</v>
      </c>
      <c r="W720">
        <v>100</v>
      </c>
      <c r="Y720">
        <v>72</v>
      </c>
      <c r="Z720">
        <v>1.9</v>
      </c>
      <c r="AA720">
        <v>0</v>
      </c>
      <c r="AB720" s="4">
        <v>1.1722222222222223</v>
      </c>
      <c r="AC720">
        <v>11.4</v>
      </c>
      <c r="AD720">
        <v>1.6</v>
      </c>
    </row>
    <row r="721" spans="1:30" x14ac:dyDescent="0.2">
      <c r="A721" t="s">
        <v>138</v>
      </c>
      <c r="C721">
        <v>0</v>
      </c>
      <c r="D721" t="s">
        <v>5</v>
      </c>
      <c r="E721">
        <v>5800</v>
      </c>
      <c r="F721" t="s">
        <v>488</v>
      </c>
      <c r="G721" t="s">
        <v>781</v>
      </c>
      <c r="H721" s="2">
        <v>0.91666666666666663</v>
      </c>
      <c r="I721" t="s">
        <v>766</v>
      </c>
      <c r="J721" s="1">
        <v>0.53500000000000003</v>
      </c>
      <c r="K721">
        <v>87</v>
      </c>
      <c r="L721">
        <v>6</v>
      </c>
      <c r="M721">
        <v>3</v>
      </c>
      <c r="N721">
        <v>3.14</v>
      </c>
      <c r="O721">
        <v>2</v>
      </c>
      <c r="P721">
        <v>1</v>
      </c>
      <c r="Q721" s="3">
        <v>0.73055555555555551</v>
      </c>
      <c r="R721">
        <v>9.6999999999999993</v>
      </c>
      <c r="S721">
        <v>7.06</v>
      </c>
      <c r="T721">
        <v>23.72</v>
      </c>
      <c r="U721">
        <v>9.6</v>
      </c>
      <c r="V721">
        <v>9.6</v>
      </c>
      <c r="W721">
        <v>100</v>
      </c>
      <c r="Y721">
        <v>64</v>
      </c>
      <c r="Z721">
        <v>1.7</v>
      </c>
      <c r="AA721">
        <v>0</v>
      </c>
      <c r="AB721" s="3">
        <v>0.63888888888888884</v>
      </c>
      <c r="AC721">
        <v>8</v>
      </c>
      <c r="AD721">
        <v>1.4</v>
      </c>
    </row>
    <row r="722" spans="1:30" x14ac:dyDescent="0.2">
      <c r="A722" t="s">
        <v>1002</v>
      </c>
      <c r="C722">
        <v>0</v>
      </c>
      <c r="D722" t="s">
        <v>5</v>
      </c>
      <c r="E722">
        <v>2500</v>
      </c>
      <c r="F722" t="s">
        <v>502</v>
      </c>
      <c r="G722" t="s">
        <v>798</v>
      </c>
      <c r="H722" s="2">
        <v>0.83333333333333337</v>
      </c>
      <c r="I722" t="s">
        <v>766</v>
      </c>
      <c r="J722" s="1">
        <v>0.48699999999999999</v>
      </c>
      <c r="K722">
        <v>105.5</v>
      </c>
      <c r="L722">
        <v>6</v>
      </c>
      <c r="M722">
        <v>3</v>
      </c>
      <c r="N722">
        <v>3.46</v>
      </c>
      <c r="Q722" s="3">
        <v>0.57916666666666672</v>
      </c>
      <c r="R722">
        <v>3.7</v>
      </c>
      <c r="S722">
        <v>1.46</v>
      </c>
      <c r="T722">
        <v>0</v>
      </c>
      <c r="U722">
        <v>0</v>
      </c>
      <c r="V722">
        <v>0</v>
      </c>
      <c r="W722">
        <v>100</v>
      </c>
      <c r="Y722">
        <v>80</v>
      </c>
      <c r="Z722">
        <v>0</v>
      </c>
      <c r="AA722">
        <v>0</v>
      </c>
    </row>
    <row r="723" spans="1:30" x14ac:dyDescent="0.2">
      <c r="A723" t="s">
        <v>166</v>
      </c>
      <c r="C723">
        <v>0</v>
      </c>
      <c r="D723" t="s">
        <v>10</v>
      </c>
      <c r="E723">
        <v>4100</v>
      </c>
      <c r="F723" t="s">
        <v>478</v>
      </c>
      <c r="G723" t="s">
        <v>763</v>
      </c>
      <c r="H723" s="2">
        <v>0.79166666666666663</v>
      </c>
      <c r="I723" t="s">
        <v>762</v>
      </c>
      <c r="J723" s="1">
        <v>0.44900000000000001</v>
      </c>
      <c r="K723">
        <v>-81.5</v>
      </c>
      <c r="L723">
        <v>6.5</v>
      </c>
      <c r="M723">
        <v>3.25</v>
      </c>
      <c r="N723">
        <v>3.17</v>
      </c>
      <c r="O723">
        <v>3</v>
      </c>
      <c r="P723">
        <v>2</v>
      </c>
      <c r="Q723" s="3">
        <v>0.53888888888888886</v>
      </c>
      <c r="R723">
        <v>7.1</v>
      </c>
      <c r="S723">
        <v>5.55</v>
      </c>
      <c r="T723">
        <v>20.23</v>
      </c>
      <c r="U723">
        <v>9.1300000000000008</v>
      </c>
      <c r="V723">
        <v>9.1300000000000008</v>
      </c>
      <c r="W723">
        <v>100</v>
      </c>
      <c r="Y723">
        <v>61</v>
      </c>
      <c r="Z723">
        <v>2.2000000000000002</v>
      </c>
      <c r="AA723">
        <v>0</v>
      </c>
      <c r="AB723" s="3">
        <v>0.52569444444444446</v>
      </c>
      <c r="AC723">
        <v>12.8</v>
      </c>
      <c r="AD723">
        <v>3.1</v>
      </c>
    </row>
    <row r="724" spans="1:30" x14ac:dyDescent="0.2">
      <c r="A724" t="s">
        <v>678</v>
      </c>
      <c r="C724">
        <v>0</v>
      </c>
      <c r="D724" t="s">
        <v>10</v>
      </c>
      <c r="E724">
        <v>2500</v>
      </c>
      <c r="F724" t="s">
        <v>489</v>
      </c>
      <c r="G724" t="s">
        <v>788</v>
      </c>
      <c r="H724" s="2">
        <v>0.91666666666666663</v>
      </c>
      <c r="I724" t="s">
        <v>762</v>
      </c>
      <c r="J724" s="1">
        <v>0.48799999999999999</v>
      </c>
      <c r="K724">
        <v>-95.5</v>
      </c>
      <c r="L724">
        <v>6.5</v>
      </c>
      <c r="M724">
        <v>3.25</v>
      </c>
      <c r="N724">
        <v>3.01</v>
      </c>
      <c r="O724">
        <v>4</v>
      </c>
      <c r="Q724" s="3">
        <v>0.40694444444444444</v>
      </c>
      <c r="R724">
        <v>2.4</v>
      </c>
      <c r="S724">
        <v>4.04</v>
      </c>
      <c r="T724">
        <v>11.17</v>
      </c>
      <c r="U724">
        <v>3.09</v>
      </c>
      <c r="V724">
        <v>3.09</v>
      </c>
      <c r="W724">
        <v>100</v>
      </c>
      <c r="Y724">
        <v>16</v>
      </c>
      <c r="Z724">
        <v>1.2</v>
      </c>
      <c r="AA724">
        <v>0</v>
      </c>
      <c r="AB724" s="3">
        <v>0.34027777777777779</v>
      </c>
      <c r="AC724">
        <v>0</v>
      </c>
    </row>
    <row r="725" spans="1:30" x14ac:dyDescent="0.2">
      <c r="A725" t="s">
        <v>437</v>
      </c>
      <c r="C725">
        <v>0</v>
      </c>
      <c r="D725" t="s">
        <v>10</v>
      </c>
      <c r="E725">
        <v>2500</v>
      </c>
      <c r="F725" t="s">
        <v>499</v>
      </c>
      <c r="G725" t="s">
        <v>775</v>
      </c>
      <c r="H725" s="2">
        <v>0.79166666666666663</v>
      </c>
      <c r="I725" t="s">
        <v>762</v>
      </c>
      <c r="J725" s="1">
        <v>0.50700000000000001</v>
      </c>
      <c r="K725">
        <v>-103</v>
      </c>
      <c r="L725">
        <v>6.5</v>
      </c>
      <c r="M725">
        <v>3.71</v>
      </c>
      <c r="N725">
        <v>3.25</v>
      </c>
      <c r="O725">
        <v>3</v>
      </c>
      <c r="Q725" s="3">
        <v>0.50902777777777775</v>
      </c>
      <c r="R725">
        <v>4.5</v>
      </c>
      <c r="S725">
        <v>4.55</v>
      </c>
      <c r="T725">
        <v>16.420000000000002</v>
      </c>
      <c r="U725">
        <v>7.32</v>
      </c>
      <c r="V725">
        <v>7.32</v>
      </c>
      <c r="W725">
        <v>100</v>
      </c>
      <c r="Y725">
        <v>49</v>
      </c>
      <c r="Z725">
        <v>2.9</v>
      </c>
      <c r="AA725">
        <v>0</v>
      </c>
      <c r="AB725" s="3">
        <v>0.44166666666666665</v>
      </c>
      <c r="AC725">
        <v>11.8</v>
      </c>
      <c r="AD725">
        <v>4.7</v>
      </c>
    </row>
    <row r="726" spans="1:30" x14ac:dyDescent="0.2">
      <c r="A726" t="s">
        <v>280</v>
      </c>
      <c r="C726">
        <v>0</v>
      </c>
      <c r="D726" t="s">
        <v>10</v>
      </c>
      <c r="E726">
        <v>2800</v>
      </c>
      <c r="F726" t="s">
        <v>491</v>
      </c>
      <c r="G726" t="s">
        <v>773</v>
      </c>
      <c r="H726" s="2">
        <v>0.79166666666666663</v>
      </c>
      <c r="I726" t="s">
        <v>766</v>
      </c>
      <c r="J726" s="1">
        <v>0.49299999999999999</v>
      </c>
      <c r="K726">
        <v>103</v>
      </c>
      <c r="L726">
        <v>6.5</v>
      </c>
      <c r="M726">
        <v>3.25</v>
      </c>
      <c r="N726">
        <v>3.71</v>
      </c>
      <c r="O726">
        <v>4</v>
      </c>
      <c r="P726">
        <v>2</v>
      </c>
      <c r="Q726" s="3">
        <v>0.62708333333333333</v>
      </c>
      <c r="R726">
        <v>5.4</v>
      </c>
      <c r="S726">
        <v>5.47</v>
      </c>
      <c r="T726">
        <v>16.25</v>
      </c>
      <c r="U726">
        <v>5.31</v>
      </c>
      <c r="V726">
        <v>5.31</v>
      </c>
      <c r="W726">
        <v>100</v>
      </c>
      <c r="Y726">
        <v>49</v>
      </c>
      <c r="Z726">
        <v>1.9</v>
      </c>
      <c r="AA726">
        <v>0</v>
      </c>
      <c r="AB726" s="3">
        <v>0.57916666666666672</v>
      </c>
      <c r="AC726">
        <v>1.5</v>
      </c>
      <c r="AD726">
        <v>0.5</v>
      </c>
    </row>
    <row r="727" spans="1:30" x14ac:dyDescent="0.2">
      <c r="A727" t="s">
        <v>966</v>
      </c>
      <c r="C727">
        <v>0</v>
      </c>
      <c r="D727" t="s">
        <v>17</v>
      </c>
      <c r="E727">
        <v>2500</v>
      </c>
      <c r="F727" t="s">
        <v>491</v>
      </c>
      <c r="G727" t="s">
        <v>773</v>
      </c>
      <c r="H727" s="2">
        <v>0.79166666666666663</v>
      </c>
      <c r="I727" t="s">
        <v>766</v>
      </c>
      <c r="J727" s="1">
        <v>0.49299999999999999</v>
      </c>
      <c r="K727">
        <v>103</v>
      </c>
      <c r="L727">
        <v>6.5</v>
      </c>
      <c r="M727">
        <v>3.25</v>
      </c>
      <c r="N727">
        <v>3.71</v>
      </c>
      <c r="T727">
        <v>0</v>
      </c>
      <c r="U727">
        <v>0</v>
      </c>
      <c r="V727">
        <v>0</v>
      </c>
      <c r="W727">
        <v>100</v>
      </c>
      <c r="Y727">
        <v>0</v>
      </c>
      <c r="Z727">
        <v>0</v>
      </c>
      <c r="AA727">
        <v>0</v>
      </c>
    </row>
    <row r="728" spans="1:30" x14ac:dyDescent="0.2">
      <c r="A728" t="s">
        <v>964</v>
      </c>
      <c r="C728">
        <v>0</v>
      </c>
      <c r="D728" t="s">
        <v>17</v>
      </c>
      <c r="E728">
        <v>2500</v>
      </c>
      <c r="F728" t="s">
        <v>499</v>
      </c>
      <c r="G728" t="s">
        <v>775</v>
      </c>
      <c r="H728" s="2">
        <v>0.79166666666666663</v>
      </c>
      <c r="I728" t="s">
        <v>762</v>
      </c>
      <c r="J728" s="1">
        <v>0.50700000000000001</v>
      </c>
      <c r="K728">
        <v>-103</v>
      </c>
      <c r="L728">
        <v>6.5</v>
      </c>
      <c r="M728">
        <v>3.71</v>
      </c>
      <c r="N728">
        <v>3.25</v>
      </c>
      <c r="Q728" s="3">
        <v>0.65277777777777779</v>
      </c>
      <c r="R728">
        <v>5.6</v>
      </c>
      <c r="S728">
        <v>3.97</v>
      </c>
      <c r="T728">
        <v>0</v>
      </c>
      <c r="U728">
        <v>0</v>
      </c>
      <c r="V728">
        <v>0</v>
      </c>
      <c r="W728">
        <v>100</v>
      </c>
      <c r="Y728">
        <v>65</v>
      </c>
      <c r="Z728">
        <v>0</v>
      </c>
      <c r="AA728">
        <v>0</v>
      </c>
    </row>
    <row r="729" spans="1:30" x14ac:dyDescent="0.2">
      <c r="A729" t="s">
        <v>387</v>
      </c>
      <c r="C729">
        <v>0</v>
      </c>
      <c r="D729" t="s">
        <v>10</v>
      </c>
      <c r="E729">
        <v>3100</v>
      </c>
      <c r="F729" t="s">
        <v>491</v>
      </c>
      <c r="G729" t="s">
        <v>773</v>
      </c>
      <c r="H729" s="2">
        <v>0.79166666666666663</v>
      </c>
      <c r="I729" t="s">
        <v>766</v>
      </c>
      <c r="J729" s="1">
        <v>0.49299999999999999</v>
      </c>
      <c r="K729">
        <v>103</v>
      </c>
      <c r="L729">
        <v>6.5</v>
      </c>
      <c r="M729">
        <v>3.25</v>
      </c>
      <c r="N729">
        <v>3.71</v>
      </c>
      <c r="O729">
        <v>3</v>
      </c>
      <c r="Q729" s="3">
        <v>0.69374999999999998</v>
      </c>
      <c r="R729">
        <v>4.7</v>
      </c>
      <c r="S729">
        <v>4.4800000000000004</v>
      </c>
      <c r="T729">
        <v>16.18</v>
      </c>
      <c r="U729">
        <v>7.22</v>
      </c>
      <c r="V729">
        <v>7.22</v>
      </c>
      <c r="W729">
        <v>100</v>
      </c>
      <c r="Y729">
        <v>52</v>
      </c>
      <c r="Z729">
        <v>2.2999999999999998</v>
      </c>
      <c r="AA729">
        <v>0</v>
      </c>
      <c r="AB729" s="3">
        <v>0.63541666666666663</v>
      </c>
      <c r="AC729">
        <v>12.3</v>
      </c>
      <c r="AD729">
        <v>4</v>
      </c>
    </row>
    <row r="730" spans="1:30" x14ac:dyDescent="0.2">
      <c r="A730" t="s">
        <v>64</v>
      </c>
      <c r="C730">
        <v>0</v>
      </c>
      <c r="D730" t="s">
        <v>5</v>
      </c>
      <c r="E730">
        <v>5500</v>
      </c>
      <c r="F730" t="s">
        <v>487</v>
      </c>
      <c r="G730" t="s">
        <v>770</v>
      </c>
      <c r="H730" s="2">
        <v>0.83333333333333337</v>
      </c>
      <c r="I730" t="s">
        <v>762</v>
      </c>
      <c r="J730" s="1">
        <v>0.51300000000000001</v>
      </c>
      <c r="K730">
        <v>-105.5</v>
      </c>
      <c r="L730">
        <v>6</v>
      </c>
      <c r="M730">
        <v>3.46</v>
      </c>
      <c r="N730">
        <v>3</v>
      </c>
      <c r="O730">
        <v>1</v>
      </c>
      <c r="P730">
        <v>2</v>
      </c>
      <c r="Q730" s="3">
        <v>0.68819444444444444</v>
      </c>
      <c r="R730">
        <v>9.1999999999999993</v>
      </c>
      <c r="S730">
        <v>7.37</v>
      </c>
      <c r="T730">
        <v>27.64</v>
      </c>
      <c r="U730">
        <v>12.9</v>
      </c>
      <c r="V730">
        <v>12.9</v>
      </c>
      <c r="W730">
        <v>100</v>
      </c>
      <c r="Y730">
        <v>60</v>
      </c>
      <c r="Z730">
        <v>2.2999999999999998</v>
      </c>
      <c r="AA730">
        <v>0</v>
      </c>
      <c r="AB730" s="3">
        <v>0.76180555555555551</v>
      </c>
      <c r="AC730">
        <v>10.8</v>
      </c>
      <c r="AD730">
        <v>2</v>
      </c>
    </row>
    <row r="731" spans="1:30" x14ac:dyDescent="0.2">
      <c r="A731" t="s">
        <v>912</v>
      </c>
      <c r="C731">
        <v>0</v>
      </c>
      <c r="D731" t="s">
        <v>17</v>
      </c>
      <c r="E731">
        <v>2500</v>
      </c>
      <c r="F731" t="s">
        <v>486</v>
      </c>
      <c r="G731" t="s">
        <v>776</v>
      </c>
      <c r="H731" s="2">
        <v>0.79166666666666663</v>
      </c>
      <c r="I731" t="s">
        <v>762</v>
      </c>
      <c r="J731" s="1">
        <v>0.435</v>
      </c>
      <c r="K731">
        <v>-77</v>
      </c>
      <c r="L731">
        <v>5.5</v>
      </c>
      <c r="M731">
        <v>2.87</v>
      </c>
      <c r="N731">
        <v>2.75</v>
      </c>
      <c r="Q731" s="3">
        <v>0.50972222222222219</v>
      </c>
      <c r="R731">
        <v>2.2999999999999998</v>
      </c>
      <c r="S731">
        <v>2.16</v>
      </c>
      <c r="T731">
        <v>0</v>
      </c>
      <c r="U731">
        <v>0</v>
      </c>
      <c r="V731">
        <v>0</v>
      </c>
      <c r="W731">
        <v>100</v>
      </c>
      <c r="Y731">
        <v>53</v>
      </c>
      <c r="Z731">
        <v>0</v>
      </c>
      <c r="AA731">
        <v>0</v>
      </c>
    </row>
    <row r="732" spans="1:30" x14ac:dyDescent="0.2">
      <c r="A732" t="s">
        <v>333</v>
      </c>
      <c r="C732">
        <v>0</v>
      </c>
      <c r="D732" t="s">
        <v>10</v>
      </c>
      <c r="E732">
        <v>4700</v>
      </c>
      <c r="F732" t="s">
        <v>500</v>
      </c>
      <c r="G732" t="s">
        <v>785</v>
      </c>
      <c r="H732" s="2">
        <v>0.8125</v>
      </c>
      <c r="I732" t="s">
        <v>766</v>
      </c>
      <c r="J732" s="1">
        <v>0.56000000000000005</v>
      </c>
      <c r="K732">
        <v>78.5</v>
      </c>
      <c r="L732">
        <v>6.5</v>
      </c>
      <c r="M732">
        <v>3.25</v>
      </c>
      <c r="N732">
        <v>3.43</v>
      </c>
      <c r="O732">
        <v>1</v>
      </c>
      <c r="P732">
        <v>1</v>
      </c>
      <c r="Q732" s="3">
        <v>0.59930555555555554</v>
      </c>
      <c r="R732">
        <v>7.9</v>
      </c>
      <c r="S732">
        <v>6.98</v>
      </c>
      <c r="T732">
        <v>23.85</v>
      </c>
      <c r="U732">
        <v>9.89</v>
      </c>
      <c r="V732">
        <v>9.89</v>
      </c>
      <c r="W732">
        <v>100</v>
      </c>
      <c r="Y732">
        <v>56</v>
      </c>
      <c r="Z732">
        <v>2.1</v>
      </c>
      <c r="AA732">
        <v>0</v>
      </c>
      <c r="AB732" s="3">
        <v>0.62847222222222221</v>
      </c>
      <c r="AC732">
        <v>7.1</v>
      </c>
      <c r="AD732">
        <v>1.5</v>
      </c>
    </row>
    <row r="733" spans="1:30" x14ac:dyDescent="0.2">
      <c r="A733" t="s">
        <v>384</v>
      </c>
      <c r="C733">
        <v>0</v>
      </c>
      <c r="D733" t="s">
        <v>17</v>
      </c>
      <c r="E733">
        <v>2800</v>
      </c>
      <c r="F733" t="s">
        <v>505</v>
      </c>
      <c r="G733" t="s">
        <v>793</v>
      </c>
      <c r="H733" s="2">
        <v>0.91666666666666663</v>
      </c>
      <c r="I733" t="s">
        <v>762</v>
      </c>
      <c r="J733" s="1">
        <v>0.41499999999999998</v>
      </c>
      <c r="K733">
        <v>-71</v>
      </c>
      <c r="L733">
        <v>6</v>
      </c>
      <c r="M733">
        <v>3.02</v>
      </c>
      <c r="N733">
        <v>3</v>
      </c>
      <c r="O733">
        <v>3</v>
      </c>
      <c r="Q733" s="3">
        <v>0.78125</v>
      </c>
      <c r="R733">
        <v>4.9000000000000004</v>
      </c>
      <c r="S733">
        <v>3.39</v>
      </c>
      <c r="T733">
        <v>12.87</v>
      </c>
      <c r="U733">
        <v>6.09</v>
      </c>
      <c r="V733">
        <v>6.09</v>
      </c>
      <c r="W733">
        <v>100</v>
      </c>
      <c r="Y733">
        <v>65</v>
      </c>
      <c r="Z733">
        <v>2.2000000000000002</v>
      </c>
      <c r="AA733">
        <v>0</v>
      </c>
      <c r="AB733" s="3">
        <v>0.83680555555555558</v>
      </c>
      <c r="AC733">
        <v>2.6</v>
      </c>
      <c r="AD733">
        <v>0.9</v>
      </c>
    </row>
    <row r="734" spans="1:30" x14ac:dyDescent="0.2">
      <c r="A734" t="s">
        <v>666</v>
      </c>
      <c r="C734">
        <v>0</v>
      </c>
      <c r="D734" t="s">
        <v>10</v>
      </c>
      <c r="E734">
        <v>2500</v>
      </c>
      <c r="F734" t="s">
        <v>502</v>
      </c>
      <c r="G734" t="s">
        <v>798</v>
      </c>
      <c r="H734" s="2">
        <v>0.83333333333333337</v>
      </c>
      <c r="I734" t="s">
        <v>766</v>
      </c>
      <c r="J734" s="1">
        <v>0.48699999999999999</v>
      </c>
      <c r="K734">
        <v>105.5</v>
      </c>
      <c r="L734">
        <v>6</v>
      </c>
      <c r="M734">
        <v>3</v>
      </c>
      <c r="N734">
        <v>3.46</v>
      </c>
      <c r="Q734" s="3">
        <v>0.37013888888888891</v>
      </c>
      <c r="R734">
        <v>2.7</v>
      </c>
      <c r="S734">
        <v>2.91</v>
      </c>
      <c r="T734">
        <v>0</v>
      </c>
      <c r="U734">
        <v>0</v>
      </c>
      <c r="V734">
        <v>0</v>
      </c>
      <c r="W734">
        <v>100</v>
      </c>
      <c r="Y734">
        <v>46</v>
      </c>
      <c r="Z734">
        <v>0</v>
      </c>
      <c r="AA734">
        <v>0</v>
      </c>
    </row>
    <row r="735" spans="1:30" x14ac:dyDescent="0.2">
      <c r="A735" t="s">
        <v>125</v>
      </c>
      <c r="C735">
        <v>0</v>
      </c>
      <c r="D735" t="s">
        <v>17</v>
      </c>
      <c r="E735">
        <v>3300</v>
      </c>
      <c r="F735" t="s">
        <v>768</v>
      </c>
      <c r="G735" t="s">
        <v>769</v>
      </c>
      <c r="H735" s="2">
        <v>0.79166666666666663</v>
      </c>
      <c r="I735" t="s">
        <v>762</v>
      </c>
      <c r="J735" s="1">
        <v>0.51800000000000002</v>
      </c>
      <c r="K735">
        <v>-107.5</v>
      </c>
      <c r="L735">
        <v>5.5</v>
      </c>
      <c r="M735">
        <v>3.2</v>
      </c>
      <c r="N735">
        <v>2.75</v>
      </c>
      <c r="O735">
        <v>2</v>
      </c>
      <c r="Q735" s="3">
        <v>0.83333333333333337</v>
      </c>
      <c r="R735">
        <v>6.9</v>
      </c>
      <c r="S735">
        <v>5.0999999999999996</v>
      </c>
      <c r="T735">
        <v>17.86</v>
      </c>
      <c r="U735">
        <v>7.66</v>
      </c>
      <c r="V735">
        <v>7.66</v>
      </c>
      <c r="W735">
        <v>100</v>
      </c>
      <c r="Y735">
        <v>63</v>
      </c>
      <c r="Z735">
        <v>2.2999999999999998</v>
      </c>
      <c r="AA735">
        <v>0</v>
      </c>
      <c r="AB735" s="3">
        <v>0.85902777777777772</v>
      </c>
      <c r="AC735">
        <v>11.4</v>
      </c>
      <c r="AD735">
        <v>3.5</v>
      </c>
    </row>
    <row r="736" spans="1:30" x14ac:dyDescent="0.2">
      <c r="A736" t="s">
        <v>203</v>
      </c>
      <c r="C736">
        <v>0</v>
      </c>
      <c r="D736" t="s">
        <v>5</v>
      </c>
      <c r="E736">
        <v>3900</v>
      </c>
      <c r="F736" t="s">
        <v>486</v>
      </c>
      <c r="G736" t="s">
        <v>776</v>
      </c>
      <c r="H736" s="2">
        <v>0.79166666666666663</v>
      </c>
      <c r="I736" t="s">
        <v>762</v>
      </c>
      <c r="J736" s="1">
        <v>0.435</v>
      </c>
      <c r="K736">
        <v>-77</v>
      </c>
      <c r="L736">
        <v>5.5</v>
      </c>
      <c r="M736">
        <v>2.87</v>
      </c>
      <c r="N736">
        <v>2.75</v>
      </c>
      <c r="O736">
        <v>2</v>
      </c>
      <c r="P736">
        <v>2</v>
      </c>
      <c r="Q736" s="3">
        <v>0.73611111111111116</v>
      </c>
      <c r="R736">
        <v>6.2</v>
      </c>
      <c r="S736">
        <v>5.7</v>
      </c>
      <c r="T736">
        <v>18.13</v>
      </c>
      <c r="U736">
        <v>6.73</v>
      </c>
      <c r="V736">
        <v>6.73</v>
      </c>
      <c r="W736">
        <v>100</v>
      </c>
      <c r="Y736">
        <v>54</v>
      </c>
      <c r="Z736">
        <v>1.7</v>
      </c>
      <c r="AA736">
        <v>0</v>
      </c>
      <c r="AB736" s="3">
        <v>0.6875</v>
      </c>
      <c r="AC736">
        <v>11.5</v>
      </c>
      <c r="AD736">
        <v>2.9</v>
      </c>
    </row>
    <row r="737" spans="1:30" x14ac:dyDescent="0.2">
      <c r="A737" t="s">
        <v>68</v>
      </c>
      <c r="C737">
        <v>0</v>
      </c>
      <c r="D737" t="s">
        <v>10</v>
      </c>
      <c r="E737">
        <v>6000</v>
      </c>
      <c r="F737" t="s">
        <v>480</v>
      </c>
      <c r="G737" t="s">
        <v>761</v>
      </c>
      <c r="H737" s="2">
        <v>0.875</v>
      </c>
      <c r="I737" t="s">
        <v>762</v>
      </c>
      <c r="J737" s="1">
        <v>0.52900000000000003</v>
      </c>
      <c r="K737">
        <v>-112.5</v>
      </c>
      <c r="L737">
        <v>7</v>
      </c>
      <c r="M737">
        <v>4.05</v>
      </c>
      <c r="N737">
        <v>3.5</v>
      </c>
      <c r="O737">
        <v>1</v>
      </c>
      <c r="P737">
        <v>1</v>
      </c>
      <c r="Q737" s="3">
        <v>0.79236111111111107</v>
      </c>
      <c r="R737">
        <v>8.8000000000000007</v>
      </c>
      <c r="S737">
        <v>6.83</v>
      </c>
      <c r="T737">
        <v>26.93</v>
      </c>
      <c r="U737">
        <v>13.27</v>
      </c>
      <c r="V737">
        <v>13.27</v>
      </c>
      <c r="W737">
        <v>100</v>
      </c>
      <c r="Y737">
        <v>61</v>
      </c>
      <c r="Z737">
        <v>2.2000000000000002</v>
      </c>
      <c r="AA737">
        <v>0</v>
      </c>
      <c r="AB737" s="3">
        <v>0.71319444444444446</v>
      </c>
      <c r="AC737">
        <v>6.5</v>
      </c>
      <c r="AD737">
        <v>1.1000000000000001</v>
      </c>
    </row>
    <row r="738" spans="1:30" x14ac:dyDescent="0.2">
      <c r="A738" t="s">
        <v>65</v>
      </c>
      <c r="C738">
        <v>0</v>
      </c>
      <c r="D738" t="s">
        <v>5</v>
      </c>
      <c r="E738">
        <v>5300</v>
      </c>
      <c r="F738" t="s">
        <v>506</v>
      </c>
      <c r="G738" t="s">
        <v>786</v>
      </c>
      <c r="H738" s="2">
        <v>0.79166666666666663</v>
      </c>
      <c r="I738" t="s">
        <v>766</v>
      </c>
      <c r="J738" s="1">
        <v>0.53600000000000003</v>
      </c>
      <c r="K738">
        <v>86.5</v>
      </c>
      <c r="L738">
        <v>6</v>
      </c>
      <c r="M738">
        <v>3</v>
      </c>
      <c r="N738">
        <v>3.19</v>
      </c>
      <c r="O738">
        <v>1</v>
      </c>
      <c r="P738">
        <v>1</v>
      </c>
      <c r="Q738" s="3">
        <v>0.83611111111111114</v>
      </c>
      <c r="R738">
        <v>10.3</v>
      </c>
      <c r="S738">
        <v>8.82</v>
      </c>
      <c r="T738">
        <v>31.12</v>
      </c>
      <c r="U738">
        <v>13.48</v>
      </c>
      <c r="V738">
        <v>13.48</v>
      </c>
      <c r="W738">
        <v>100</v>
      </c>
      <c r="Y738">
        <v>57</v>
      </c>
      <c r="Z738">
        <v>2.5</v>
      </c>
      <c r="AA738">
        <v>0</v>
      </c>
      <c r="AB738" s="3">
        <v>0.9194444444444444</v>
      </c>
      <c r="AC738">
        <v>3</v>
      </c>
      <c r="AD738">
        <v>0.6</v>
      </c>
    </row>
    <row r="739" spans="1:30" x14ac:dyDescent="0.2">
      <c r="A739" t="s">
        <v>194</v>
      </c>
      <c r="C739">
        <v>0</v>
      </c>
      <c r="D739" t="s">
        <v>5</v>
      </c>
      <c r="E739">
        <v>4100</v>
      </c>
      <c r="F739" t="s">
        <v>489</v>
      </c>
      <c r="G739" t="s">
        <v>788</v>
      </c>
      <c r="H739" s="2">
        <v>0.91666666666666663</v>
      </c>
      <c r="I739" t="s">
        <v>762</v>
      </c>
      <c r="J739" s="1">
        <v>0.48799999999999999</v>
      </c>
      <c r="K739">
        <v>-95.5</v>
      </c>
      <c r="L739">
        <v>6.5</v>
      </c>
      <c r="M739">
        <v>3.25</v>
      </c>
      <c r="N739">
        <v>3.01</v>
      </c>
      <c r="O739">
        <v>2</v>
      </c>
      <c r="P739">
        <v>2</v>
      </c>
      <c r="Q739" s="3">
        <v>0.58680555555555558</v>
      </c>
      <c r="R739">
        <v>5.9</v>
      </c>
      <c r="S739">
        <v>5.0599999999999996</v>
      </c>
      <c r="T739">
        <v>18.21</v>
      </c>
      <c r="U739">
        <v>8.09</v>
      </c>
      <c r="V739">
        <v>8.09</v>
      </c>
      <c r="W739">
        <v>100</v>
      </c>
      <c r="Y739">
        <v>57</v>
      </c>
      <c r="Z739">
        <v>2</v>
      </c>
      <c r="AA739">
        <v>0</v>
      </c>
      <c r="AB739" s="3">
        <v>0.7631944444444444</v>
      </c>
      <c r="AC739">
        <v>5.8</v>
      </c>
      <c r="AD739">
        <v>1.4</v>
      </c>
    </row>
    <row r="740" spans="1:30" x14ac:dyDescent="0.2">
      <c r="A740" t="s">
        <v>354</v>
      </c>
      <c r="C740">
        <v>0</v>
      </c>
      <c r="D740" t="s">
        <v>17</v>
      </c>
      <c r="E740">
        <v>3700</v>
      </c>
      <c r="F740" t="s">
        <v>494</v>
      </c>
      <c r="G740" t="s">
        <v>782</v>
      </c>
      <c r="H740" s="2">
        <v>0.79166666666666663</v>
      </c>
      <c r="I740" t="s">
        <v>762</v>
      </c>
      <c r="J740" s="1">
        <v>0.47199999999999998</v>
      </c>
      <c r="K740">
        <v>-89.5</v>
      </c>
      <c r="L740">
        <v>6</v>
      </c>
      <c r="M740">
        <v>3</v>
      </c>
      <c r="N740">
        <v>2.82</v>
      </c>
      <c r="O740">
        <v>1</v>
      </c>
      <c r="Q740" s="3">
        <v>0.87291666666666667</v>
      </c>
      <c r="R740">
        <v>7.1</v>
      </c>
      <c r="S740">
        <v>5.86</v>
      </c>
      <c r="T740">
        <v>20.47</v>
      </c>
      <c r="U740">
        <v>8.75</v>
      </c>
      <c r="V740">
        <v>8.75</v>
      </c>
      <c r="W740">
        <v>100</v>
      </c>
      <c r="Y740">
        <v>59</v>
      </c>
      <c r="Z740">
        <v>2.4</v>
      </c>
      <c r="AA740">
        <v>0</v>
      </c>
      <c r="AB740" s="3">
        <v>0.88541666666666663</v>
      </c>
      <c r="AC740">
        <v>9.6999999999999993</v>
      </c>
      <c r="AD740">
        <v>2.6</v>
      </c>
    </row>
    <row r="741" spans="1:30" x14ac:dyDescent="0.2">
      <c r="A741" t="s">
        <v>710</v>
      </c>
      <c r="C741">
        <v>0</v>
      </c>
      <c r="D741" t="s">
        <v>10</v>
      </c>
      <c r="E741">
        <v>2500</v>
      </c>
      <c r="F741" t="s">
        <v>764</v>
      </c>
      <c r="G741" t="s">
        <v>765</v>
      </c>
      <c r="H741" s="2">
        <v>0.875</v>
      </c>
      <c r="I741" t="s">
        <v>766</v>
      </c>
      <c r="J741" s="1">
        <v>0.47099999999999997</v>
      </c>
      <c r="K741">
        <v>112.5</v>
      </c>
      <c r="L741">
        <v>7</v>
      </c>
      <c r="M741">
        <v>3.5</v>
      </c>
      <c r="N741">
        <v>4.05</v>
      </c>
      <c r="O741">
        <v>4</v>
      </c>
      <c r="Q741" s="3">
        <v>0.33958333333333335</v>
      </c>
      <c r="R741">
        <v>1.8</v>
      </c>
      <c r="S741">
        <v>2.65</v>
      </c>
      <c r="T741">
        <v>7.28</v>
      </c>
      <c r="U741">
        <v>1.98</v>
      </c>
      <c r="V741">
        <v>1.98</v>
      </c>
      <c r="W741">
        <v>100</v>
      </c>
      <c r="Y741">
        <v>26</v>
      </c>
      <c r="Z741">
        <v>0.8</v>
      </c>
      <c r="AA741">
        <v>0</v>
      </c>
      <c r="AB741" s="3">
        <v>0.31597222222222221</v>
      </c>
      <c r="AC741">
        <v>1.3</v>
      </c>
      <c r="AD741">
        <v>0.5</v>
      </c>
    </row>
    <row r="742" spans="1:30" x14ac:dyDescent="0.2">
      <c r="A742" t="s">
        <v>154</v>
      </c>
      <c r="C742">
        <v>0</v>
      </c>
      <c r="D742" t="s">
        <v>17</v>
      </c>
      <c r="E742">
        <v>2900</v>
      </c>
      <c r="F742" t="s">
        <v>499</v>
      </c>
      <c r="G742" t="s">
        <v>775</v>
      </c>
      <c r="H742" s="2">
        <v>0.79166666666666663</v>
      </c>
      <c r="I742" t="s">
        <v>762</v>
      </c>
      <c r="J742" s="1">
        <v>0.50700000000000001</v>
      </c>
      <c r="K742">
        <v>-103</v>
      </c>
      <c r="L742">
        <v>6.5</v>
      </c>
      <c r="M742">
        <v>3.71</v>
      </c>
      <c r="N742">
        <v>3.25</v>
      </c>
      <c r="O742">
        <v>3</v>
      </c>
      <c r="Q742" s="3">
        <v>0.79236111111111107</v>
      </c>
      <c r="R742">
        <v>5.5</v>
      </c>
      <c r="S742">
        <v>5.67</v>
      </c>
      <c r="T742">
        <v>18.37</v>
      </c>
      <c r="U742">
        <v>7.03</v>
      </c>
      <c r="V742">
        <v>7.03</v>
      </c>
      <c r="W742">
        <v>100</v>
      </c>
      <c r="Y742">
        <v>48</v>
      </c>
      <c r="Z742">
        <v>2.4</v>
      </c>
      <c r="AA742">
        <v>0</v>
      </c>
      <c r="AB742" s="3">
        <v>0.74375000000000002</v>
      </c>
      <c r="AC742">
        <v>18</v>
      </c>
      <c r="AD742">
        <v>6.2</v>
      </c>
    </row>
    <row r="743" spans="1:30" x14ac:dyDescent="0.2">
      <c r="A743" t="s">
        <v>363</v>
      </c>
      <c r="C743">
        <v>0</v>
      </c>
      <c r="D743" t="s">
        <v>10</v>
      </c>
      <c r="E743">
        <v>2900</v>
      </c>
      <c r="F743" t="s">
        <v>489</v>
      </c>
      <c r="G743" t="s">
        <v>788</v>
      </c>
      <c r="H743" s="2">
        <v>0.91666666666666663</v>
      </c>
      <c r="I743" t="s">
        <v>762</v>
      </c>
      <c r="J743" s="1">
        <v>0.48799999999999999</v>
      </c>
      <c r="K743">
        <v>-95.5</v>
      </c>
      <c r="L743">
        <v>6.5</v>
      </c>
      <c r="M743">
        <v>3.25</v>
      </c>
      <c r="N743">
        <v>3.01</v>
      </c>
      <c r="Q743" s="3">
        <v>0.50624999999999998</v>
      </c>
      <c r="R743">
        <v>3.6</v>
      </c>
      <c r="S743">
        <v>4.58</v>
      </c>
      <c r="T743">
        <v>0</v>
      </c>
      <c r="U743">
        <v>0</v>
      </c>
      <c r="V743">
        <v>0</v>
      </c>
      <c r="W743">
        <v>100</v>
      </c>
      <c r="Y743">
        <v>36</v>
      </c>
      <c r="Z743">
        <v>0</v>
      </c>
      <c r="AA743">
        <v>0</v>
      </c>
    </row>
    <row r="744" spans="1:30" x14ac:dyDescent="0.2">
      <c r="A744" t="s">
        <v>632</v>
      </c>
      <c r="C744">
        <v>0</v>
      </c>
      <c r="D744" t="s">
        <v>10</v>
      </c>
      <c r="E744">
        <v>2500</v>
      </c>
      <c r="F744" t="s">
        <v>505</v>
      </c>
      <c r="G744" t="s">
        <v>793</v>
      </c>
      <c r="H744" s="2">
        <v>0.91666666666666663</v>
      </c>
      <c r="I744" t="s">
        <v>762</v>
      </c>
      <c r="J744" s="1">
        <v>0.41499999999999998</v>
      </c>
      <c r="K744">
        <v>-71</v>
      </c>
      <c r="L744">
        <v>6</v>
      </c>
      <c r="M744">
        <v>3.02</v>
      </c>
      <c r="N744">
        <v>3</v>
      </c>
      <c r="O744">
        <v>4</v>
      </c>
      <c r="Q744" s="3">
        <v>0.47499999999999998</v>
      </c>
      <c r="R744">
        <v>4</v>
      </c>
      <c r="S744">
        <v>4.18</v>
      </c>
      <c r="T744">
        <v>12.79</v>
      </c>
      <c r="U744">
        <v>4.43</v>
      </c>
      <c r="V744">
        <v>4.43</v>
      </c>
      <c r="W744">
        <v>100</v>
      </c>
      <c r="Y744">
        <v>48</v>
      </c>
      <c r="Z744">
        <v>1.8</v>
      </c>
      <c r="AA744">
        <v>0</v>
      </c>
      <c r="AB744" s="3">
        <v>0.56388888888888888</v>
      </c>
      <c r="AC744">
        <v>3</v>
      </c>
      <c r="AD744">
        <v>1.2</v>
      </c>
    </row>
    <row r="745" spans="1:30" x14ac:dyDescent="0.2">
      <c r="A745" t="s">
        <v>539</v>
      </c>
      <c r="C745">
        <v>0</v>
      </c>
      <c r="D745" t="s">
        <v>17</v>
      </c>
      <c r="E745">
        <v>2500</v>
      </c>
      <c r="F745" t="s">
        <v>505</v>
      </c>
      <c r="G745" t="s">
        <v>793</v>
      </c>
      <c r="H745" s="2">
        <v>0.91666666666666663</v>
      </c>
      <c r="I745" t="s">
        <v>762</v>
      </c>
      <c r="J745" s="1">
        <v>0.41499999999999998</v>
      </c>
      <c r="K745">
        <v>-71</v>
      </c>
      <c r="L745">
        <v>6</v>
      </c>
      <c r="M745">
        <v>3.02</v>
      </c>
      <c r="N745">
        <v>3</v>
      </c>
      <c r="Q745" s="3">
        <v>0.7270833333333333</v>
      </c>
      <c r="R745">
        <v>4.8</v>
      </c>
      <c r="S745">
        <v>4.21</v>
      </c>
      <c r="T745">
        <v>0</v>
      </c>
      <c r="U745">
        <v>0</v>
      </c>
      <c r="V745">
        <v>0</v>
      </c>
      <c r="W745">
        <v>100</v>
      </c>
      <c r="Y745">
        <v>56</v>
      </c>
      <c r="Z745">
        <v>0</v>
      </c>
      <c r="AA745">
        <v>0</v>
      </c>
      <c r="AB745" s="3">
        <v>0.69722222222222219</v>
      </c>
      <c r="AC745">
        <v>2.8</v>
      </c>
      <c r="AD745">
        <v>1.1000000000000001</v>
      </c>
    </row>
    <row r="746" spans="1:30" x14ac:dyDescent="0.2">
      <c r="A746" t="s">
        <v>44</v>
      </c>
      <c r="C746">
        <v>0</v>
      </c>
      <c r="D746" t="s">
        <v>5</v>
      </c>
      <c r="E746">
        <v>6400</v>
      </c>
      <c r="F746" t="s">
        <v>493</v>
      </c>
      <c r="G746" t="s">
        <v>789</v>
      </c>
      <c r="H746" s="2">
        <v>0.83333333333333337</v>
      </c>
      <c r="I746" t="s">
        <v>762</v>
      </c>
      <c r="J746" s="1">
        <v>0.48699999999999999</v>
      </c>
      <c r="K746">
        <v>-95</v>
      </c>
      <c r="L746">
        <v>5.5</v>
      </c>
      <c r="M746">
        <v>2.75</v>
      </c>
      <c r="N746">
        <v>2.54</v>
      </c>
      <c r="O746">
        <v>2</v>
      </c>
      <c r="P746">
        <v>1</v>
      </c>
      <c r="Q746" s="3">
        <v>0.77083333333333337</v>
      </c>
      <c r="R746">
        <v>10</v>
      </c>
      <c r="S746">
        <v>8.18</v>
      </c>
      <c r="T746">
        <v>29.82</v>
      </c>
      <c r="U746">
        <v>13.46</v>
      </c>
      <c r="V746">
        <v>13.46</v>
      </c>
      <c r="W746">
        <v>100</v>
      </c>
      <c r="Y746">
        <v>59</v>
      </c>
      <c r="Z746">
        <v>2.1</v>
      </c>
      <c r="AA746">
        <v>0</v>
      </c>
      <c r="AB746" s="3">
        <v>0.92291666666666672</v>
      </c>
      <c r="AC746">
        <v>5</v>
      </c>
      <c r="AD746">
        <v>0.8</v>
      </c>
    </row>
    <row r="747" spans="1:30" x14ac:dyDescent="0.2">
      <c r="A747" t="s">
        <v>646</v>
      </c>
      <c r="C747">
        <v>0</v>
      </c>
      <c r="D747" t="s">
        <v>5</v>
      </c>
      <c r="E747">
        <v>2500</v>
      </c>
      <c r="F747" t="s">
        <v>501</v>
      </c>
      <c r="G747" t="s">
        <v>783</v>
      </c>
      <c r="H747" s="2">
        <v>0.79166666666666663</v>
      </c>
      <c r="I747" t="s">
        <v>766</v>
      </c>
      <c r="J747" s="1">
        <v>0.52800000000000002</v>
      </c>
      <c r="K747">
        <v>89.5</v>
      </c>
      <c r="L747">
        <v>6</v>
      </c>
      <c r="M747">
        <v>2.82</v>
      </c>
      <c r="N747">
        <v>3</v>
      </c>
      <c r="O747">
        <v>4</v>
      </c>
      <c r="Q747" s="3">
        <v>0.43611111111111112</v>
      </c>
      <c r="R747">
        <v>3.2</v>
      </c>
      <c r="S747">
        <v>3.77</v>
      </c>
      <c r="T747">
        <v>10.55</v>
      </c>
      <c r="U747">
        <v>3.01</v>
      </c>
      <c r="V747">
        <v>3.01</v>
      </c>
      <c r="W747">
        <v>100</v>
      </c>
      <c r="Y747">
        <v>41</v>
      </c>
      <c r="Z747">
        <v>1.2</v>
      </c>
      <c r="AA747">
        <v>0</v>
      </c>
      <c r="AB747" s="3">
        <v>0.39027777777777778</v>
      </c>
      <c r="AC747">
        <v>2.6</v>
      </c>
      <c r="AD747">
        <v>1</v>
      </c>
    </row>
    <row r="748" spans="1:30" x14ac:dyDescent="0.2">
      <c r="A748" t="s">
        <v>365</v>
      </c>
      <c r="C748">
        <v>0</v>
      </c>
      <c r="D748" t="s">
        <v>10</v>
      </c>
      <c r="E748">
        <v>2500</v>
      </c>
      <c r="F748" t="s">
        <v>489</v>
      </c>
      <c r="G748" t="s">
        <v>788</v>
      </c>
      <c r="H748" s="2">
        <v>0.91666666666666663</v>
      </c>
      <c r="I748" t="s">
        <v>762</v>
      </c>
      <c r="J748" s="1">
        <v>0.48799999999999999</v>
      </c>
      <c r="K748">
        <v>-95.5</v>
      </c>
      <c r="L748">
        <v>6.5</v>
      </c>
      <c r="M748">
        <v>3.25</v>
      </c>
      <c r="N748">
        <v>3.01</v>
      </c>
      <c r="O748">
        <v>3</v>
      </c>
      <c r="Q748" s="3">
        <v>0.43263888888888891</v>
      </c>
      <c r="R748">
        <v>3.2</v>
      </c>
      <c r="S748">
        <v>4.45</v>
      </c>
      <c r="T748">
        <v>16.07</v>
      </c>
      <c r="U748">
        <v>7.17</v>
      </c>
      <c r="V748">
        <v>7.17</v>
      </c>
      <c r="W748">
        <v>100</v>
      </c>
      <c r="Y748">
        <v>30</v>
      </c>
      <c r="Z748">
        <v>2.9</v>
      </c>
      <c r="AA748">
        <v>0</v>
      </c>
      <c r="AB748" s="3">
        <v>0.39513888888888887</v>
      </c>
      <c r="AC748">
        <v>3</v>
      </c>
      <c r="AD748">
        <v>1.2</v>
      </c>
    </row>
    <row r="749" spans="1:30" x14ac:dyDescent="0.2">
      <c r="A749" t="s">
        <v>559</v>
      </c>
      <c r="C749">
        <v>0</v>
      </c>
      <c r="D749" t="s">
        <v>17</v>
      </c>
      <c r="E749">
        <v>2500</v>
      </c>
      <c r="F749" t="s">
        <v>764</v>
      </c>
      <c r="G749" t="s">
        <v>765</v>
      </c>
      <c r="H749" s="2">
        <v>0.875</v>
      </c>
      <c r="I749" t="s">
        <v>766</v>
      </c>
      <c r="J749" s="1">
        <v>0.47099999999999997</v>
      </c>
      <c r="K749">
        <v>112.5</v>
      </c>
      <c r="L749">
        <v>7</v>
      </c>
      <c r="M749">
        <v>3.5</v>
      </c>
      <c r="N749">
        <v>4.05</v>
      </c>
      <c r="O749">
        <v>3</v>
      </c>
      <c r="Q749" s="3">
        <v>0.66874999999999996</v>
      </c>
      <c r="R749">
        <v>3.6</v>
      </c>
      <c r="S749">
        <v>3.35</v>
      </c>
      <c r="T749">
        <v>11.83</v>
      </c>
      <c r="U749">
        <v>5.13</v>
      </c>
      <c r="V749">
        <v>5.13</v>
      </c>
      <c r="W749">
        <v>100</v>
      </c>
      <c r="Y749">
        <v>53</v>
      </c>
      <c r="Z749">
        <v>2.1</v>
      </c>
      <c r="AA749">
        <v>0</v>
      </c>
      <c r="AB749" s="3">
        <v>0.6118055555555556</v>
      </c>
      <c r="AC749">
        <v>9.3000000000000007</v>
      </c>
      <c r="AD749">
        <v>3.7</v>
      </c>
    </row>
    <row r="750" spans="1:30" x14ac:dyDescent="0.2">
      <c r="A750" t="s">
        <v>720</v>
      </c>
      <c r="C750">
        <v>0</v>
      </c>
      <c r="D750" t="s">
        <v>5</v>
      </c>
      <c r="E750">
        <v>2500</v>
      </c>
      <c r="F750" t="s">
        <v>491</v>
      </c>
      <c r="G750" t="s">
        <v>773</v>
      </c>
      <c r="H750" s="2">
        <v>0.79166666666666663</v>
      </c>
      <c r="I750" t="s">
        <v>766</v>
      </c>
      <c r="J750" s="1">
        <v>0.49299999999999999</v>
      </c>
      <c r="K750">
        <v>103</v>
      </c>
      <c r="L750">
        <v>6.5</v>
      </c>
      <c r="M750">
        <v>3.25</v>
      </c>
      <c r="N750">
        <v>3.71</v>
      </c>
      <c r="Q750" s="3">
        <v>0.38611111111111113</v>
      </c>
      <c r="R750">
        <v>1.4</v>
      </c>
      <c r="S750">
        <v>2.78</v>
      </c>
      <c r="T750">
        <v>0</v>
      </c>
      <c r="U750">
        <v>0</v>
      </c>
      <c r="V750">
        <v>0</v>
      </c>
      <c r="W750">
        <v>100</v>
      </c>
      <c r="Y750">
        <v>1</v>
      </c>
      <c r="Z750">
        <v>0</v>
      </c>
      <c r="AA750">
        <v>0</v>
      </c>
    </row>
    <row r="751" spans="1:30" x14ac:dyDescent="0.2">
      <c r="A751" t="s">
        <v>226</v>
      </c>
      <c r="C751">
        <v>0</v>
      </c>
      <c r="D751" t="s">
        <v>17</v>
      </c>
      <c r="E751">
        <v>4000</v>
      </c>
      <c r="F751" t="s">
        <v>478</v>
      </c>
      <c r="G751" t="s">
        <v>763</v>
      </c>
      <c r="H751" s="2">
        <v>0.79166666666666663</v>
      </c>
      <c r="I751" t="s">
        <v>762</v>
      </c>
      <c r="J751" s="1">
        <v>0.44900000000000001</v>
      </c>
      <c r="K751">
        <v>-81.5</v>
      </c>
      <c r="L751">
        <v>6.5</v>
      </c>
      <c r="M751">
        <v>3.25</v>
      </c>
      <c r="N751">
        <v>3.17</v>
      </c>
      <c r="O751">
        <v>1</v>
      </c>
      <c r="P751">
        <v>2</v>
      </c>
      <c r="Q751" s="3">
        <v>0.71111111111111114</v>
      </c>
      <c r="R751">
        <v>7.4</v>
      </c>
      <c r="S751">
        <v>5.13</v>
      </c>
      <c r="T751">
        <v>19.68</v>
      </c>
      <c r="U751">
        <v>9.42</v>
      </c>
      <c r="V751">
        <v>9.42</v>
      </c>
      <c r="W751">
        <v>100</v>
      </c>
      <c r="Y751">
        <v>65</v>
      </c>
      <c r="Z751">
        <v>2.4</v>
      </c>
      <c r="AA751">
        <v>0</v>
      </c>
      <c r="AB751" s="3">
        <v>0.875</v>
      </c>
      <c r="AC751">
        <v>11</v>
      </c>
      <c r="AD751">
        <v>2.8</v>
      </c>
    </row>
    <row r="752" spans="1:30" x14ac:dyDescent="0.2">
      <c r="A752" t="s">
        <v>999</v>
      </c>
      <c r="C752">
        <v>0</v>
      </c>
      <c r="D752" t="s">
        <v>10</v>
      </c>
      <c r="E752">
        <v>2500</v>
      </c>
      <c r="F752" t="s">
        <v>502</v>
      </c>
      <c r="G752" t="s">
        <v>798</v>
      </c>
      <c r="H752" s="2">
        <v>0.83333333333333337</v>
      </c>
      <c r="I752" t="s">
        <v>766</v>
      </c>
      <c r="J752" s="1">
        <v>0.48699999999999999</v>
      </c>
      <c r="K752">
        <v>105.5</v>
      </c>
      <c r="L752">
        <v>6</v>
      </c>
      <c r="M752">
        <v>3</v>
      </c>
      <c r="N752">
        <v>3.46</v>
      </c>
      <c r="Q752" s="3">
        <v>0.3888888888888889</v>
      </c>
      <c r="R752">
        <v>1.9</v>
      </c>
      <c r="S752">
        <v>1.37</v>
      </c>
      <c r="T752">
        <v>0</v>
      </c>
      <c r="U752">
        <v>0</v>
      </c>
      <c r="V752">
        <v>0</v>
      </c>
      <c r="W752">
        <v>100</v>
      </c>
      <c r="Y752">
        <v>64</v>
      </c>
      <c r="Z752">
        <v>0</v>
      </c>
      <c r="AA752">
        <v>0</v>
      </c>
    </row>
    <row r="753" spans="1:30" x14ac:dyDescent="0.2">
      <c r="A753" t="s">
        <v>967</v>
      </c>
      <c r="C753">
        <v>0</v>
      </c>
      <c r="D753" t="s">
        <v>10</v>
      </c>
      <c r="E753">
        <v>2500</v>
      </c>
      <c r="F753" t="s">
        <v>499</v>
      </c>
      <c r="G753" t="s">
        <v>775</v>
      </c>
      <c r="H753" s="2">
        <v>0.79166666666666663</v>
      </c>
      <c r="I753" t="s">
        <v>762</v>
      </c>
      <c r="J753" s="1">
        <v>0.50700000000000001</v>
      </c>
      <c r="K753">
        <v>-103</v>
      </c>
      <c r="L753">
        <v>6.5</v>
      </c>
      <c r="M753">
        <v>3.71</v>
      </c>
      <c r="N753">
        <v>3.25</v>
      </c>
      <c r="Q753" s="3">
        <v>0.5756944444444444</v>
      </c>
      <c r="R753">
        <v>2.1</v>
      </c>
      <c r="S753">
        <v>2.0499999999999998</v>
      </c>
      <c r="T753">
        <v>0</v>
      </c>
      <c r="U753">
        <v>0</v>
      </c>
      <c r="V753">
        <v>0</v>
      </c>
      <c r="W753">
        <v>100</v>
      </c>
      <c r="Y753">
        <v>0</v>
      </c>
      <c r="Z753">
        <v>0</v>
      </c>
      <c r="AA753">
        <v>0</v>
      </c>
    </row>
    <row r="754" spans="1:30" x14ac:dyDescent="0.2">
      <c r="A754" t="s">
        <v>164</v>
      </c>
      <c r="C754">
        <v>0</v>
      </c>
      <c r="D754" t="s">
        <v>10</v>
      </c>
      <c r="E754">
        <v>6900</v>
      </c>
      <c r="F754" t="s">
        <v>493</v>
      </c>
      <c r="G754" t="s">
        <v>789</v>
      </c>
      <c r="H754" s="2">
        <v>0.83333333333333337</v>
      </c>
      <c r="I754" t="s">
        <v>762</v>
      </c>
      <c r="J754" s="1">
        <v>0.48699999999999999</v>
      </c>
      <c r="K754">
        <v>-95</v>
      </c>
      <c r="L754">
        <v>5.5</v>
      </c>
      <c r="M754">
        <v>2.75</v>
      </c>
      <c r="N754">
        <v>2.54</v>
      </c>
      <c r="O754">
        <v>1</v>
      </c>
      <c r="P754">
        <v>1</v>
      </c>
      <c r="Q754" s="3">
        <v>0.88402777777777775</v>
      </c>
      <c r="R754">
        <v>11.8</v>
      </c>
      <c r="S754">
        <v>8.99</v>
      </c>
      <c r="T754">
        <v>29.57</v>
      </c>
      <c r="U754">
        <v>11.59</v>
      </c>
      <c r="V754">
        <v>11.59</v>
      </c>
      <c r="W754">
        <v>100</v>
      </c>
      <c r="Y754">
        <v>62</v>
      </c>
      <c r="Z754">
        <v>1.7</v>
      </c>
      <c r="AA754">
        <v>0</v>
      </c>
      <c r="AB754" s="3">
        <v>0.95277777777777772</v>
      </c>
      <c r="AC754">
        <v>20.6</v>
      </c>
      <c r="AD754">
        <v>3</v>
      </c>
    </row>
    <row r="755" spans="1:30" x14ac:dyDescent="0.2">
      <c r="A755" t="s">
        <v>430</v>
      </c>
      <c r="C755">
        <v>0</v>
      </c>
      <c r="D755" t="s">
        <v>17</v>
      </c>
      <c r="E755">
        <v>2500</v>
      </c>
      <c r="F755" t="s">
        <v>491</v>
      </c>
      <c r="G755" t="s">
        <v>773</v>
      </c>
      <c r="H755" s="2">
        <v>0.79166666666666663</v>
      </c>
      <c r="I755" t="s">
        <v>766</v>
      </c>
      <c r="J755" s="1">
        <v>0.49299999999999999</v>
      </c>
      <c r="K755">
        <v>103</v>
      </c>
      <c r="L755">
        <v>6.5</v>
      </c>
      <c r="M755">
        <v>3.25</v>
      </c>
      <c r="N755">
        <v>3.71</v>
      </c>
      <c r="Q755" s="3">
        <v>0.69861111111111107</v>
      </c>
      <c r="R755">
        <v>5.7</v>
      </c>
      <c r="S755">
        <v>4.93</v>
      </c>
      <c r="T755">
        <v>0</v>
      </c>
      <c r="U755">
        <v>0</v>
      </c>
      <c r="V755">
        <v>0</v>
      </c>
      <c r="W755">
        <v>100</v>
      </c>
      <c r="Y755">
        <v>57</v>
      </c>
      <c r="Z755">
        <v>0</v>
      </c>
      <c r="AA755">
        <v>0</v>
      </c>
    </row>
    <row r="756" spans="1:30" x14ac:dyDescent="0.2">
      <c r="A756" t="s">
        <v>562</v>
      </c>
      <c r="C756">
        <v>0</v>
      </c>
      <c r="D756" t="s">
        <v>10</v>
      </c>
      <c r="E756">
        <v>2900</v>
      </c>
      <c r="F756" t="s">
        <v>488</v>
      </c>
      <c r="G756" t="s">
        <v>781</v>
      </c>
      <c r="H756" s="2">
        <v>0.91666666666666663</v>
      </c>
      <c r="I756" t="s">
        <v>766</v>
      </c>
      <c r="J756" s="1">
        <v>0.53500000000000003</v>
      </c>
      <c r="K756">
        <v>87</v>
      </c>
      <c r="L756">
        <v>6</v>
      </c>
      <c r="M756">
        <v>3</v>
      </c>
      <c r="N756">
        <v>3.14</v>
      </c>
      <c r="O756">
        <v>3</v>
      </c>
      <c r="Q756" s="3">
        <v>0.67847222222222225</v>
      </c>
      <c r="R756">
        <v>4.5</v>
      </c>
      <c r="S756">
        <v>4.8499999999999996</v>
      </c>
      <c r="T756">
        <v>14.73</v>
      </c>
      <c r="U756">
        <v>5.03</v>
      </c>
      <c r="V756">
        <v>5.03</v>
      </c>
      <c r="W756">
        <v>100</v>
      </c>
      <c r="Y756">
        <v>46</v>
      </c>
      <c r="Z756">
        <v>1.7</v>
      </c>
      <c r="AA756">
        <v>0</v>
      </c>
      <c r="AB756" s="3">
        <v>0.67708333333333337</v>
      </c>
      <c r="AC756">
        <v>14.3</v>
      </c>
      <c r="AD756">
        <v>4.9000000000000004</v>
      </c>
    </row>
    <row r="757" spans="1:30" x14ac:dyDescent="0.2">
      <c r="A757" t="s">
        <v>927</v>
      </c>
      <c r="C757">
        <v>0</v>
      </c>
      <c r="D757" t="s">
        <v>10</v>
      </c>
      <c r="E757">
        <v>2500</v>
      </c>
      <c r="F757" t="s">
        <v>497</v>
      </c>
      <c r="G757" t="s">
        <v>784</v>
      </c>
      <c r="H757" s="2">
        <v>0.79166666666666663</v>
      </c>
      <c r="I757" t="s">
        <v>766</v>
      </c>
      <c r="J757" s="1">
        <v>0.55100000000000005</v>
      </c>
      <c r="K757">
        <v>81.5</v>
      </c>
      <c r="L757">
        <v>6.5</v>
      </c>
      <c r="M757">
        <v>3.17</v>
      </c>
      <c r="N757">
        <v>3.25</v>
      </c>
      <c r="Q757" s="3">
        <v>0.36041666666666666</v>
      </c>
      <c r="R757">
        <v>4.2</v>
      </c>
      <c r="S757">
        <v>4.9000000000000004</v>
      </c>
      <c r="T757">
        <v>0</v>
      </c>
      <c r="U757">
        <v>0</v>
      </c>
      <c r="V757">
        <v>0</v>
      </c>
      <c r="W757">
        <v>100</v>
      </c>
      <c r="Y757">
        <v>42</v>
      </c>
      <c r="Z757">
        <v>0</v>
      </c>
      <c r="AA757">
        <v>0</v>
      </c>
    </row>
    <row r="758" spans="1:30" x14ac:dyDescent="0.2">
      <c r="A758" t="s">
        <v>391</v>
      </c>
      <c r="C758">
        <v>0</v>
      </c>
      <c r="D758" t="s">
        <v>7</v>
      </c>
      <c r="E758">
        <v>7100</v>
      </c>
      <c r="F758" t="s">
        <v>509</v>
      </c>
      <c r="G758" t="s">
        <v>791</v>
      </c>
      <c r="H758" s="2">
        <v>0.79166666666666663</v>
      </c>
      <c r="I758" t="s">
        <v>766</v>
      </c>
      <c r="J758" s="1">
        <v>0.51900000000000002</v>
      </c>
      <c r="K758">
        <v>92.5</v>
      </c>
      <c r="L758">
        <v>6.5</v>
      </c>
      <c r="M758">
        <v>3.25</v>
      </c>
      <c r="N758">
        <v>3.62</v>
      </c>
      <c r="O758" t="s">
        <v>780</v>
      </c>
      <c r="Q758" s="4">
        <v>2.432638888888889</v>
      </c>
      <c r="R758">
        <v>5</v>
      </c>
      <c r="S758">
        <v>8.84</v>
      </c>
      <c r="T758">
        <v>23.87</v>
      </c>
      <c r="U758">
        <v>6.19</v>
      </c>
      <c r="V758">
        <v>6.19</v>
      </c>
      <c r="W758">
        <v>100</v>
      </c>
      <c r="Y758">
        <v>12</v>
      </c>
      <c r="Z758">
        <v>0.9</v>
      </c>
      <c r="AA758">
        <v>0</v>
      </c>
      <c r="AB758" s="4">
        <v>1.6666666666666667</v>
      </c>
      <c r="AC758">
        <v>-7</v>
      </c>
    </row>
    <row r="759" spans="1:30" x14ac:dyDescent="0.2">
      <c r="A759" t="s">
        <v>394</v>
      </c>
      <c r="C759">
        <v>0</v>
      </c>
      <c r="D759" t="s">
        <v>17</v>
      </c>
      <c r="E759">
        <v>2800</v>
      </c>
      <c r="F759" t="s">
        <v>478</v>
      </c>
      <c r="G759" t="s">
        <v>763</v>
      </c>
      <c r="H759" s="2">
        <v>0.79166666666666663</v>
      </c>
      <c r="I759" t="s">
        <v>762</v>
      </c>
      <c r="J759" s="1">
        <v>0.44900000000000001</v>
      </c>
      <c r="K759">
        <v>-81.5</v>
      </c>
      <c r="L759">
        <v>6.5</v>
      </c>
      <c r="M759">
        <v>3.25</v>
      </c>
      <c r="N759">
        <v>3.17</v>
      </c>
      <c r="O759">
        <v>3</v>
      </c>
      <c r="Q759" s="3">
        <v>0.74444444444444446</v>
      </c>
      <c r="R759">
        <v>4.3</v>
      </c>
      <c r="S759">
        <v>4.43</v>
      </c>
      <c r="T759">
        <v>14.19</v>
      </c>
      <c r="U759">
        <v>5.33</v>
      </c>
      <c r="V759">
        <v>5.33</v>
      </c>
      <c r="W759">
        <v>100</v>
      </c>
      <c r="Y759">
        <v>48</v>
      </c>
      <c r="Z759">
        <v>1.9</v>
      </c>
      <c r="AA759">
        <v>0</v>
      </c>
      <c r="AB759" s="3">
        <v>0.72777777777777775</v>
      </c>
      <c r="AC759">
        <v>12.1</v>
      </c>
      <c r="AD759">
        <v>4.3</v>
      </c>
    </row>
    <row r="760" spans="1:30" x14ac:dyDescent="0.2">
      <c r="A760" t="s">
        <v>697</v>
      </c>
      <c r="C760">
        <v>0</v>
      </c>
      <c r="D760" t="s">
        <v>5</v>
      </c>
      <c r="E760">
        <v>2500</v>
      </c>
      <c r="F760" t="s">
        <v>794</v>
      </c>
      <c r="G760" t="s">
        <v>795</v>
      </c>
      <c r="H760" s="2">
        <v>0.79166666666666663</v>
      </c>
      <c r="I760" t="s">
        <v>766</v>
      </c>
      <c r="J760" s="1">
        <v>0.56499999999999995</v>
      </c>
      <c r="K760">
        <v>77</v>
      </c>
      <c r="L760">
        <v>5.5</v>
      </c>
      <c r="M760">
        <v>2.75</v>
      </c>
      <c r="N760">
        <v>2.87</v>
      </c>
      <c r="O760">
        <v>4</v>
      </c>
      <c r="Q760" s="3">
        <v>0.32361111111111113</v>
      </c>
      <c r="R760">
        <v>2.4</v>
      </c>
      <c r="S760">
        <v>3.72</v>
      </c>
      <c r="T760">
        <v>9.99</v>
      </c>
      <c r="U760">
        <v>2.5499999999999998</v>
      </c>
      <c r="V760">
        <v>2.5499999999999998</v>
      </c>
      <c r="W760">
        <v>100</v>
      </c>
      <c r="Y760">
        <v>23</v>
      </c>
      <c r="Z760">
        <v>1</v>
      </c>
      <c r="AA760">
        <v>0</v>
      </c>
      <c r="AB760" s="3">
        <v>0.42083333333333334</v>
      </c>
      <c r="AC760">
        <v>0</v>
      </c>
    </row>
    <row r="761" spans="1:30" x14ac:dyDescent="0.2">
      <c r="A761" t="s">
        <v>1001</v>
      </c>
      <c r="C761">
        <v>0</v>
      </c>
      <c r="D761" t="s">
        <v>10</v>
      </c>
      <c r="E761">
        <v>2500</v>
      </c>
      <c r="F761" t="s">
        <v>502</v>
      </c>
      <c r="G761" t="s">
        <v>798</v>
      </c>
      <c r="H761" s="2">
        <v>0.83333333333333337</v>
      </c>
      <c r="I761" t="s">
        <v>766</v>
      </c>
      <c r="J761" s="1">
        <v>0.48699999999999999</v>
      </c>
      <c r="K761">
        <v>105.5</v>
      </c>
      <c r="L761">
        <v>6</v>
      </c>
      <c r="M761">
        <v>3</v>
      </c>
      <c r="N761">
        <v>3.46</v>
      </c>
      <c r="Q761" s="3">
        <v>0.51388888888888884</v>
      </c>
      <c r="R761">
        <v>3.8</v>
      </c>
      <c r="S761">
        <v>3.66</v>
      </c>
      <c r="T761">
        <v>0</v>
      </c>
      <c r="U761">
        <v>0</v>
      </c>
      <c r="V761">
        <v>0</v>
      </c>
      <c r="W761">
        <v>100</v>
      </c>
      <c r="Y761">
        <v>52</v>
      </c>
      <c r="Z761">
        <v>0</v>
      </c>
      <c r="AA761">
        <v>0</v>
      </c>
    </row>
    <row r="762" spans="1:30" x14ac:dyDescent="0.2">
      <c r="A762" t="s">
        <v>843</v>
      </c>
      <c r="C762">
        <v>0</v>
      </c>
      <c r="D762" t="s">
        <v>7</v>
      </c>
      <c r="E762">
        <v>7300</v>
      </c>
      <c r="F762" t="s">
        <v>497</v>
      </c>
      <c r="G762" t="s">
        <v>784</v>
      </c>
      <c r="H762" s="2">
        <v>0.79166666666666663</v>
      </c>
      <c r="I762" t="s">
        <v>766</v>
      </c>
      <c r="J762" s="1">
        <v>0.55100000000000005</v>
      </c>
      <c r="K762">
        <v>81.5</v>
      </c>
      <c r="L762">
        <v>6.5</v>
      </c>
      <c r="M762">
        <v>3.17</v>
      </c>
      <c r="N762">
        <v>3.25</v>
      </c>
      <c r="O762" t="s">
        <v>818</v>
      </c>
      <c r="Q762" s="4">
        <v>2.338888888888889</v>
      </c>
      <c r="R762">
        <v>6.6</v>
      </c>
      <c r="S762">
        <v>9.1</v>
      </c>
      <c r="T762">
        <v>0</v>
      </c>
      <c r="U762">
        <v>0</v>
      </c>
      <c r="V762">
        <v>0</v>
      </c>
      <c r="W762">
        <v>100</v>
      </c>
      <c r="Y762">
        <v>31</v>
      </c>
      <c r="Z762">
        <v>0</v>
      </c>
      <c r="AA762">
        <v>0</v>
      </c>
      <c r="AB762" s="3">
        <v>0</v>
      </c>
      <c r="AC762">
        <v>0</v>
      </c>
    </row>
    <row r="763" spans="1:30" x14ac:dyDescent="0.2">
      <c r="A763" t="s">
        <v>629</v>
      </c>
      <c r="C763">
        <v>0</v>
      </c>
      <c r="D763" t="s">
        <v>10</v>
      </c>
      <c r="E763">
        <v>2800</v>
      </c>
      <c r="F763" t="s">
        <v>493</v>
      </c>
      <c r="G763" t="s">
        <v>789</v>
      </c>
      <c r="H763" s="2">
        <v>0.83333333333333337</v>
      </c>
      <c r="I763" t="s">
        <v>762</v>
      </c>
      <c r="J763" s="1">
        <v>0.48699999999999999</v>
      </c>
      <c r="K763">
        <v>-95</v>
      </c>
      <c r="L763">
        <v>5.5</v>
      </c>
      <c r="M763">
        <v>2.75</v>
      </c>
      <c r="N763">
        <v>2.54</v>
      </c>
      <c r="O763">
        <v>4</v>
      </c>
      <c r="Q763" s="3">
        <v>0.43888888888888888</v>
      </c>
      <c r="R763">
        <v>3.1</v>
      </c>
      <c r="S763">
        <v>3.75</v>
      </c>
      <c r="T763">
        <v>11.61</v>
      </c>
      <c r="U763">
        <v>4.1100000000000003</v>
      </c>
      <c r="V763">
        <v>4.1100000000000003</v>
      </c>
      <c r="W763">
        <v>100</v>
      </c>
      <c r="Y763">
        <v>40</v>
      </c>
      <c r="Z763">
        <v>1.5</v>
      </c>
      <c r="AA763">
        <v>0</v>
      </c>
      <c r="AB763" s="3">
        <v>0.35555555555555557</v>
      </c>
      <c r="AC763">
        <v>5</v>
      </c>
      <c r="AD763">
        <v>1.8</v>
      </c>
    </row>
    <row r="764" spans="1:30" x14ac:dyDescent="0.2">
      <c r="A764" t="s">
        <v>343</v>
      </c>
      <c r="C764">
        <v>0</v>
      </c>
      <c r="D764" t="s">
        <v>5</v>
      </c>
      <c r="E764">
        <v>3200</v>
      </c>
      <c r="F764" t="s">
        <v>490</v>
      </c>
      <c r="G764" t="s">
        <v>771</v>
      </c>
      <c r="H764" s="2">
        <v>0.91666666666666663</v>
      </c>
      <c r="I764" t="s">
        <v>766</v>
      </c>
      <c r="J764" s="1">
        <v>0.58499999999999996</v>
      </c>
      <c r="K764">
        <v>71</v>
      </c>
      <c r="L764">
        <v>6</v>
      </c>
      <c r="M764">
        <v>3</v>
      </c>
      <c r="N764">
        <v>3.02</v>
      </c>
      <c r="O764">
        <v>4</v>
      </c>
      <c r="Q764" s="3">
        <v>0.57152777777777775</v>
      </c>
      <c r="R764">
        <v>5.0999999999999996</v>
      </c>
      <c r="S764">
        <v>4.8899999999999997</v>
      </c>
      <c r="T764">
        <v>16.059999999999999</v>
      </c>
      <c r="U764">
        <v>6.28</v>
      </c>
      <c r="V764">
        <v>6.28</v>
      </c>
      <c r="W764">
        <v>100</v>
      </c>
      <c r="Y764">
        <v>52</v>
      </c>
      <c r="Z764">
        <v>2</v>
      </c>
      <c r="AA764">
        <v>0</v>
      </c>
      <c r="AB764" s="3">
        <v>0.53680555555555554</v>
      </c>
      <c r="AC764">
        <v>0</v>
      </c>
    </row>
    <row r="765" spans="1:30" x14ac:dyDescent="0.2">
      <c r="A765" t="s">
        <v>572</v>
      </c>
      <c r="C765">
        <v>0</v>
      </c>
      <c r="D765" t="s">
        <v>17</v>
      </c>
      <c r="E765">
        <v>2800</v>
      </c>
      <c r="F765" t="s">
        <v>494</v>
      </c>
      <c r="G765" t="s">
        <v>782</v>
      </c>
      <c r="H765" s="2">
        <v>0.79166666666666663</v>
      </c>
      <c r="I765" t="s">
        <v>762</v>
      </c>
      <c r="J765" s="1">
        <v>0.47199999999999998</v>
      </c>
      <c r="K765">
        <v>-89.5</v>
      </c>
      <c r="L765">
        <v>6</v>
      </c>
      <c r="M765">
        <v>3</v>
      </c>
      <c r="N765">
        <v>2.82</v>
      </c>
      <c r="O765">
        <v>3</v>
      </c>
      <c r="Q765" s="3">
        <v>0.73750000000000004</v>
      </c>
      <c r="R765">
        <v>3.8</v>
      </c>
      <c r="S765">
        <v>3.92</v>
      </c>
      <c r="T765">
        <v>11.98</v>
      </c>
      <c r="U765">
        <v>4.1399999999999997</v>
      </c>
      <c r="V765">
        <v>4.1399999999999997</v>
      </c>
      <c r="W765">
        <v>100</v>
      </c>
      <c r="Y765">
        <v>48</v>
      </c>
      <c r="Z765">
        <v>1.5</v>
      </c>
      <c r="AA765">
        <v>0</v>
      </c>
      <c r="AB765" s="3">
        <v>0.6479166666666667</v>
      </c>
      <c r="AC765">
        <v>6.3</v>
      </c>
      <c r="AD765">
        <v>2.2999999999999998</v>
      </c>
    </row>
    <row r="766" spans="1:30" x14ac:dyDescent="0.2">
      <c r="A766" t="s">
        <v>548</v>
      </c>
      <c r="C766">
        <v>0</v>
      </c>
      <c r="D766" t="s">
        <v>17</v>
      </c>
      <c r="E766">
        <v>3000</v>
      </c>
      <c r="F766" t="s">
        <v>501</v>
      </c>
      <c r="G766" t="s">
        <v>783</v>
      </c>
      <c r="H766" s="2">
        <v>0.79166666666666663</v>
      </c>
      <c r="I766" t="s">
        <v>766</v>
      </c>
      <c r="J766" s="1">
        <v>0.52800000000000002</v>
      </c>
      <c r="K766">
        <v>89.5</v>
      </c>
      <c r="L766">
        <v>6</v>
      </c>
      <c r="M766">
        <v>2.82</v>
      </c>
      <c r="N766">
        <v>3</v>
      </c>
      <c r="O766">
        <v>3</v>
      </c>
      <c r="P766">
        <v>2</v>
      </c>
      <c r="Q766" s="3">
        <v>0.65486111111111112</v>
      </c>
      <c r="R766">
        <v>4.2</v>
      </c>
      <c r="S766">
        <v>3.68</v>
      </c>
      <c r="T766">
        <v>11.86</v>
      </c>
      <c r="U766">
        <v>4.5</v>
      </c>
      <c r="V766">
        <v>4.5</v>
      </c>
      <c r="W766">
        <v>100</v>
      </c>
      <c r="Y766">
        <v>56</v>
      </c>
      <c r="Z766">
        <v>1.5</v>
      </c>
      <c r="AA766">
        <v>0</v>
      </c>
      <c r="AB766" s="3">
        <v>0.61597222222222225</v>
      </c>
      <c r="AC766">
        <v>0</v>
      </c>
    </row>
    <row r="767" spans="1:30" x14ac:dyDescent="0.2">
      <c r="A767" t="s">
        <v>613</v>
      </c>
      <c r="C767">
        <v>0</v>
      </c>
      <c r="D767" t="s">
        <v>10</v>
      </c>
      <c r="E767">
        <v>2500</v>
      </c>
      <c r="F767" t="s">
        <v>768</v>
      </c>
      <c r="G767" t="s">
        <v>769</v>
      </c>
      <c r="H767" s="2">
        <v>0.79166666666666663</v>
      </c>
      <c r="I767" t="s">
        <v>762</v>
      </c>
      <c r="J767" s="1">
        <v>0.51800000000000002</v>
      </c>
      <c r="K767">
        <v>-107.5</v>
      </c>
      <c r="L767">
        <v>5.5</v>
      </c>
      <c r="M767">
        <v>3.2</v>
      </c>
      <c r="N767">
        <v>2.75</v>
      </c>
      <c r="Q767" s="3">
        <v>0.34166666666666667</v>
      </c>
      <c r="R767">
        <v>3.5</v>
      </c>
      <c r="S767">
        <v>3.98</v>
      </c>
      <c r="T767">
        <v>0</v>
      </c>
      <c r="U767">
        <v>0</v>
      </c>
      <c r="V767">
        <v>0</v>
      </c>
      <c r="W767">
        <v>100</v>
      </c>
      <c r="Y767">
        <v>43</v>
      </c>
      <c r="Z767">
        <v>0</v>
      </c>
      <c r="AA767">
        <v>0</v>
      </c>
    </row>
    <row r="768" spans="1:30" x14ac:dyDescent="0.2">
      <c r="A768" t="s">
        <v>262</v>
      </c>
      <c r="C768">
        <v>0</v>
      </c>
      <c r="D768" t="s">
        <v>7</v>
      </c>
      <c r="E768">
        <v>8100</v>
      </c>
      <c r="F768" t="s">
        <v>478</v>
      </c>
      <c r="G768" t="s">
        <v>763</v>
      </c>
      <c r="H768" s="2">
        <v>0.79166666666666663</v>
      </c>
      <c r="I768" t="s">
        <v>762</v>
      </c>
      <c r="J768" s="1">
        <v>0.44900000000000001</v>
      </c>
      <c r="K768">
        <v>-81.5</v>
      </c>
      <c r="L768">
        <v>6.5</v>
      </c>
      <c r="M768">
        <v>3.25</v>
      </c>
      <c r="N768">
        <v>3.17</v>
      </c>
      <c r="O768" t="s">
        <v>780</v>
      </c>
      <c r="Q768" s="4">
        <v>2.3631944444444444</v>
      </c>
      <c r="R768">
        <v>13.3</v>
      </c>
      <c r="S768">
        <v>9.11</v>
      </c>
      <c r="T768">
        <v>30.58</v>
      </c>
      <c r="U768">
        <v>12.36</v>
      </c>
      <c r="V768">
        <v>12.36</v>
      </c>
      <c r="W768">
        <v>100</v>
      </c>
      <c r="Y768">
        <v>66</v>
      </c>
      <c r="Z768">
        <v>1.5</v>
      </c>
      <c r="AA768">
        <v>0</v>
      </c>
      <c r="AB768" s="4">
        <v>2.5</v>
      </c>
      <c r="AC768">
        <v>-9.8000000000000007</v>
      </c>
    </row>
    <row r="769" spans="1:30" x14ac:dyDescent="0.2">
      <c r="A769" t="s">
        <v>942</v>
      </c>
      <c r="C769">
        <v>0</v>
      </c>
      <c r="D769" t="s">
        <v>17</v>
      </c>
      <c r="E769">
        <v>2500</v>
      </c>
      <c r="F769" t="s">
        <v>777</v>
      </c>
      <c r="G769" t="s">
        <v>778</v>
      </c>
      <c r="H769" s="2">
        <v>0.79166666666666663</v>
      </c>
      <c r="I769" t="s">
        <v>762</v>
      </c>
      <c r="J769" s="1">
        <v>0.46400000000000002</v>
      </c>
      <c r="K769">
        <v>-86.5</v>
      </c>
      <c r="L769">
        <v>6</v>
      </c>
      <c r="M769">
        <v>3.19</v>
      </c>
      <c r="N769">
        <v>3</v>
      </c>
      <c r="Q769" s="3">
        <v>0.75069444444444444</v>
      </c>
      <c r="R769">
        <v>3.7</v>
      </c>
      <c r="S769">
        <v>0.65</v>
      </c>
      <c r="T769">
        <v>0</v>
      </c>
      <c r="U769">
        <v>0</v>
      </c>
      <c r="V769">
        <v>0</v>
      </c>
      <c r="W769">
        <v>100</v>
      </c>
      <c r="Y769">
        <v>0</v>
      </c>
      <c r="Z769">
        <v>0</v>
      </c>
      <c r="AA769">
        <v>0</v>
      </c>
    </row>
    <row r="770" spans="1:30" x14ac:dyDescent="0.2">
      <c r="A770" t="s">
        <v>379</v>
      </c>
      <c r="C770">
        <v>0</v>
      </c>
      <c r="D770" t="s">
        <v>5</v>
      </c>
      <c r="E770">
        <v>3400</v>
      </c>
      <c r="F770" t="s">
        <v>509</v>
      </c>
      <c r="G770" t="s">
        <v>791</v>
      </c>
      <c r="H770" s="2">
        <v>0.79166666666666663</v>
      </c>
      <c r="I770" t="s">
        <v>766</v>
      </c>
      <c r="J770" s="1">
        <v>0.51900000000000002</v>
      </c>
      <c r="K770">
        <v>92.5</v>
      </c>
      <c r="L770">
        <v>6.5</v>
      </c>
      <c r="M770">
        <v>3.25</v>
      </c>
      <c r="N770">
        <v>3.62</v>
      </c>
      <c r="O770">
        <v>4</v>
      </c>
      <c r="Q770" s="3">
        <v>0.71875</v>
      </c>
      <c r="R770">
        <v>6.2</v>
      </c>
      <c r="S770">
        <v>6.43</v>
      </c>
      <c r="T770">
        <v>19.7</v>
      </c>
      <c r="U770">
        <v>6.84</v>
      </c>
      <c r="V770">
        <v>6.84</v>
      </c>
      <c r="W770">
        <v>100</v>
      </c>
      <c r="Y770">
        <v>48</v>
      </c>
      <c r="Z770">
        <v>2</v>
      </c>
      <c r="AA770">
        <v>0</v>
      </c>
      <c r="AB770" s="3">
        <v>0.58125000000000004</v>
      </c>
      <c r="AC770">
        <v>6</v>
      </c>
      <c r="AD770">
        <v>1.8</v>
      </c>
    </row>
    <row r="771" spans="1:30" x14ac:dyDescent="0.2">
      <c r="A771" t="s">
        <v>150</v>
      </c>
      <c r="C771">
        <v>0</v>
      </c>
      <c r="D771" t="s">
        <v>17</v>
      </c>
      <c r="E771">
        <v>4200</v>
      </c>
      <c r="F771" t="s">
        <v>507</v>
      </c>
      <c r="G771" t="s">
        <v>796</v>
      </c>
      <c r="H771" s="2">
        <v>0.79166666666666663</v>
      </c>
      <c r="I771" t="s">
        <v>766</v>
      </c>
      <c r="J771" s="1">
        <v>0.49399999999999999</v>
      </c>
      <c r="K771">
        <v>102.5</v>
      </c>
      <c r="L771">
        <v>6</v>
      </c>
      <c r="M771">
        <v>3</v>
      </c>
      <c r="N771">
        <v>3.44</v>
      </c>
      <c r="O771">
        <v>1</v>
      </c>
      <c r="P771">
        <v>2</v>
      </c>
      <c r="Q771" s="3">
        <v>0.84791666666666665</v>
      </c>
      <c r="R771">
        <v>9</v>
      </c>
      <c r="S771">
        <v>5.41</v>
      </c>
      <c r="T771">
        <v>21.14</v>
      </c>
      <c r="U771">
        <v>10.32</v>
      </c>
      <c r="V771">
        <v>10.32</v>
      </c>
      <c r="W771">
        <v>100</v>
      </c>
      <c r="Y771">
        <v>70</v>
      </c>
      <c r="Z771">
        <v>2.5</v>
      </c>
      <c r="AA771">
        <v>0</v>
      </c>
      <c r="AB771" s="3">
        <v>0.81388888888888888</v>
      </c>
      <c r="AC771">
        <v>6.9</v>
      </c>
      <c r="AD771">
        <v>1.6</v>
      </c>
    </row>
    <row r="772" spans="1:30" x14ac:dyDescent="0.2">
      <c r="A772" t="s">
        <v>581</v>
      </c>
      <c r="C772">
        <v>0</v>
      </c>
      <c r="D772" t="s">
        <v>5</v>
      </c>
      <c r="E772">
        <v>2500</v>
      </c>
      <c r="F772" t="s">
        <v>485</v>
      </c>
      <c r="G772" t="s">
        <v>767</v>
      </c>
      <c r="H772" s="2">
        <v>0.79166666666666663</v>
      </c>
      <c r="I772" t="s">
        <v>762</v>
      </c>
      <c r="J772" s="1">
        <v>0.48099999999999998</v>
      </c>
      <c r="K772">
        <v>-92.5</v>
      </c>
      <c r="L772">
        <v>6.5</v>
      </c>
      <c r="M772">
        <v>3.62</v>
      </c>
      <c r="N772">
        <v>3.25</v>
      </c>
      <c r="O772">
        <v>4</v>
      </c>
      <c r="Q772" s="3">
        <v>0.58125000000000004</v>
      </c>
      <c r="R772">
        <v>4.5</v>
      </c>
      <c r="S772">
        <v>4.0999999999999996</v>
      </c>
      <c r="T772">
        <v>14.41</v>
      </c>
      <c r="U772">
        <v>6.21</v>
      </c>
      <c r="V772">
        <v>6.21</v>
      </c>
      <c r="W772">
        <v>100</v>
      </c>
      <c r="Y772">
        <v>54</v>
      </c>
      <c r="Z772">
        <v>2.5</v>
      </c>
      <c r="AA772">
        <v>0</v>
      </c>
      <c r="AB772" s="3">
        <v>0.66666666666666663</v>
      </c>
      <c r="AC772">
        <v>9.3000000000000007</v>
      </c>
      <c r="AD772">
        <v>3.7</v>
      </c>
    </row>
    <row r="773" spans="1:30" x14ac:dyDescent="0.2">
      <c r="A773" t="s">
        <v>248</v>
      </c>
      <c r="C773">
        <v>0</v>
      </c>
      <c r="D773" t="s">
        <v>17</v>
      </c>
      <c r="E773">
        <v>3300</v>
      </c>
      <c r="F773" t="s">
        <v>498</v>
      </c>
      <c r="G773" t="s">
        <v>779</v>
      </c>
      <c r="H773" s="2">
        <v>0.79166666666666663</v>
      </c>
      <c r="I773" t="s">
        <v>762</v>
      </c>
      <c r="J773" s="1">
        <v>0.50600000000000001</v>
      </c>
      <c r="K773">
        <v>-102.5</v>
      </c>
      <c r="L773">
        <v>6</v>
      </c>
      <c r="M773">
        <v>3.44</v>
      </c>
      <c r="N773">
        <v>3</v>
      </c>
      <c r="O773">
        <v>2</v>
      </c>
      <c r="Q773" s="3">
        <v>0.93402777777777779</v>
      </c>
      <c r="R773">
        <v>7.4</v>
      </c>
      <c r="S773">
        <v>4.3499999999999996</v>
      </c>
      <c r="T773">
        <v>17.489999999999998</v>
      </c>
      <c r="U773">
        <v>8.7899999999999991</v>
      </c>
      <c r="V773">
        <v>8.7899999999999991</v>
      </c>
      <c r="W773">
        <v>100</v>
      </c>
      <c r="Y773">
        <v>71</v>
      </c>
      <c r="Z773">
        <v>2.7</v>
      </c>
      <c r="AA773">
        <v>0</v>
      </c>
      <c r="AB773" s="3">
        <v>0.71736111111111112</v>
      </c>
      <c r="AC773">
        <v>5.6</v>
      </c>
      <c r="AD773">
        <v>1.7</v>
      </c>
    </row>
    <row r="774" spans="1:30" x14ac:dyDescent="0.2">
      <c r="A774" t="s">
        <v>71</v>
      </c>
      <c r="C774">
        <v>0</v>
      </c>
      <c r="D774" t="s">
        <v>5</v>
      </c>
      <c r="E774">
        <v>6700</v>
      </c>
      <c r="F774" t="s">
        <v>498</v>
      </c>
      <c r="G774" t="s">
        <v>779</v>
      </c>
      <c r="H774" s="2">
        <v>0.79166666666666663</v>
      </c>
      <c r="I774" t="s">
        <v>762</v>
      </c>
      <c r="J774" s="1">
        <v>0.50600000000000001</v>
      </c>
      <c r="K774">
        <v>-102.5</v>
      </c>
      <c r="L774">
        <v>6</v>
      </c>
      <c r="M774">
        <v>3.44</v>
      </c>
      <c r="N774">
        <v>3</v>
      </c>
      <c r="O774">
        <v>1</v>
      </c>
      <c r="P774">
        <v>1</v>
      </c>
      <c r="Q774" s="3">
        <v>0.82361111111111107</v>
      </c>
      <c r="R774">
        <v>10.3</v>
      </c>
      <c r="S774">
        <v>8.49</v>
      </c>
      <c r="T774">
        <v>29.64</v>
      </c>
      <c r="U774">
        <v>12.66</v>
      </c>
      <c r="V774">
        <v>12.66</v>
      </c>
      <c r="W774">
        <v>100</v>
      </c>
      <c r="Y774">
        <v>59</v>
      </c>
      <c r="Z774">
        <v>1.9</v>
      </c>
      <c r="AA774">
        <v>0</v>
      </c>
      <c r="AB774" s="3">
        <v>0.88541666666666663</v>
      </c>
      <c r="AC774">
        <v>4.5</v>
      </c>
      <c r="AD774">
        <v>0.7</v>
      </c>
    </row>
    <row r="775" spans="1:30" x14ac:dyDescent="0.2">
      <c r="A775" t="s">
        <v>836</v>
      </c>
      <c r="C775">
        <v>0</v>
      </c>
      <c r="D775" t="s">
        <v>7</v>
      </c>
      <c r="E775">
        <v>7600</v>
      </c>
      <c r="F775" t="s">
        <v>494</v>
      </c>
      <c r="G775" t="s">
        <v>782</v>
      </c>
      <c r="H775" s="2">
        <v>0.79166666666666663</v>
      </c>
      <c r="I775" t="s">
        <v>762</v>
      </c>
      <c r="J775" s="1">
        <v>0.47199999999999998</v>
      </c>
      <c r="K775">
        <v>-89.5</v>
      </c>
      <c r="L775">
        <v>6</v>
      </c>
      <c r="M775">
        <v>3</v>
      </c>
      <c r="N775">
        <v>2.82</v>
      </c>
      <c r="O775" t="s">
        <v>818</v>
      </c>
      <c r="T775">
        <v>0</v>
      </c>
      <c r="U775">
        <v>0</v>
      </c>
      <c r="V775">
        <v>0</v>
      </c>
      <c r="W775">
        <v>100</v>
      </c>
      <c r="Y775">
        <v>0</v>
      </c>
      <c r="Z775">
        <v>0</v>
      </c>
      <c r="AA775">
        <v>0</v>
      </c>
    </row>
    <row r="776" spans="1:30" x14ac:dyDescent="0.2">
      <c r="A776" t="s">
        <v>396</v>
      </c>
      <c r="C776">
        <v>0</v>
      </c>
      <c r="D776" t="s">
        <v>7</v>
      </c>
      <c r="E776">
        <v>8200</v>
      </c>
      <c r="F776" t="s">
        <v>493</v>
      </c>
      <c r="G776" t="s">
        <v>789</v>
      </c>
      <c r="H776" s="2">
        <v>0.83333333333333337</v>
      </c>
      <c r="I776" t="s">
        <v>762</v>
      </c>
      <c r="J776" s="1">
        <v>0.48699999999999999</v>
      </c>
      <c r="K776">
        <v>-95</v>
      </c>
      <c r="L776">
        <v>5.5</v>
      </c>
      <c r="M776">
        <v>2.75</v>
      </c>
      <c r="N776">
        <v>2.54</v>
      </c>
      <c r="O776" t="s">
        <v>818</v>
      </c>
      <c r="Q776" s="4">
        <v>2.4333333333333331</v>
      </c>
      <c r="R776">
        <v>8.1</v>
      </c>
      <c r="S776">
        <v>9.9700000000000006</v>
      </c>
      <c r="T776">
        <v>0</v>
      </c>
      <c r="U776">
        <v>0</v>
      </c>
      <c r="V776">
        <v>0</v>
      </c>
      <c r="W776">
        <v>100</v>
      </c>
      <c r="Y776">
        <v>38</v>
      </c>
      <c r="Z776">
        <v>0</v>
      </c>
      <c r="AA776">
        <v>0</v>
      </c>
      <c r="AB776" s="3">
        <v>0</v>
      </c>
      <c r="AC776">
        <v>0</v>
      </c>
    </row>
    <row r="777" spans="1:30" x14ac:dyDescent="0.2">
      <c r="A777" t="s">
        <v>855</v>
      </c>
      <c r="C777">
        <v>0</v>
      </c>
      <c r="D777" t="s">
        <v>7</v>
      </c>
      <c r="E777">
        <v>6500</v>
      </c>
      <c r="F777" t="s">
        <v>499</v>
      </c>
      <c r="G777" t="s">
        <v>775</v>
      </c>
      <c r="H777" s="2">
        <v>0.79166666666666663</v>
      </c>
      <c r="I777" t="s">
        <v>762</v>
      </c>
      <c r="J777" s="1">
        <v>0.50700000000000001</v>
      </c>
      <c r="K777">
        <v>-103</v>
      </c>
      <c r="L777">
        <v>6.5</v>
      </c>
      <c r="M777">
        <v>3.71</v>
      </c>
      <c r="N777">
        <v>3.25</v>
      </c>
      <c r="O777" t="s">
        <v>818</v>
      </c>
      <c r="Q777" s="4">
        <v>2.1604166666666669</v>
      </c>
      <c r="R777">
        <v>9.3000000000000007</v>
      </c>
      <c r="S777">
        <v>7.29</v>
      </c>
      <c r="T777">
        <v>0</v>
      </c>
      <c r="U777">
        <v>0</v>
      </c>
      <c r="V777">
        <v>0</v>
      </c>
      <c r="W777">
        <v>100</v>
      </c>
      <c r="Y777">
        <v>61</v>
      </c>
      <c r="Z777">
        <v>0</v>
      </c>
      <c r="AA777">
        <v>0</v>
      </c>
    </row>
    <row r="778" spans="1:30" x14ac:dyDescent="0.2">
      <c r="A778" t="s">
        <v>70</v>
      </c>
      <c r="C778">
        <v>0</v>
      </c>
      <c r="D778" t="s">
        <v>10</v>
      </c>
      <c r="E778">
        <v>6700</v>
      </c>
      <c r="F778" t="s">
        <v>498</v>
      </c>
      <c r="G778" t="s">
        <v>779</v>
      </c>
      <c r="H778" s="2">
        <v>0.79166666666666663</v>
      </c>
      <c r="I778" t="s">
        <v>762</v>
      </c>
      <c r="J778" s="1">
        <v>0.50600000000000001</v>
      </c>
      <c r="K778">
        <v>-102.5</v>
      </c>
      <c r="L778">
        <v>6</v>
      </c>
      <c r="M778">
        <v>3.44</v>
      </c>
      <c r="N778">
        <v>3</v>
      </c>
      <c r="O778">
        <v>1</v>
      </c>
      <c r="P778">
        <v>1</v>
      </c>
      <c r="Q778" s="3">
        <v>0.79305555555555551</v>
      </c>
      <c r="R778">
        <v>12.9</v>
      </c>
      <c r="S778">
        <v>9.2899999999999991</v>
      </c>
      <c r="T778">
        <v>34.36</v>
      </c>
      <c r="U778">
        <v>15.78</v>
      </c>
      <c r="V778">
        <v>15.78</v>
      </c>
      <c r="W778">
        <v>100</v>
      </c>
      <c r="Y778">
        <v>64</v>
      </c>
      <c r="Z778">
        <v>2.4</v>
      </c>
      <c r="AA778">
        <v>0</v>
      </c>
      <c r="AB778" s="3">
        <v>0.82638888888888884</v>
      </c>
      <c r="AC778">
        <v>8</v>
      </c>
      <c r="AD778">
        <v>1.2</v>
      </c>
    </row>
    <row r="779" spans="1:30" x14ac:dyDescent="0.2">
      <c r="A779" t="s">
        <v>876</v>
      </c>
      <c r="C779">
        <v>0</v>
      </c>
      <c r="D779" t="s">
        <v>17</v>
      </c>
      <c r="E779">
        <v>4600</v>
      </c>
      <c r="F779" t="s">
        <v>493</v>
      </c>
      <c r="G779" t="s">
        <v>789</v>
      </c>
      <c r="H779" s="2">
        <v>0.83333333333333337</v>
      </c>
      <c r="I779" t="s">
        <v>762</v>
      </c>
      <c r="J779" s="1">
        <v>0.48699999999999999</v>
      </c>
      <c r="K779">
        <v>-95</v>
      </c>
      <c r="L779">
        <v>5.5</v>
      </c>
      <c r="M779">
        <v>2.75</v>
      </c>
      <c r="N779">
        <v>2.54</v>
      </c>
      <c r="Q779" s="3">
        <v>0.9819444444444444</v>
      </c>
      <c r="R779">
        <v>8.6999999999999993</v>
      </c>
      <c r="S779">
        <v>7.41</v>
      </c>
      <c r="T779">
        <v>0</v>
      </c>
      <c r="U779">
        <v>0</v>
      </c>
      <c r="V779">
        <v>0</v>
      </c>
      <c r="W779">
        <v>100</v>
      </c>
      <c r="Y779">
        <v>57</v>
      </c>
      <c r="Z779">
        <v>0</v>
      </c>
      <c r="AA779">
        <v>0</v>
      </c>
    </row>
    <row r="780" spans="1:30" x14ac:dyDescent="0.2">
      <c r="A780" t="s">
        <v>1004</v>
      </c>
      <c r="C780">
        <v>0</v>
      </c>
      <c r="D780" t="s">
        <v>17</v>
      </c>
      <c r="E780">
        <v>2500</v>
      </c>
      <c r="F780" t="s">
        <v>764</v>
      </c>
      <c r="G780" t="s">
        <v>765</v>
      </c>
      <c r="H780" s="2">
        <v>0.875</v>
      </c>
      <c r="I780" t="s">
        <v>766</v>
      </c>
      <c r="J780" s="1">
        <v>0.47099999999999997</v>
      </c>
      <c r="K780">
        <v>112.5</v>
      </c>
      <c r="L780">
        <v>7</v>
      </c>
      <c r="M780">
        <v>3.5</v>
      </c>
      <c r="N780">
        <v>4.05</v>
      </c>
      <c r="Q780" s="3">
        <v>0.6958333333333333</v>
      </c>
      <c r="R780">
        <v>5</v>
      </c>
      <c r="S780">
        <v>5.08</v>
      </c>
      <c r="T780">
        <v>0</v>
      </c>
      <c r="U780">
        <v>0</v>
      </c>
      <c r="V780">
        <v>0</v>
      </c>
      <c r="W780">
        <v>100</v>
      </c>
      <c r="Y780">
        <v>49</v>
      </c>
      <c r="Z780">
        <v>0</v>
      </c>
      <c r="AA780">
        <v>0</v>
      </c>
    </row>
    <row r="781" spans="1:30" x14ac:dyDescent="0.2">
      <c r="A781" t="s">
        <v>332</v>
      </c>
      <c r="C781">
        <v>0</v>
      </c>
      <c r="D781" t="s">
        <v>5</v>
      </c>
      <c r="E781">
        <v>3400</v>
      </c>
      <c r="F781" t="s">
        <v>505</v>
      </c>
      <c r="G781" t="s">
        <v>793</v>
      </c>
      <c r="H781" s="2">
        <v>0.91666666666666663</v>
      </c>
      <c r="I781" t="s">
        <v>762</v>
      </c>
      <c r="J781" s="1">
        <v>0.41499999999999998</v>
      </c>
      <c r="K781">
        <v>-71</v>
      </c>
      <c r="L781">
        <v>6</v>
      </c>
      <c r="M781">
        <v>3.02</v>
      </c>
      <c r="N781">
        <v>3</v>
      </c>
      <c r="O781">
        <v>3</v>
      </c>
      <c r="P781">
        <v>2</v>
      </c>
      <c r="Q781" s="3">
        <v>0.57430555555555551</v>
      </c>
      <c r="R781">
        <v>5.7</v>
      </c>
      <c r="S781">
        <v>5.05</v>
      </c>
      <c r="T781">
        <v>16.190000000000001</v>
      </c>
      <c r="U781">
        <v>6.09</v>
      </c>
      <c r="V781">
        <v>6.09</v>
      </c>
      <c r="W781">
        <v>100</v>
      </c>
      <c r="Y781">
        <v>56</v>
      </c>
      <c r="Z781">
        <v>1.8</v>
      </c>
      <c r="AA781">
        <v>0</v>
      </c>
      <c r="AB781" s="3">
        <v>0.65347222222222223</v>
      </c>
      <c r="AC781">
        <v>21.3</v>
      </c>
      <c r="AD781">
        <v>6.3</v>
      </c>
    </row>
    <row r="782" spans="1:30" x14ac:dyDescent="0.2">
      <c r="A782" t="s">
        <v>90</v>
      </c>
      <c r="C782">
        <v>0</v>
      </c>
      <c r="D782" t="s">
        <v>17</v>
      </c>
      <c r="E782">
        <v>5300</v>
      </c>
      <c r="F782" t="s">
        <v>498</v>
      </c>
      <c r="G782" t="s">
        <v>779</v>
      </c>
      <c r="H782" s="2">
        <v>0.79166666666666663</v>
      </c>
      <c r="I782" t="s">
        <v>762</v>
      </c>
      <c r="J782" s="1">
        <v>0.50600000000000001</v>
      </c>
      <c r="K782">
        <v>-102.5</v>
      </c>
      <c r="L782">
        <v>6</v>
      </c>
      <c r="M782">
        <v>3.44</v>
      </c>
      <c r="N782">
        <v>3</v>
      </c>
      <c r="O782">
        <v>3</v>
      </c>
      <c r="P782">
        <v>1</v>
      </c>
      <c r="Q782" s="3">
        <v>0.84236111111111112</v>
      </c>
      <c r="R782">
        <v>10.8</v>
      </c>
      <c r="S782">
        <v>7.53</v>
      </c>
      <c r="T782">
        <v>28.78</v>
      </c>
      <c r="U782">
        <v>13.72</v>
      </c>
      <c r="V782">
        <v>13.72</v>
      </c>
      <c r="W782">
        <v>100</v>
      </c>
      <c r="Y782">
        <v>65</v>
      </c>
      <c r="Z782">
        <v>2.6</v>
      </c>
      <c r="AA782">
        <v>0</v>
      </c>
      <c r="AB782" s="3">
        <v>0.85</v>
      </c>
      <c r="AC782">
        <v>29.5</v>
      </c>
      <c r="AD782">
        <v>5.6</v>
      </c>
    </row>
    <row r="783" spans="1:30" x14ac:dyDescent="0.2">
      <c r="A783" t="s">
        <v>234</v>
      </c>
      <c r="C783">
        <v>0</v>
      </c>
      <c r="D783" t="s">
        <v>17</v>
      </c>
      <c r="E783">
        <v>4900</v>
      </c>
      <c r="F783" t="s">
        <v>483</v>
      </c>
      <c r="G783" t="s">
        <v>772</v>
      </c>
      <c r="H783" s="2">
        <v>0.91666666666666663</v>
      </c>
      <c r="I783" t="s">
        <v>762</v>
      </c>
      <c r="J783" s="1">
        <v>0.46500000000000002</v>
      </c>
      <c r="K783">
        <v>-87</v>
      </c>
      <c r="L783">
        <v>6</v>
      </c>
      <c r="M783">
        <v>3.14</v>
      </c>
      <c r="N783">
        <v>3</v>
      </c>
      <c r="O783">
        <v>1</v>
      </c>
      <c r="P783">
        <v>2</v>
      </c>
      <c r="Q783" s="3">
        <v>0.98888888888888893</v>
      </c>
      <c r="R783">
        <v>10</v>
      </c>
      <c r="S783">
        <v>7.16</v>
      </c>
      <c r="T783">
        <v>26.23</v>
      </c>
      <c r="U783">
        <v>11.91</v>
      </c>
      <c r="V783">
        <v>11.91</v>
      </c>
      <c r="W783">
        <v>100</v>
      </c>
      <c r="Y783">
        <v>64</v>
      </c>
      <c r="Z783">
        <v>2.4</v>
      </c>
      <c r="AA783">
        <v>0</v>
      </c>
      <c r="AB783" s="4">
        <v>1.0965277777777778</v>
      </c>
      <c r="AC783">
        <v>2.8</v>
      </c>
      <c r="AD783">
        <v>0.6</v>
      </c>
    </row>
    <row r="784" spans="1:30" x14ac:dyDescent="0.2">
      <c r="A784" t="s">
        <v>55</v>
      </c>
      <c r="C784">
        <v>0</v>
      </c>
      <c r="D784" t="s">
        <v>5</v>
      </c>
      <c r="E784">
        <v>8500</v>
      </c>
      <c r="F784" t="s">
        <v>499</v>
      </c>
      <c r="G784" t="s">
        <v>775</v>
      </c>
      <c r="H784" s="2">
        <v>0.79166666666666663</v>
      </c>
      <c r="I784" t="s">
        <v>762</v>
      </c>
      <c r="J784" s="1">
        <v>0.50700000000000001</v>
      </c>
      <c r="K784">
        <v>-103</v>
      </c>
      <c r="L784">
        <v>6.5</v>
      </c>
      <c r="M784">
        <v>3.71</v>
      </c>
      <c r="N784">
        <v>3.25</v>
      </c>
      <c r="O784">
        <v>1</v>
      </c>
      <c r="P784">
        <v>1</v>
      </c>
      <c r="Q784" s="3">
        <v>0.81180555555555556</v>
      </c>
      <c r="R784">
        <v>12.1</v>
      </c>
      <c r="S784">
        <v>8.24</v>
      </c>
      <c r="T784">
        <v>32.840000000000003</v>
      </c>
      <c r="U784">
        <v>16.36</v>
      </c>
      <c r="V784">
        <v>16.36</v>
      </c>
      <c r="W784">
        <v>100</v>
      </c>
      <c r="Y784">
        <v>66</v>
      </c>
      <c r="Z784">
        <v>1.9</v>
      </c>
      <c r="AA784">
        <v>0</v>
      </c>
      <c r="AB784" s="3">
        <v>0.8041666666666667</v>
      </c>
      <c r="AC784">
        <v>3</v>
      </c>
      <c r="AD784">
        <v>0.4</v>
      </c>
    </row>
    <row r="785" spans="1:30" x14ac:dyDescent="0.2">
      <c r="A785" t="s">
        <v>645</v>
      </c>
      <c r="C785">
        <v>0</v>
      </c>
      <c r="D785" t="s">
        <v>17</v>
      </c>
      <c r="E785">
        <v>2500</v>
      </c>
      <c r="F785" t="s">
        <v>490</v>
      </c>
      <c r="G785" t="s">
        <v>771</v>
      </c>
      <c r="H785" s="2">
        <v>0.91666666666666663</v>
      </c>
      <c r="I785" t="s">
        <v>766</v>
      </c>
      <c r="J785" s="1">
        <v>0.58499999999999996</v>
      </c>
      <c r="K785">
        <v>71</v>
      </c>
      <c r="L785">
        <v>6</v>
      </c>
      <c r="M785">
        <v>3</v>
      </c>
      <c r="N785">
        <v>3.02</v>
      </c>
      <c r="O785">
        <v>3</v>
      </c>
      <c r="Q785" s="3">
        <v>0.7270833333333333</v>
      </c>
      <c r="R785">
        <v>3.8</v>
      </c>
      <c r="S785">
        <v>3.38</v>
      </c>
      <c r="T785">
        <v>10.86</v>
      </c>
      <c r="U785">
        <v>4.0999999999999996</v>
      </c>
      <c r="V785">
        <v>4.0999999999999996</v>
      </c>
      <c r="W785">
        <v>100</v>
      </c>
      <c r="Y785">
        <v>56</v>
      </c>
      <c r="Z785">
        <v>1.6</v>
      </c>
      <c r="AA785">
        <v>0</v>
      </c>
      <c r="AB785" s="3">
        <v>0.58402777777777781</v>
      </c>
      <c r="AC785">
        <v>8.4</v>
      </c>
      <c r="AD785">
        <v>3.4</v>
      </c>
    </row>
    <row r="786" spans="1:30" x14ac:dyDescent="0.2">
      <c r="A786" t="s">
        <v>884</v>
      </c>
      <c r="C786">
        <v>0</v>
      </c>
      <c r="D786" t="s">
        <v>17</v>
      </c>
      <c r="E786">
        <v>3800</v>
      </c>
      <c r="F786" t="s">
        <v>492</v>
      </c>
      <c r="G786" t="s">
        <v>774</v>
      </c>
      <c r="H786" s="2">
        <v>0.8125</v>
      </c>
      <c r="I786" t="s">
        <v>762</v>
      </c>
      <c r="J786" s="1">
        <v>0.44</v>
      </c>
      <c r="K786">
        <v>-78.5</v>
      </c>
      <c r="L786">
        <v>6.5</v>
      </c>
      <c r="M786">
        <v>3.43</v>
      </c>
      <c r="N786">
        <v>3.25</v>
      </c>
      <c r="Q786" s="3">
        <v>0.9375</v>
      </c>
      <c r="R786">
        <v>7.7</v>
      </c>
      <c r="S786">
        <v>6.37</v>
      </c>
      <c r="T786">
        <v>0</v>
      </c>
      <c r="U786">
        <v>0</v>
      </c>
      <c r="V786">
        <v>0</v>
      </c>
      <c r="W786">
        <v>100</v>
      </c>
      <c r="Y786">
        <v>59</v>
      </c>
      <c r="Z786">
        <v>0</v>
      </c>
      <c r="AA786">
        <v>0</v>
      </c>
    </row>
    <row r="787" spans="1:30" x14ac:dyDescent="0.2">
      <c r="A787" t="s">
        <v>40</v>
      </c>
      <c r="C787">
        <v>0</v>
      </c>
      <c r="D787" t="s">
        <v>10</v>
      </c>
      <c r="E787">
        <v>3500</v>
      </c>
      <c r="F787" t="s">
        <v>494</v>
      </c>
      <c r="G787" t="s">
        <v>782</v>
      </c>
      <c r="H787" s="2">
        <v>0.79166666666666663</v>
      </c>
      <c r="I787" t="s">
        <v>762</v>
      </c>
      <c r="J787" s="1">
        <v>0.47199999999999998</v>
      </c>
      <c r="K787">
        <v>-89.5</v>
      </c>
      <c r="L787">
        <v>6</v>
      </c>
      <c r="M787">
        <v>3</v>
      </c>
      <c r="N787">
        <v>2.82</v>
      </c>
      <c r="O787">
        <v>3</v>
      </c>
      <c r="P787">
        <v>1</v>
      </c>
      <c r="Q787" s="3">
        <v>0.68402777777777779</v>
      </c>
      <c r="R787">
        <v>6.3</v>
      </c>
      <c r="S787">
        <v>6.86</v>
      </c>
      <c r="T787">
        <v>21.22</v>
      </c>
      <c r="U787">
        <v>7.5</v>
      </c>
      <c r="V787">
        <v>7.5</v>
      </c>
      <c r="W787">
        <v>100</v>
      </c>
      <c r="Y787">
        <v>46</v>
      </c>
      <c r="Z787">
        <v>2.1</v>
      </c>
      <c r="AA787">
        <v>0</v>
      </c>
      <c r="AB787" s="3">
        <v>0.77152777777777781</v>
      </c>
      <c r="AC787">
        <v>1.3</v>
      </c>
      <c r="AD787">
        <v>0.4</v>
      </c>
    </row>
    <row r="788" spans="1:30" x14ac:dyDescent="0.2">
      <c r="A788" t="s">
        <v>931</v>
      </c>
      <c r="C788">
        <v>0</v>
      </c>
      <c r="D788" t="s">
        <v>17</v>
      </c>
      <c r="E788">
        <v>2500</v>
      </c>
      <c r="F788" t="s">
        <v>768</v>
      </c>
      <c r="G788" t="s">
        <v>769</v>
      </c>
      <c r="H788" s="2">
        <v>0.79166666666666663</v>
      </c>
      <c r="I788" t="s">
        <v>762</v>
      </c>
      <c r="J788" s="1">
        <v>0.51800000000000002</v>
      </c>
      <c r="K788">
        <v>-107.5</v>
      </c>
      <c r="L788">
        <v>5.5</v>
      </c>
      <c r="M788">
        <v>3.2</v>
      </c>
      <c r="N788">
        <v>2.75</v>
      </c>
      <c r="Q788" s="3">
        <v>0.69791666666666663</v>
      </c>
      <c r="R788">
        <v>4.0999999999999996</v>
      </c>
      <c r="S788">
        <v>0</v>
      </c>
      <c r="T788">
        <v>0</v>
      </c>
      <c r="U788">
        <v>0</v>
      </c>
      <c r="V788">
        <v>0</v>
      </c>
      <c r="W788">
        <v>100</v>
      </c>
      <c r="Y788">
        <v>0</v>
      </c>
      <c r="Z788">
        <v>0</v>
      </c>
      <c r="AA788">
        <v>0</v>
      </c>
    </row>
    <row r="789" spans="1:30" x14ac:dyDescent="0.2">
      <c r="A789" t="s">
        <v>79</v>
      </c>
      <c r="C789">
        <v>0</v>
      </c>
      <c r="D789" t="s">
        <v>17</v>
      </c>
      <c r="E789">
        <v>3000</v>
      </c>
      <c r="F789" t="s">
        <v>777</v>
      </c>
      <c r="G789" t="s">
        <v>778</v>
      </c>
      <c r="H789" s="2">
        <v>0.79166666666666663</v>
      </c>
      <c r="I789" t="s">
        <v>762</v>
      </c>
      <c r="J789" s="1">
        <v>0.46400000000000002</v>
      </c>
      <c r="K789">
        <v>-86.5</v>
      </c>
      <c r="L789">
        <v>6</v>
      </c>
      <c r="M789">
        <v>3.19</v>
      </c>
      <c r="N789">
        <v>3</v>
      </c>
      <c r="O789">
        <v>3</v>
      </c>
      <c r="P789">
        <v>2</v>
      </c>
      <c r="Q789" s="3">
        <v>0.82708333333333328</v>
      </c>
      <c r="R789">
        <v>8.4</v>
      </c>
      <c r="S789">
        <v>8.1300000000000008</v>
      </c>
      <c r="T789">
        <v>26.23</v>
      </c>
      <c r="U789">
        <v>9.9700000000000006</v>
      </c>
      <c r="V789">
        <v>9.9700000000000006</v>
      </c>
      <c r="W789">
        <v>100</v>
      </c>
      <c r="Y789">
        <v>52</v>
      </c>
      <c r="Z789">
        <v>3.3</v>
      </c>
      <c r="AA789">
        <v>0</v>
      </c>
      <c r="AB789" s="3">
        <v>0.70763888888888893</v>
      </c>
      <c r="AC789">
        <v>6.9</v>
      </c>
      <c r="AD789">
        <v>2.2999999999999998</v>
      </c>
    </row>
    <row r="790" spans="1:30" x14ac:dyDescent="0.2">
      <c r="A790" t="s">
        <v>600</v>
      </c>
      <c r="C790">
        <v>0</v>
      </c>
      <c r="D790" t="s">
        <v>10</v>
      </c>
      <c r="E790">
        <v>2500</v>
      </c>
      <c r="F790" t="s">
        <v>500</v>
      </c>
      <c r="G790" t="s">
        <v>785</v>
      </c>
      <c r="H790" s="2">
        <v>0.8125</v>
      </c>
      <c r="I790" t="s">
        <v>766</v>
      </c>
      <c r="J790" s="1">
        <v>0.56000000000000005</v>
      </c>
      <c r="K790">
        <v>78.5</v>
      </c>
      <c r="L790">
        <v>6.5</v>
      </c>
      <c r="M790">
        <v>3.25</v>
      </c>
      <c r="N790">
        <v>3.43</v>
      </c>
      <c r="Q790" s="3">
        <v>0.38750000000000001</v>
      </c>
      <c r="R790">
        <v>3.4</v>
      </c>
      <c r="S790">
        <v>4.41</v>
      </c>
      <c r="T790">
        <v>0</v>
      </c>
      <c r="U790">
        <v>0</v>
      </c>
      <c r="V790">
        <v>0</v>
      </c>
      <c r="W790">
        <v>100</v>
      </c>
      <c r="Y790">
        <v>35</v>
      </c>
      <c r="Z790">
        <v>0</v>
      </c>
      <c r="AA790">
        <v>0</v>
      </c>
    </row>
    <row r="791" spans="1:30" x14ac:dyDescent="0.2">
      <c r="A791" t="s">
        <v>848</v>
      </c>
      <c r="C791">
        <v>0</v>
      </c>
      <c r="D791" t="s">
        <v>7</v>
      </c>
      <c r="E791">
        <v>7100</v>
      </c>
      <c r="F791" t="s">
        <v>491</v>
      </c>
      <c r="G791" t="s">
        <v>773</v>
      </c>
      <c r="H791" s="2">
        <v>0.79166666666666663</v>
      </c>
      <c r="I791" t="s">
        <v>766</v>
      </c>
      <c r="J791" s="1">
        <v>0.49299999999999999</v>
      </c>
      <c r="K791">
        <v>103</v>
      </c>
      <c r="L791">
        <v>6.5</v>
      </c>
      <c r="M791">
        <v>3.25</v>
      </c>
      <c r="N791">
        <v>3.71</v>
      </c>
      <c r="O791" t="s">
        <v>818</v>
      </c>
      <c r="Q791" s="4">
        <v>2.4930555555555554</v>
      </c>
      <c r="R791">
        <v>12.4</v>
      </c>
      <c r="S791">
        <v>9.92</v>
      </c>
      <c r="T791">
        <v>0</v>
      </c>
      <c r="U791">
        <v>0</v>
      </c>
      <c r="V791">
        <v>0</v>
      </c>
      <c r="W791">
        <v>100</v>
      </c>
      <c r="Y791">
        <v>60</v>
      </c>
      <c r="Z791">
        <v>0</v>
      </c>
      <c r="AA791">
        <v>0</v>
      </c>
      <c r="AB791" s="3">
        <v>0</v>
      </c>
      <c r="AC791">
        <v>0</v>
      </c>
    </row>
    <row r="792" spans="1:30" x14ac:dyDescent="0.2">
      <c r="A792" t="s">
        <v>334</v>
      </c>
      <c r="C792">
        <v>0</v>
      </c>
      <c r="D792" t="s">
        <v>7</v>
      </c>
      <c r="E792">
        <v>7600</v>
      </c>
      <c r="F792" t="s">
        <v>501</v>
      </c>
      <c r="G792" t="s">
        <v>783</v>
      </c>
      <c r="H792" s="2">
        <v>0.79166666666666663</v>
      </c>
      <c r="I792" t="s">
        <v>766</v>
      </c>
      <c r="J792" s="1">
        <v>0.52800000000000002</v>
      </c>
      <c r="K792">
        <v>89.5</v>
      </c>
      <c r="L792">
        <v>6</v>
      </c>
      <c r="M792">
        <v>2.82</v>
      </c>
      <c r="N792">
        <v>3</v>
      </c>
      <c r="O792" t="s">
        <v>818</v>
      </c>
      <c r="Q792" s="4">
        <v>2.0180555555555557</v>
      </c>
      <c r="R792">
        <v>4</v>
      </c>
      <c r="S792">
        <v>6.31</v>
      </c>
      <c r="T792">
        <v>0</v>
      </c>
      <c r="U792">
        <v>0</v>
      </c>
      <c r="V792">
        <v>0</v>
      </c>
      <c r="W792">
        <v>100</v>
      </c>
      <c r="Y792">
        <v>21</v>
      </c>
      <c r="Z792">
        <v>0</v>
      </c>
      <c r="AA792">
        <v>0</v>
      </c>
      <c r="AB792" s="3">
        <v>0</v>
      </c>
      <c r="AC792">
        <v>0</v>
      </c>
    </row>
    <row r="793" spans="1:30" x14ac:dyDescent="0.2">
      <c r="A793" t="s">
        <v>367</v>
      </c>
      <c r="C793">
        <v>0</v>
      </c>
      <c r="D793" t="s">
        <v>17</v>
      </c>
      <c r="E793">
        <v>2500</v>
      </c>
      <c r="F793" t="s">
        <v>480</v>
      </c>
      <c r="G793" t="s">
        <v>761</v>
      </c>
      <c r="H793" s="2">
        <v>0.875</v>
      </c>
      <c r="I793" t="s">
        <v>762</v>
      </c>
      <c r="J793" s="1">
        <v>0.52900000000000003</v>
      </c>
      <c r="K793">
        <v>-112.5</v>
      </c>
      <c r="L793">
        <v>7</v>
      </c>
      <c r="M793">
        <v>4.05</v>
      </c>
      <c r="N793">
        <v>3.5</v>
      </c>
      <c r="O793">
        <v>3</v>
      </c>
      <c r="Q793" s="3">
        <v>0.64652777777777781</v>
      </c>
      <c r="R793">
        <v>4</v>
      </c>
      <c r="S793">
        <v>3.14</v>
      </c>
      <c r="T793">
        <v>12.32</v>
      </c>
      <c r="U793">
        <v>6.04</v>
      </c>
      <c r="V793">
        <v>6.04</v>
      </c>
      <c r="W793">
        <v>100</v>
      </c>
      <c r="Y793">
        <v>61</v>
      </c>
      <c r="Z793">
        <v>2.4</v>
      </c>
      <c r="AA793">
        <v>0</v>
      </c>
      <c r="AB793" s="3">
        <v>0.60277777777777775</v>
      </c>
      <c r="AC793">
        <v>0</v>
      </c>
    </row>
    <row r="794" spans="1:30" x14ac:dyDescent="0.2">
      <c r="A794" t="s">
        <v>946</v>
      </c>
      <c r="C794">
        <v>0</v>
      </c>
      <c r="D794" t="s">
        <v>10</v>
      </c>
      <c r="E794">
        <v>2500</v>
      </c>
      <c r="F794" t="s">
        <v>777</v>
      </c>
      <c r="G794" t="s">
        <v>778</v>
      </c>
      <c r="H794" s="2">
        <v>0.79166666666666663</v>
      </c>
      <c r="I794" t="s">
        <v>762</v>
      </c>
      <c r="J794" s="1">
        <v>0.46400000000000002</v>
      </c>
      <c r="K794">
        <v>-86.5</v>
      </c>
      <c r="L794">
        <v>6</v>
      </c>
      <c r="M794">
        <v>3.19</v>
      </c>
      <c r="N794">
        <v>3</v>
      </c>
      <c r="Q794" s="3">
        <v>0.48749999999999999</v>
      </c>
      <c r="R794">
        <v>3.9</v>
      </c>
      <c r="S794">
        <v>4.28</v>
      </c>
      <c r="T794">
        <v>0</v>
      </c>
      <c r="U794">
        <v>0</v>
      </c>
      <c r="V794">
        <v>0</v>
      </c>
      <c r="W794">
        <v>100</v>
      </c>
      <c r="Y794">
        <v>45</v>
      </c>
      <c r="Z794">
        <v>0</v>
      </c>
      <c r="AA794">
        <v>0</v>
      </c>
    </row>
    <row r="795" spans="1:30" x14ac:dyDescent="0.2">
      <c r="A795" t="s">
        <v>648</v>
      </c>
      <c r="C795">
        <v>0</v>
      </c>
      <c r="D795" t="s">
        <v>17</v>
      </c>
      <c r="E795">
        <v>2500</v>
      </c>
      <c r="F795" t="s">
        <v>768</v>
      </c>
      <c r="G795" t="s">
        <v>769</v>
      </c>
      <c r="H795" s="2">
        <v>0.79166666666666663</v>
      </c>
      <c r="I795" t="s">
        <v>762</v>
      </c>
      <c r="J795" s="1">
        <v>0.51800000000000002</v>
      </c>
      <c r="K795">
        <v>-107.5</v>
      </c>
      <c r="L795">
        <v>5.5</v>
      </c>
      <c r="M795">
        <v>3.2</v>
      </c>
      <c r="N795">
        <v>2.75</v>
      </c>
      <c r="Q795" s="3">
        <v>0.48125000000000001</v>
      </c>
      <c r="R795">
        <v>1.9</v>
      </c>
      <c r="S795">
        <v>2.73</v>
      </c>
      <c r="T795">
        <v>0</v>
      </c>
      <c r="U795">
        <v>0</v>
      </c>
      <c r="V795">
        <v>0</v>
      </c>
      <c r="W795">
        <v>100</v>
      </c>
      <c r="Y795">
        <v>28</v>
      </c>
      <c r="Z795">
        <v>0</v>
      </c>
      <c r="AA795">
        <v>0</v>
      </c>
    </row>
    <row r="796" spans="1:30" x14ac:dyDescent="0.2">
      <c r="A796" t="s">
        <v>591</v>
      </c>
      <c r="C796">
        <v>0</v>
      </c>
      <c r="D796" t="s">
        <v>10</v>
      </c>
      <c r="E796">
        <v>2500</v>
      </c>
      <c r="F796" t="s">
        <v>490</v>
      </c>
      <c r="G796" t="s">
        <v>771</v>
      </c>
      <c r="H796" s="2">
        <v>0.91666666666666663</v>
      </c>
      <c r="I796" t="s">
        <v>766</v>
      </c>
      <c r="J796" s="1">
        <v>0.58499999999999996</v>
      </c>
      <c r="K796">
        <v>71</v>
      </c>
      <c r="L796">
        <v>6</v>
      </c>
      <c r="M796">
        <v>3</v>
      </c>
      <c r="N796">
        <v>3.02</v>
      </c>
      <c r="O796">
        <v>4</v>
      </c>
      <c r="Q796" s="3">
        <v>0.49236111111111114</v>
      </c>
      <c r="R796">
        <v>4.3</v>
      </c>
      <c r="S796">
        <v>4.1900000000000004</v>
      </c>
      <c r="T796">
        <v>13.13</v>
      </c>
      <c r="U796">
        <v>4.75</v>
      </c>
      <c r="V796">
        <v>4.75</v>
      </c>
      <c r="W796">
        <v>100</v>
      </c>
      <c r="Y796">
        <v>51</v>
      </c>
      <c r="Z796">
        <v>1.9</v>
      </c>
      <c r="AA796">
        <v>0</v>
      </c>
      <c r="AB796" s="3">
        <v>0.49513888888888891</v>
      </c>
      <c r="AC796">
        <v>0</v>
      </c>
    </row>
    <row r="797" spans="1:30" x14ac:dyDescent="0.2">
      <c r="A797" t="s">
        <v>45</v>
      </c>
      <c r="C797">
        <v>0</v>
      </c>
      <c r="D797" t="s">
        <v>10</v>
      </c>
      <c r="E797">
        <v>5100</v>
      </c>
      <c r="F797" t="s">
        <v>506</v>
      </c>
      <c r="G797" t="s">
        <v>786</v>
      </c>
      <c r="H797" s="2">
        <v>0.79166666666666663</v>
      </c>
      <c r="I797" t="s">
        <v>766</v>
      </c>
      <c r="J797" s="1">
        <v>0.53600000000000003</v>
      </c>
      <c r="K797">
        <v>86.5</v>
      </c>
      <c r="L797">
        <v>6</v>
      </c>
      <c r="M797">
        <v>3</v>
      </c>
      <c r="N797">
        <v>3.19</v>
      </c>
      <c r="O797">
        <v>2</v>
      </c>
      <c r="P797">
        <v>1</v>
      </c>
      <c r="Q797" s="3">
        <v>0.73333333333333328</v>
      </c>
      <c r="R797">
        <v>9.8000000000000007</v>
      </c>
      <c r="S797">
        <v>9.89</v>
      </c>
      <c r="T797">
        <v>34.49</v>
      </c>
      <c r="U797">
        <v>14.71</v>
      </c>
      <c r="V797">
        <v>14.71</v>
      </c>
      <c r="W797">
        <v>100</v>
      </c>
      <c r="Y797">
        <v>50</v>
      </c>
      <c r="Z797">
        <v>2.9</v>
      </c>
      <c r="AA797">
        <v>0</v>
      </c>
      <c r="AB797" s="3">
        <v>0.58888888888888891</v>
      </c>
      <c r="AC797">
        <v>11.8</v>
      </c>
      <c r="AD797">
        <v>2.2999999999999998</v>
      </c>
    </row>
    <row r="798" spans="1:30" x14ac:dyDescent="0.2">
      <c r="A798" t="s">
        <v>820</v>
      </c>
      <c r="C798">
        <v>0</v>
      </c>
      <c r="D798" t="s">
        <v>7</v>
      </c>
      <c r="E798">
        <v>8300</v>
      </c>
      <c r="F798" t="s">
        <v>499</v>
      </c>
      <c r="G798" t="s">
        <v>775</v>
      </c>
      <c r="H798" s="2">
        <v>0.79166666666666663</v>
      </c>
      <c r="I798" t="s">
        <v>762</v>
      </c>
      <c r="J798" s="1">
        <v>0.50700000000000001</v>
      </c>
      <c r="K798">
        <v>-103</v>
      </c>
      <c r="L798">
        <v>6.5</v>
      </c>
      <c r="M798">
        <v>3.71</v>
      </c>
      <c r="N798">
        <v>3.25</v>
      </c>
      <c r="O798" t="s">
        <v>818</v>
      </c>
      <c r="Q798" s="4">
        <v>2.3833333333333333</v>
      </c>
      <c r="R798">
        <v>10.1</v>
      </c>
      <c r="S798">
        <v>9.9</v>
      </c>
      <c r="T798">
        <v>0</v>
      </c>
      <c r="U798">
        <v>0</v>
      </c>
      <c r="V798">
        <v>0</v>
      </c>
      <c r="W798">
        <v>100</v>
      </c>
      <c r="Y798">
        <v>51</v>
      </c>
      <c r="Z798">
        <v>0</v>
      </c>
      <c r="AA798">
        <v>0</v>
      </c>
      <c r="AB798" s="3">
        <v>0</v>
      </c>
      <c r="AC798">
        <v>0</v>
      </c>
    </row>
    <row r="799" spans="1:30" x14ac:dyDescent="0.2">
      <c r="A799" t="s">
        <v>82</v>
      </c>
      <c r="C799">
        <v>0</v>
      </c>
      <c r="D799" t="s">
        <v>5</v>
      </c>
      <c r="E799">
        <v>8700</v>
      </c>
      <c r="F799" t="s">
        <v>486</v>
      </c>
      <c r="G799" t="s">
        <v>776</v>
      </c>
      <c r="H799" s="2">
        <v>0.79166666666666663</v>
      </c>
      <c r="I799" t="s">
        <v>762</v>
      </c>
      <c r="J799" s="1">
        <v>0.435</v>
      </c>
      <c r="K799">
        <v>-77</v>
      </c>
      <c r="L799">
        <v>5.5</v>
      </c>
      <c r="M799">
        <v>2.87</v>
      </c>
      <c r="N799">
        <v>2.75</v>
      </c>
      <c r="O799">
        <v>1</v>
      </c>
      <c r="P799">
        <v>1</v>
      </c>
      <c r="Q799" s="3">
        <v>0.79027777777777775</v>
      </c>
      <c r="R799">
        <v>14.5</v>
      </c>
      <c r="S799">
        <v>9.1</v>
      </c>
      <c r="T799">
        <v>33.44</v>
      </c>
      <c r="U799">
        <v>15.24</v>
      </c>
      <c r="V799">
        <v>15.24</v>
      </c>
      <c r="W799">
        <v>100</v>
      </c>
      <c r="Y799">
        <v>69</v>
      </c>
      <c r="Z799">
        <v>1.8</v>
      </c>
      <c r="AA799">
        <v>0</v>
      </c>
      <c r="AB799" s="3">
        <v>0.75277777777777777</v>
      </c>
      <c r="AC799">
        <v>10.5</v>
      </c>
      <c r="AD799">
        <v>1.2</v>
      </c>
    </row>
    <row r="800" spans="1:30" x14ac:dyDescent="0.2">
      <c r="A800" t="s">
        <v>969</v>
      </c>
      <c r="C800">
        <v>0</v>
      </c>
      <c r="D800" t="s">
        <v>10</v>
      </c>
      <c r="E800">
        <v>2500</v>
      </c>
      <c r="F800" t="s">
        <v>499</v>
      </c>
      <c r="G800" t="s">
        <v>775</v>
      </c>
      <c r="H800" s="2">
        <v>0.79166666666666663</v>
      </c>
      <c r="I800" t="s">
        <v>762</v>
      </c>
      <c r="J800" s="1">
        <v>0.50700000000000001</v>
      </c>
      <c r="K800">
        <v>-103</v>
      </c>
      <c r="L800">
        <v>6.5</v>
      </c>
      <c r="M800">
        <v>3.71</v>
      </c>
      <c r="N800">
        <v>3.25</v>
      </c>
      <c r="T800">
        <v>0</v>
      </c>
      <c r="U800">
        <v>0</v>
      </c>
      <c r="V800">
        <v>0</v>
      </c>
      <c r="W800">
        <v>100</v>
      </c>
      <c r="Y800">
        <v>0</v>
      </c>
      <c r="Z800">
        <v>0</v>
      </c>
      <c r="AA800">
        <v>0</v>
      </c>
    </row>
    <row r="801" spans="1:30" x14ac:dyDescent="0.2">
      <c r="A801" t="s">
        <v>567</v>
      </c>
      <c r="C801">
        <v>0</v>
      </c>
      <c r="D801" t="s">
        <v>10</v>
      </c>
      <c r="E801">
        <v>2500</v>
      </c>
      <c r="F801" t="s">
        <v>485</v>
      </c>
      <c r="G801" t="s">
        <v>767</v>
      </c>
      <c r="H801" s="2">
        <v>0.79166666666666663</v>
      </c>
      <c r="I801" t="s">
        <v>762</v>
      </c>
      <c r="J801" s="1">
        <v>0.48099999999999998</v>
      </c>
      <c r="K801">
        <v>-92.5</v>
      </c>
      <c r="L801">
        <v>6.5</v>
      </c>
      <c r="M801">
        <v>3.62</v>
      </c>
      <c r="N801">
        <v>3.25</v>
      </c>
      <c r="O801">
        <v>4</v>
      </c>
      <c r="Q801" s="3">
        <v>0.55069444444444449</v>
      </c>
      <c r="R801">
        <v>5.2</v>
      </c>
      <c r="S801">
        <v>4.1900000000000004</v>
      </c>
      <c r="T801">
        <v>14.88</v>
      </c>
      <c r="U801">
        <v>6.5</v>
      </c>
      <c r="V801">
        <v>6.5</v>
      </c>
      <c r="W801">
        <v>100</v>
      </c>
      <c r="Y801">
        <v>60</v>
      </c>
      <c r="Z801">
        <v>2.6</v>
      </c>
      <c r="AA801">
        <v>0</v>
      </c>
      <c r="AB801" s="3">
        <v>0.62777777777777777</v>
      </c>
      <c r="AC801">
        <v>11.3</v>
      </c>
      <c r="AD801">
        <v>4.5</v>
      </c>
    </row>
    <row r="802" spans="1:30" x14ac:dyDescent="0.2">
      <c r="A802" t="s">
        <v>534</v>
      </c>
      <c r="C802">
        <v>0</v>
      </c>
      <c r="D802" t="s">
        <v>5</v>
      </c>
      <c r="E802">
        <v>2500</v>
      </c>
      <c r="F802" t="s">
        <v>483</v>
      </c>
      <c r="G802" t="s">
        <v>772</v>
      </c>
      <c r="H802" s="2">
        <v>0.91666666666666663</v>
      </c>
      <c r="I802" t="s">
        <v>762</v>
      </c>
      <c r="J802" s="1">
        <v>0.46500000000000002</v>
      </c>
      <c r="K802">
        <v>-87</v>
      </c>
      <c r="L802">
        <v>6</v>
      </c>
      <c r="M802">
        <v>3.14</v>
      </c>
      <c r="N802">
        <v>3</v>
      </c>
      <c r="O802">
        <v>4</v>
      </c>
      <c r="P802">
        <v>2</v>
      </c>
      <c r="Q802" s="3">
        <v>0.44444444444444442</v>
      </c>
      <c r="R802">
        <v>4.7</v>
      </c>
      <c r="S802">
        <v>4.08</v>
      </c>
      <c r="T802">
        <v>13.5</v>
      </c>
      <c r="U802">
        <v>5.34</v>
      </c>
      <c r="V802">
        <v>5.34</v>
      </c>
      <c r="W802">
        <v>100</v>
      </c>
      <c r="Y802">
        <v>57</v>
      </c>
      <c r="Z802">
        <v>2.1</v>
      </c>
      <c r="AA802">
        <v>0</v>
      </c>
      <c r="AB802" s="3">
        <v>0.40486111111111112</v>
      </c>
      <c r="AC802">
        <v>1.3</v>
      </c>
      <c r="AD802">
        <v>0.5</v>
      </c>
    </row>
    <row r="803" spans="1:30" x14ac:dyDescent="0.2">
      <c r="A803" t="s">
        <v>641</v>
      </c>
      <c r="C803">
        <v>0</v>
      </c>
      <c r="D803" t="s">
        <v>10</v>
      </c>
      <c r="E803">
        <v>2500</v>
      </c>
      <c r="F803" t="s">
        <v>496</v>
      </c>
      <c r="G803" t="s">
        <v>787</v>
      </c>
      <c r="H803" s="2">
        <v>0.79166666666666663</v>
      </c>
      <c r="I803" t="s">
        <v>766</v>
      </c>
      <c r="J803" s="1">
        <v>0.48199999999999998</v>
      </c>
      <c r="K803">
        <v>107.5</v>
      </c>
      <c r="L803">
        <v>5.5</v>
      </c>
      <c r="M803">
        <v>2.75</v>
      </c>
      <c r="N803">
        <v>3.2</v>
      </c>
      <c r="O803">
        <v>4</v>
      </c>
      <c r="Q803" s="3">
        <v>0.45277777777777778</v>
      </c>
      <c r="R803">
        <v>3.7</v>
      </c>
      <c r="S803">
        <v>3.86</v>
      </c>
      <c r="T803">
        <v>11.62</v>
      </c>
      <c r="U803">
        <v>3.9</v>
      </c>
      <c r="V803">
        <v>3.9</v>
      </c>
      <c r="W803">
        <v>100</v>
      </c>
      <c r="Y803">
        <v>48</v>
      </c>
      <c r="Z803">
        <v>1.6</v>
      </c>
      <c r="AA803">
        <v>0</v>
      </c>
      <c r="AB803" s="3">
        <v>0.38124999999999998</v>
      </c>
      <c r="AC803">
        <v>0</v>
      </c>
    </row>
    <row r="804" spans="1:30" x14ac:dyDescent="0.2">
      <c r="A804" t="s">
        <v>255</v>
      </c>
      <c r="C804">
        <v>0</v>
      </c>
      <c r="D804" t="s">
        <v>10</v>
      </c>
      <c r="E804">
        <v>3900</v>
      </c>
      <c r="F804" t="s">
        <v>498</v>
      </c>
      <c r="G804" t="s">
        <v>779</v>
      </c>
      <c r="H804" s="2">
        <v>0.79166666666666663</v>
      </c>
      <c r="I804" t="s">
        <v>762</v>
      </c>
      <c r="J804" s="1">
        <v>0.50600000000000001</v>
      </c>
      <c r="K804">
        <v>-102.5</v>
      </c>
      <c r="L804">
        <v>6</v>
      </c>
      <c r="M804">
        <v>3.44</v>
      </c>
      <c r="N804">
        <v>3</v>
      </c>
      <c r="O804">
        <v>2</v>
      </c>
      <c r="P804">
        <v>2</v>
      </c>
      <c r="Q804" s="3">
        <v>0.58472222222222225</v>
      </c>
      <c r="R804">
        <v>6.3</v>
      </c>
      <c r="S804">
        <v>5.73</v>
      </c>
      <c r="T804">
        <v>19.66</v>
      </c>
      <c r="U804">
        <v>8.1999999999999993</v>
      </c>
      <c r="V804">
        <v>8.1999999999999993</v>
      </c>
      <c r="W804">
        <v>100</v>
      </c>
      <c r="Y804">
        <v>55</v>
      </c>
      <c r="Z804">
        <v>2.1</v>
      </c>
      <c r="AA804">
        <v>0</v>
      </c>
      <c r="AB804" s="3">
        <v>0.60347222222222219</v>
      </c>
      <c r="AC804">
        <v>1.5</v>
      </c>
      <c r="AD804">
        <v>0.4</v>
      </c>
    </row>
    <row r="805" spans="1:30" x14ac:dyDescent="0.2">
      <c r="A805" t="s">
        <v>718</v>
      </c>
      <c r="C805">
        <v>0</v>
      </c>
      <c r="D805" t="s">
        <v>10</v>
      </c>
      <c r="E805">
        <v>2500</v>
      </c>
      <c r="F805" t="s">
        <v>478</v>
      </c>
      <c r="G805" t="s">
        <v>763</v>
      </c>
      <c r="H805" s="2">
        <v>0.79166666666666663</v>
      </c>
      <c r="I805" t="s">
        <v>762</v>
      </c>
      <c r="J805" s="1">
        <v>0.44900000000000001</v>
      </c>
      <c r="K805">
        <v>-81.5</v>
      </c>
      <c r="L805">
        <v>6.5</v>
      </c>
      <c r="M805">
        <v>3.25</v>
      </c>
      <c r="N805">
        <v>3.17</v>
      </c>
      <c r="Q805" s="3">
        <v>0.2951388888888889</v>
      </c>
      <c r="R805">
        <v>1.6</v>
      </c>
      <c r="S805">
        <v>1.86</v>
      </c>
      <c r="T805">
        <v>0</v>
      </c>
      <c r="U805">
        <v>0</v>
      </c>
      <c r="V805">
        <v>0</v>
      </c>
      <c r="W805">
        <v>100</v>
      </c>
      <c r="Y805">
        <v>42</v>
      </c>
      <c r="Z805">
        <v>0</v>
      </c>
      <c r="AA805">
        <v>0</v>
      </c>
    </row>
    <row r="806" spans="1:30" x14ac:dyDescent="0.2">
      <c r="A806" t="s">
        <v>595</v>
      </c>
      <c r="C806">
        <v>0</v>
      </c>
      <c r="D806" t="s">
        <v>10</v>
      </c>
      <c r="E806">
        <v>2500</v>
      </c>
      <c r="F806" t="s">
        <v>501</v>
      </c>
      <c r="G806" t="s">
        <v>783</v>
      </c>
      <c r="H806" s="2">
        <v>0.79166666666666663</v>
      </c>
      <c r="I806" t="s">
        <v>766</v>
      </c>
      <c r="J806" s="1">
        <v>0.52800000000000002</v>
      </c>
      <c r="K806">
        <v>89.5</v>
      </c>
      <c r="L806">
        <v>6</v>
      </c>
      <c r="M806">
        <v>2.82</v>
      </c>
      <c r="N806">
        <v>3</v>
      </c>
      <c r="O806">
        <v>3</v>
      </c>
      <c r="Q806" s="3">
        <v>0.50069444444444444</v>
      </c>
      <c r="R806">
        <v>3.8</v>
      </c>
      <c r="S806">
        <v>7.14</v>
      </c>
      <c r="T806">
        <v>17.72</v>
      </c>
      <c r="U806">
        <v>3.44</v>
      </c>
      <c r="V806">
        <v>3.44</v>
      </c>
      <c r="W806">
        <v>100</v>
      </c>
      <c r="Y806">
        <v>6</v>
      </c>
      <c r="Z806">
        <v>1.4</v>
      </c>
      <c r="AA806">
        <v>0</v>
      </c>
      <c r="AB806" s="3">
        <v>0.44097222222222221</v>
      </c>
      <c r="AC806">
        <v>0</v>
      </c>
    </row>
    <row r="807" spans="1:30" x14ac:dyDescent="0.2">
      <c r="A807" t="s">
        <v>419</v>
      </c>
      <c r="C807">
        <v>0</v>
      </c>
      <c r="D807" t="s">
        <v>10</v>
      </c>
      <c r="E807">
        <v>2500</v>
      </c>
      <c r="F807" t="s">
        <v>794</v>
      </c>
      <c r="G807" t="s">
        <v>795</v>
      </c>
      <c r="H807" s="2">
        <v>0.79166666666666663</v>
      </c>
      <c r="I807" t="s">
        <v>766</v>
      </c>
      <c r="J807" s="1">
        <v>0.56499999999999995</v>
      </c>
      <c r="K807">
        <v>77</v>
      </c>
      <c r="L807">
        <v>5.5</v>
      </c>
      <c r="M807">
        <v>2.75</v>
      </c>
      <c r="N807">
        <v>2.87</v>
      </c>
      <c r="O807">
        <v>4</v>
      </c>
      <c r="P807">
        <v>2</v>
      </c>
      <c r="Q807" s="3">
        <v>0.46666666666666667</v>
      </c>
      <c r="R807">
        <v>4.3</v>
      </c>
      <c r="S807">
        <v>3.99</v>
      </c>
      <c r="T807">
        <v>13</v>
      </c>
      <c r="U807">
        <v>5.0199999999999996</v>
      </c>
      <c r="V807">
        <v>5.0199999999999996</v>
      </c>
      <c r="W807">
        <v>100</v>
      </c>
      <c r="Y807">
        <v>54</v>
      </c>
      <c r="Z807">
        <v>2</v>
      </c>
      <c r="AA807">
        <v>0</v>
      </c>
      <c r="AB807" s="3">
        <v>0.49166666666666664</v>
      </c>
      <c r="AC807">
        <v>4.5</v>
      </c>
      <c r="AD807">
        <v>1.8</v>
      </c>
    </row>
    <row r="808" spans="1:30" x14ac:dyDescent="0.2">
      <c r="A808" t="s">
        <v>128</v>
      </c>
      <c r="C808">
        <v>0</v>
      </c>
      <c r="D808" t="s">
        <v>5</v>
      </c>
      <c r="E808">
        <v>3000</v>
      </c>
      <c r="F808" t="s">
        <v>510</v>
      </c>
      <c r="G808" t="s">
        <v>802</v>
      </c>
      <c r="H808" s="2">
        <v>0.91666666666666663</v>
      </c>
      <c r="I808" t="s">
        <v>766</v>
      </c>
      <c r="J808" s="1">
        <v>0.51200000000000001</v>
      </c>
      <c r="K808">
        <v>95.5</v>
      </c>
      <c r="L808">
        <v>6.5</v>
      </c>
      <c r="M808">
        <v>3.01</v>
      </c>
      <c r="N808">
        <v>3.25</v>
      </c>
      <c r="O808">
        <v>2</v>
      </c>
      <c r="Q808" s="3">
        <v>0.63263888888888886</v>
      </c>
      <c r="R808">
        <v>6.2</v>
      </c>
      <c r="S808">
        <v>3.78</v>
      </c>
      <c r="T808">
        <v>12.83</v>
      </c>
      <c r="U808">
        <v>5.27</v>
      </c>
      <c r="V808">
        <v>5.27</v>
      </c>
      <c r="W808">
        <v>100</v>
      </c>
      <c r="Y808">
        <v>70</v>
      </c>
      <c r="Z808">
        <v>1.8</v>
      </c>
      <c r="AA808">
        <v>0</v>
      </c>
      <c r="AB808" s="3">
        <v>0.62569444444444444</v>
      </c>
      <c r="AC808">
        <v>11.5</v>
      </c>
      <c r="AD808">
        <v>3.8</v>
      </c>
    </row>
    <row r="809" spans="1:30" x14ac:dyDescent="0.2">
      <c r="A809" t="s">
        <v>972</v>
      </c>
      <c r="C809">
        <v>0</v>
      </c>
      <c r="D809" t="s">
        <v>17</v>
      </c>
      <c r="E809">
        <v>2500</v>
      </c>
      <c r="F809" t="s">
        <v>507</v>
      </c>
      <c r="G809" t="s">
        <v>796</v>
      </c>
      <c r="H809" s="2">
        <v>0.79166666666666663</v>
      </c>
      <c r="I809" t="s">
        <v>766</v>
      </c>
      <c r="J809" s="1">
        <v>0.49399999999999999</v>
      </c>
      <c r="K809">
        <v>102.5</v>
      </c>
      <c r="L809">
        <v>6</v>
      </c>
      <c r="M809">
        <v>3</v>
      </c>
      <c r="N809">
        <v>3.44</v>
      </c>
      <c r="T809">
        <v>0</v>
      </c>
      <c r="U809">
        <v>0</v>
      </c>
      <c r="V809">
        <v>0</v>
      </c>
      <c r="W809">
        <v>100</v>
      </c>
      <c r="Y809">
        <v>0</v>
      </c>
      <c r="Z809">
        <v>0</v>
      </c>
      <c r="AA809">
        <v>0</v>
      </c>
    </row>
    <row r="810" spans="1:30" x14ac:dyDescent="0.2">
      <c r="A810" t="s">
        <v>214</v>
      </c>
      <c r="C810">
        <v>0</v>
      </c>
      <c r="D810" t="s">
        <v>10</v>
      </c>
      <c r="E810">
        <v>3200</v>
      </c>
      <c r="F810" t="s">
        <v>491</v>
      </c>
      <c r="G810" t="s">
        <v>773</v>
      </c>
      <c r="H810" s="2">
        <v>0.79166666666666663</v>
      </c>
      <c r="I810" t="s">
        <v>766</v>
      </c>
      <c r="J810" s="1">
        <v>0.49299999999999999</v>
      </c>
      <c r="K810">
        <v>103</v>
      </c>
      <c r="L810">
        <v>6.5</v>
      </c>
      <c r="M810">
        <v>3.25</v>
      </c>
      <c r="N810">
        <v>3.71</v>
      </c>
      <c r="O810">
        <v>1</v>
      </c>
      <c r="P810">
        <v>1</v>
      </c>
      <c r="Q810" s="3">
        <v>0.76249999999999996</v>
      </c>
      <c r="R810">
        <v>6</v>
      </c>
      <c r="S810">
        <v>5.28</v>
      </c>
      <c r="T810">
        <v>17.399999999999999</v>
      </c>
      <c r="U810">
        <v>6.84</v>
      </c>
      <c r="V810">
        <v>6.84</v>
      </c>
      <c r="W810">
        <v>100</v>
      </c>
      <c r="Y810">
        <v>56</v>
      </c>
      <c r="Z810">
        <v>2.1</v>
      </c>
      <c r="AA810">
        <v>0</v>
      </c>
      <c r="AB810" s="3">
        <v>0.78680555555555554</v>
      </c>
      <c r="AC810">
        <v>3</v>
      </c>
      <c r="AD810">
        <v>0.9</v>
      </c>
    </row>
    <row r="811" spans="1:30" x14ac:dyDescent="0.2">
      <c r="A811" t="s">
        <v>845</v>
      </c>
      <c r="C811">
        <v>0</v>
      </c>
      <c r="D811" t="s">
        <v>7</v>
      </c>
      <c r="E811">
        <v>7300</v>
      </c>
      <c r="F811" t="s">
        <v>510</v>
      </c>
      <c r="G811" t="s">
        <v>802</v>
      </c>
      <c r="H811" s="2">
        <v>0.91666666666666663</v>
      </c>
      <c r="I811" t="s">
        <v>766</v>
      </c>
      <c r="J811" s="1">
        <v>0.51200000000000001</v>
      </c>
      <c r="K811">
        <v>95.5</v>
      </c>
      <c r="L811">
        <v>6.5</v>
      </c>
      <c r="M811">
        <v>3.01</v>
      </c>
      <c r="N811">
        <v>3.25</v>
      </c>
      <c r="O811" t="s">
        <v>818</v>
      </c>
      <c r="Q811" s="4">
        <v>2.3361111111111112</v>
      </c>
      <c r="R811">
        <v>9.6</v>
      </c>
      <c r="S811">
        <v>9.07</v>
      </c>
      <c r="T811">
        <v>0</v>
      </c>
      <c r="U811">
        <v>0</v>
      </c>
      <c r="V811">
        <v>0</v>
      </c>
      <c r="W811">
        <v>100</v>
      </c>
      <c r="Y811">
        <v>53</v>
      </c>
      <c r="Z811">
        <v>0</v>
      </c>
      <c r="AA811">
        <v>0</v>
      </c>
    </row>
    <row r="812" spans="1:30" x14ac:dyDescent="0.2">
      <c r="A812" t="s">
        <v>211</v>
      </c>
      <c r="C812">
        <v>0</v>
      </c>
      <c r="D812" t="s">
        <v>17</v>
      </c>
      <c r="E812">
        <v>4700</v>
      </c>
      <c r="F812" t="s">
        <v>488</v>
      </c>
      <c r="G812" t="s">
        <v>781</v>
      </c>
      <c r="H812" s="2">
        <v>0.91666666666666663</v>
      </c>
      <c r="I812" t="s">
        <v>766</v>
      </c>
      <c r="J812" s="1">
        <v>0.53500000000000003</v>
      </c>
      <c r="K812">
        <v>87</v>
      </c>
      <c r="L812">
        <v>6</v>
      </c>
      <c r="M812">
        <v>3</v>
      </c>
      <c r="N812">
        <v>3.14</v>
      </c>
      <c r="O812">
        <v>2</v>
      </c>
      <c r="P812">
        <v>2</v>
      </c>
      <c r="Q812" s="3">
        <v>0.96388888888888891</v>
      </c>
      <c r="R812">
        <v>9.6</v>
      </c>
      <c r="S812">
        <v>6.87</v>
      </c>
      <c r="T812">
        <v>23.94</v>
      </c>
      <c r="U812">
        <v>10.199999999999999</v>
      </c>
      <c r="V812">
        <v>10.199999999999999</v>
      </c>
      <c r="W812">
        <v>100</v>
      </c>
      <c r="Y812">
        <v>64</v>
      </c>
      <c r="Z812">
        <v>2.2000000000000002</v>
      </c>
      <c r="AA812">
        <v>0</v>
      </c>
      <c r="AB812" s="4">
        <v>1.0916666666666666</v>
      </c>
      <c r="AC812">
        <v>13.8</v>
      </c>
      <c r="AD812">
        <v>2.9</v>
      </c>
    </row>
    <row r="813" spans="1:30" x14ac:dyDescent="0.2">
      <c r="A813" t="s">
        <v>861</v>
      </c>
      <c r="C813">
        <v>0</v>
      </c>
      <c r="D813" t="s">
        <v>7</v>
      </c>
      <c r="E813">
        <v>6500</v>
      </c>
      <c r="F813" t="s">
        <v>496</v>
      </c>
      <c r="G813" t="s">
        <v>787</v>
      </c>
      <c r="H813" s="2">
        <v>0.79166666666666663</v>
      </c>
      <c r="I813" t="s">
        <v>766</v>
      </c>
      <c r="J813" s="1">
        <v>0.48199999999999998</v>
      </c>
      <c r="K813">
        <v>107.5</v>
      </c>
      <c r="L813">
        <v>5.5</v>
      </c>
      <c r="M813">
        <v>2.75</v>
      </c>
      <c r="N813">
        <v>3.2</v>
      </c>
      <c r="O813" t="s">
        <v>818</v>
      </c>
      <c r="Q813" s="4">
        <v>1.925</v>
      </c>
      <c r="R813">
        <v>3.5</v>
      </c>
      <c r="S813">
        <v>2.86</v>
      </c>
      <c r="T813">
        <v>0</v>
      </c>
      <c r="U813">
        <v>0</v>
      </c>
      <c r="V813">
        <v>0</v>
      </c>
      <c r="W813">
        <v>100</v>
      </c>
      <c r="Y813">
        <v>59</v>
      </c>
      <c r="Z813">
        <v>0</v>
      </c>
      <c r="AA813">
        <v>0</v>
      </c>
    </row>
    <row r="814" spans="1:30" x14ac:dyDescent="0.2">
      <c r="A814" t="s">
        <v>704</v>
      </c>
      <c r="C814">
        <v>0</v>
      </c>
      <c r="D814" t="s">
        <v>5</v>
      </c>
      <c r="E814">
        <v>2500</v>
      </c>
      <c r="F814" t="s">
        <v>489</v>
      </c>
      <c r="G814" t="s">
        <v>788</v>
      </c>
      <c r="H814" s="2">
        <v>0.91666666666666663</v>
      </c>
      <c r="I814" t="s">
        <v>762</v>
      </c>
      <c r="J814" s="1">
        <v>0.48799999999999999</v>
      </c>
      <c r="K814">
        <v>-95.5</v>
      </c>
      <c r="L814">
        <v>6.5</v>
      </c>
      <c r="M814">
        <v>3.25</v>
      </c>
      <c r="N814">
        <v>3.01</v>
      </c>
      <c r="O814">
        <v>4</v>
      </c>
      <c r="Q814" s="3">
        <v>0.52430555555555558</v>
      </c>
      <c r="R814">
        <v>2.2999999999999998</v>
      </c>
      <c r="S814">
        <v>3.15</v>
      </c>
      <c r="T814">
        <v>9.75</v>
      </c>
      <c r="U814">
        <v>3.45</v>
      </c>
      <c r="V814">
        <v>3.45</v>
      </c>
      <c r="W814">
        <v>100</v>
      </c>
      <c r="Y814">
        <v>32</v>
      </c>
      <c r="Z814">
        <v>1.4</v>
      </c>
      <c r="AA814">
        <v>0</v>
      </c>
      <c r="AB814" s="3">
        <v>0.40416666666666667</v>
      </c>
      <c r="AC814">
        <v>8.4</v>
      </c>
      <c r="AD814">
        <v>3.4</v>
      </c>
    </row>
    <row r="815" spans="1:30" x14ac:dyDescent="0.2">
      <c r="A815" t="s">
        <v>131</v>
      </c>
      <c r="C815">
        <v>0</v>
      </c>
      <c r="D815" t="s">
        <v>10</v>
      </c>
      <c r="E815">
        <v>5900</v>
      </c>
      <c r="F815" t="s">
        <v>777</v>
      </c>
      <c r="G815" t="s">
        <v>778</v>
      </c>
      <c r="H815" s="2">
        <v>0.79166666666666663</v>
      </c>
      <c r="I815" t="s">
        <v>762</v>
      </c>
      <c r="J815" s="1">
        <v>0.46400000000000002</v>
      </c>
      <c r="K815">
        <v>-86.5</v>
      </c>
      <c r="L815">
        <v>6</v>
      </c>
      <c r="M815">
        <v>3.19</v>
      </c>
      <c r="N815">
        <v>3</v>
      </c>
      <c r="O815">
        <v>3</v>
      </c>
      <c r="P815">
        <v>2</v>
      </c>
      <c r="Q815" s="3">
        <v>0.77430555555555558</v>
      </c>
      <c r="R815">
        <v>10.199999999999999</v>
      </c>
      <c r="S815">
        <v>7.01</v>
      </c>
      <c r="T815">
        <v>25.61</v>
      </c>
      <c r="U815">
        <v>11.59</v>
      </c>
      <c r="V815">
        <v>11.59</v>
      </c>
      <c r="W815">
        <v>100</v>
      </c>
      <c r="Y815">
        <v>66</v>
      </c>
      <c r="Z815">
        <v>2</v>
      </c>
      <c r="AA815">
        <v>0</v>
      </c>
      <c r="AB815" s="3">
        <v>0.82013888888888886</v>
      </c>
      <c r="AC815">
        <v>10.5</v>
      </c>
      <c r="AD815">
        <v>1.8</v>
      </c>
    </row>
    <row r="816" spans="1:30" x14ac:dyDescent="0.2">
      <c r="A816" t="s">
        <v>570</v>
      </c>
      <c r="C816">
        <v>0</v>
      </c>
      <c r="D816" t="s">
        <v>17</v>
      </c>
      <c r="E816">
        <v>3000</v>
      </c>
      <c r="F816" t="s">
        <v>764</v>
      </c>
      <c r="G816" t="s">
        <v>765</v>
      </c>
      <c r="H816" s="2">
        <v>0.875</v>
      </c>
      <c r="I816" t="s">
        <v>766</v>
      </c>
      <c r="J816" s="1">
        <v>0.47099999999999997</v>
      </c>
      <c r="K816">
        <v>112.5</v>
      </c>
      <c r="L816">
        <v>7</v>
      </c>
      <c r="M816">
        <v>3.5</v>
      </c>
      <c r="N816">
        <v>4.05</v>
      </c>
      <c r="O816">
        <v>2</v>
      </c>
      <c r="Q816" s="3">
        <v>0.84097222222222223</v>
      </c>
      <c r="R816">
        <v>5.6</v>
      </c>
      <c r="S816">
        <v>3.78</v>
      </c>
      <c r="T816">
        <v>14.64</v>
      </c>
      <c r="U816">
        <v>7.08</v>
      </c>
      <c r="V816">
        <v>7.08</v>
      </c>
      <c r="W816">
        <v>100</v>
      </c>
      <c r="Y816">
        <v>66</v>
      </c>
      <c r="Z816">
        <v>2.4</v>
      </c>
      <c r="AA816">
        <v>0</v>
      </c>
      <c r="AB816" s="4">
        <v>1.038888888888889</v>
      </c>
      <c r="AC816">
        <v>9.1</v>
      </c>
      <c r="AD816">
        <v>3</v>
      </c>
    </row>
    <row r="817" spans="1:30" x14ac:dyDescent="0.2">
      <c r="A817" t="s">
        <v>513</v>
      </c>
      <c r="C817">
        <v>0</v>
      </c>
      <c r="D817" t="s">
        <v>17</v>
      </c>
      <c r="E817">
        <v>2500</v>
      </c>
      <c r="F817" t="s">
        <v>493</v>
      </c>
      <c r="G817" t="s">
        <v>789</v>
      </c>
      <c r="H817" s="2">
        <v>0.83333333333333337</v>
      </c>
      <c r="I817" t="s">
        <v>762</v>
      </c>
      <c r="J817" s="1">
        <v>0.48699999999999999</v>
      </c>
      <c r="K817">
        <v>-95</v>
      </c>
      <c r="L817">
        <v>5.5</v>
      </c>
      <c r="M817">
        <v>2.75</v>
      </c>
      <c r="N817">
        <v>2.54</v>
      </c>
      <c r="O817">
        <v>3</v>
      </c>
      <c r="Q817" s="3">
        <v>0.50069444444444444</v>
      </c>
      <c r="R817">
        <v>5.7</v>
      </c>
      <c r="S817">
        <v>6.87</v>
      </c>
      <c r="T817">
        <v>18.399999999999999</v>
      </c>
      <c r="U817">
        <v>4.66</v>
      </c>
      <c r="V817">
        <v>4.66</v>
      </c>
      <c r="W817">
        <v>100</v>
      </c>
      <c r="Y817">
        <v>40</v>
      </c>
      <c r="Z817">
        <v>1.9</v>
      </c>
      <c r="AA817">
        <v>0</v>
      </c>
      <c r="AB817" s="3">
        <v>0.39444444444444443</v>
      </c>
      <c r="AC817">
        <v>0</v>
      </c>
    </row>
    <row r="818" spans="1:30" x14ac:dyDescent="0.2">
      <c r="A818" t="s">
        <v>220</v>
      </c>
      <c r="C818">
        <v>0</v>
      </c>
      <c r="D818" t="s">
        <v>17</v>
      </c>
      <c r="E818">
        <v>2700</v>
      </c>
      <c r="F818" t="s">
        <v>510</v>
      </c>
      <c r="G818" t="s">
        <v>802</v>
      </c>
      <c r="H818" s="2">
        <v>0.91666666666666663</v>
      </c>
      <c r="I818" t="s">
        <v>766</v>
      </c>
      <c r="J818" s="1">
        <v>0.51200000000000001</v>
      </c>
      <c r="K818">
        <v>95.5</v>
      </c>
      <c r="L818">
        <v>6.5</v>
      </c>
      <c r="M818">
        <v>3.01</v>
      </c>
      <c r="N818">
        <v>3.25</v>
      </c>
      <c r="O818">
        <v>3</v>
      </c>
      <c r="P818">
        <v>2</v>
      </c>
      <c r="Q818" s="3">
        <v>0.62013888888888891</v>
      </c>
      <c r="R818">
        <v>4.7</v>
      </c>
      <c r="S818">
        <v>3.79</v>
      </c>
      <c r="T818">
        <v>13.19</v>
      </c>
      <c r="U818">
        <v>5.61</v>
      </c>
      <c r="V818">
        <v>5.61</v>
      </c>
      <c r="W818">
        <v>100</v>
      </c>
      <c r="Y818">
        <v>60</v>
      </c>
      <c r="Z818">
        <v>2.1</v>
      </c>
      <c r="AA818">
        <v>0</v>
      </c>
      <c r="AB818" s="3">
        <v>0.64722222222222225</v>
      </c>
      <c r="AC818">
        <v>2.6</v>
      </c>
      <c r="AD818">
        <v>1</v>
      </c>
    </row>
    <row r="819" spans="1:30" x14ac:dyDescent="0.2">
      <c r="A819" t="s">
        <v>325</v>
      </c>
      <c r="C819">
        <v>0</v>
      </c>
      <c r="D819" t="s">
        <v>10</v>
      </c>
      <c r="E819">
        <v>6200</v>
      </c>
      <c r="F819" t="s">
        <v>500</v>
      </c>
      <c r="G819" t="s">
        <v>785</v>
      </c>
      <c r="H819" s="2">
        <v>0.8125</v>
      </c>
      <c r="I819" t="s">
        <v>766</v>
      </c>
      <c r="J819" s="1">
        <v>0.56000000000000005</v>
      </c>
      <c r="K819">
        <v>78.5</v>
      </c>
      <c r="L819">
        <v>6.5</v>
      </c>
      <c r="M819">
        <v>3.25</v>
      </c>
      <c r="N819">
        <v>3.43</v>
      </c>
      <c r="O819">
        <v>2</v>
      </c>
      <c r="P819">
        <v>1</v>
      </c>
      <c r="Q819" s="3">
        <v>0.80486111111111114</v>
      </c>
      <c r="R819">
        <v>11.6</v>
      </c>
      <c r="S819">
        <v>9.11</v>
      </c>
      <c r="T819">
        <v>32.380000000000003</v>
      </c>
      <c r="U819">
        <v>14.16</v>
      </c>
      <c r="V819">
        <v>14.16</v>
      </c>
      <c r="W819">
        <v>100</v>
      </c>
      <c r="Y819">
        <v>61</v>
      </c>
      <c r="Z819">
        <v>2.2999999999999998</v>
      </c>
      <c r="AA819">
        <v>0</v>
      </c>
      <c r="AB819" s="3">
        <v>0.88402777777777775</v>
      </c>
      <c r="AC819">
        <v>2.6</v>
      </c>
      <c r="AD819">
        <v>0.4</v>
      </c>
    </row>
    <row r="820" spans="1:30" x14ac:dyDescent="0.2">
      <c r="A820" t="s">
        <v>204</v>
      </c>
      <c r="C820">
        <v>0</v>
      </c>
      <c r="D820" t="s">
        <v>5</v>
      </c>
      <c r="E820">
        <v>6100</v>
      </c>
      <c r="F820" t="s">
        <v>483</v>
      </c>
      <c r="G820" t="s">
        <v>772</v>
      </c>
      <c r="H820" s="2">
        <v>0.91666666666666663</v>
      </c>
      <c r="I820" t="s">
        <v>762</v>
      </c>
      <c r="J820" s="1">
        <v>0.46500000000000002</v>
      </c>
      <c r="K820">
        <v>-87</v>
      </c>
      <c r="L820">
        <v>6</v>
      </c>
      <c r="M820">
        <v>3.14</v>
      </c>
      <c r="N820">
        <v>3</v>
      </c>
      <c r="O820">
        <v>3</v>
      </c>
      <c r="P820">
        <v>1</v>
      </c>
      <c r="Q820" s="3">
        <v>0.74305555555555558</v>
      </c>
      <c r="R820">
        <v>11.2</v>
      </c>
      <c r="S820">
        <v>8.8800000000000008</v>
      </c>
      <c r="T820">
        <v>31.45</v>
      </c>
      <c r="U820">
        <v>13.69</v>
      </c>
      <c r="V820">
        <v>13.69</v>
      </c>
      <c r="W820">
        <v>100</v>
      </c>
      <c r="Y820">
        <v>60</v>
      </c>
      <c r="Z820">
        <v>2.2000000000000002</v>
      </c>
      <c r="AA820">
        <v>0</v>
      </c>
      <c r="AB820" s="3">
        <v>0.63680555555555551</v>
      </c>
      <c r="AC820">
        <v>5</v>
      </c>
      <c r="AD820">
        <v>0.8</v>
      </c>
    </row>
    <row r="821" spans="1:30" x14ac:dyDescent="0.2">
      <c r="A821" t="s">
        <v>988</v>
      </c>
      <c r="C821">
        <v>0</v>
      </c>
      <c r="D821" t="s">
        <v>5</v>
      </c>
      <c r="E821">
        <v>2500</v>
      </c>
      <c r="F821" t="s">
        <v>493</v>
      </c>
      <c r="G821" t="s">
        <v>789</v>
      </c>
      <c r="H821" s="2">
        <v>0.83333333333333337</v>
      </c>
      <c r="I821" t="s">
        <v>762</v>
      </c>
      <c r="J821" s="1">
        <v>0.48699999999999999</v>
      </c>
      <c r="K821">
        <v>-95</v>
      </c>
      <c r="L821">
        <v>5.5</v>
      </c>
      <c r="M821">
        <v>2.75</v>
      </c>
      <c r="N821">
        <v>2.54</v>
      </c>
      <c r="T821">
        <v>0</v>
      </c>
      <c r="U821">
        <v>0</v>
      </c>
      <c r="V821">
        <v>0</v>
      </c>
      <c r="W821">
        <v>100</v>
      </c>
      <c r="Y821">
        <v>0</v>
      </c>
      <c r="Z821">
        <v>0</v>
      </c>
      <c r="AA821">
        <v>0</v>
      </c>
    </row>
    <row r="822" spans="1:30" x14ac:dyDescent="0.2">
      <c r="A822" t="s">
        <v>148</v>
      </c>
      <c r="C822">
        <v>0</v>
      </c>
      <c r="D822" t="s">
        <v>5</v>
      </c>
      <c r="E822">
        <v>3500</v>
      </c>
      <c r="F822" t="s">
        <v>499</v>
      </c>
      <c r="G822" t="s">
        <v>775</v>
      </c>
      <c r="H822" s="2">
        <v>0.79166666666666663</v>
      </c>
      <c r="I822" t="s">
        <v>762</v>
      </c>
      <c r="J822" s="1">
        <v>0.50700000000000001</v>
      </c>
      <c r="K822">
        <v>-103</v>
      </c>
      <c r="L822">
        <v>6.5</v>
      </c>
      <c r="M822">
        <v>3.71</v>
      </c>
      <c r="N822">
        <v>3.25</v>
      </c>
      <c r="O822">
        <v>2</v>
      </c>
      <c r="P822">
        <v>2</v>
      </c>
      <c r="Q822" s="3">
        <v>0.56041666666666667</v>
      </c>
      <c r="R822">
        <v>6.2</v>
      </c>
      <c r="S822">
        <v>5.31</v>
      </c>
      <c r="T822">
        <v>20.74</v>
      </c>
      <c r="U822">
        <v>10.119999999999999</v>
      </c>
      <c r="V822">
        <v>10.119999999999999</v>
      </c>
      <c r="W822">
        <v>100</v>
      </c>
      <c r="Y822">
        <v>57</v>
      </c>
      <c r="Z822">
        <v>2.9</v>
      </c>
      <c r="AA822">
        <v>0</v>
      </c>
      <c r="AB822" s="3">
        <v>0.625</v>
      </c>
      <c r="AC822">
        <v>4.5</v>
      </c>
      <c r="AD822">
        <v>1.3</v>
      </c>
    </row>
    <row r="823" spans="1:30" x14ac:dyDescent="0.2">
      <c r="A823" t="s">
        <v>985</v>
      </c>
      <c r="C823">
        <v>0</v>
      </c>
      <c r="D823" t="s">
        <v>17</v>
      </c>
      <c r="E823">
        <v>2500</v>
      </c>
      <c r="F823" t="s">
        <v>504</v>
      </c>
      <c r="G823" t="s">
        <v>799</v>
      </c>
      <c r="H823" s="2">
        <v>0.83333333333333337</v>
      </c>
      <c r="I823" t="s">
        <v>766</v>
      </c>
      <c r="J823" s="1">
        <v>0.51300000000000001</v>
      </c>
      <c r="K823">
        <v>95</v>
      </c>
      <c r="L823">
        <v>5.5</v>
      </c>
      <c r="M823">
        <v>2.54</v>
      </c>
      <c r="N823">
        <v>2.75</v>
      </c>
      <c r="T823">
        <v>0</v>
      </c>
      <c r="U823">
        <v>0</v>
      </c>
      <c r="V823">
        <v>0</v>
      </c>
      <c r="W823">
        <v>100</v>
      </c>
      <c r="Y823">
        <v>0</v>
      </c>
      <c r="Z823">
        <v>0</v>
      </c>
      <c r="AA823">
        <v>0</v>
      </c>
    </row>
    <row r="824" spans="1:30" x14ac:dyDescent="0.2">
      <c r="A824" t="s">
        <v>624</v>
      </c>
      <c r="C824">
        <v>0</v>
      </c>
      <c r="D824" t="s">
        <v>17</v>
      </c>
      <c r="E824">
        <v>2500</v>
      </c>
      <c r="F824" t="s">
        <v>492</v>
      </c>
      <c r="G824" t="s">
        <v>774</v>
      </c>
      <c r="H824" s="2">
        <v>0.8125</v>
      </c>
      <c r="I824" t="s">
        <v>762</v>
      </c>
      <c r="J824" s="1">
        <v>0.44</v>
      </c>
      <c r="K824">
        <v>-78.5</v>
      </c>
      <c r="L824">
        <v>6.5</v>
      </c>
      <c r="M824">
        <v>3.43</v>
      </c>
      <c r="N824">
        <v>3.25</v>
      </c>
      <c r="O824">
        <v>3</v>
      </c>
      <c r="Q824" s="3">
        <v>0.60555555555555551</v>
      </c>
      <c r="R824">
        <v>3.9</v>
      </c>
      <c r="S824">
        <v>3.27</v>
      </c>
      <c r="T824">
        <v>12.18</v>
      </c>
      <c r="U824">
        <v>5.64</v>
      </c>
      <c r="V824">
        <v>5.64</v>
      </c>
      <c r="W824">
        <v>100</v>
      </c>
      <c r="Y824">
        <v>58</v>
      </c>
      <c r="Z824">
        <v>2.2999999999999998</v>
      </c>
      <c r="AA824">
        <v>0</v>
      </c>
      <c r="AB824" s="3">
        <v>0.5805555555555556</v>
      </c>
      <c r="AC824">
        <v>8.1999999999999993</v>
      </c>
      <c r="AD824">
        <v>3.3</v>
      </c>
    </row>
    <row r="825" spans="1:30" x14ac:dyDescent="0.2">
      <c r="A825" t="s">
        <v>454</v>
      </c>
      <c r="C825">
        <v>0</v>
      </c>
      <c r="D825" t="s">
        <v>10</v>
      </c>
      <c r="E825">
        <v>5500</v>
      </c>
      <c r="F825" t="s">
        <v>509</v>
      </c>
      <c r="G825" t="s">
        <v>791</v>
      </c>
      <c r="H825" s="2">
        <v>0.79166666666666663</v>
      </c>
      <c r="I825" t="s">
        <v>766</v>
      </c>
      <c r="J825" s="1">
        <v>0.51900000000000002</v>
      </c>
      <c r="K825">
        <v>92.5</v>
      </c>
      <c r="L825">
        <v>6.5</v>
      </c>
      <c r="M825">
        <v>3.25</v>
      </c>
      <c r="N825">
        <v>3.62</v>
      </c>
      <c r="O825">
        <v>1</v>
      </c>
      <c r="P825">
        <v>1</v>
      </c>
      <c r="Q825" s="3">
        <v>0.78402777777777777</v>
      </c>
      <c r="R825">
        <v>10.9</v>
      </c>
      <c r="S825">
        <v>7.99</v>
      </c>
      <c r="T825">
        <v>30</v>
      </c>
      <c r="U825">
        <v>14.02</v>
      </c>
      <c r="V825">
        <v>14.02</v>
      </c>
      <c r="W825">
        <v>100</v>
      </c>
      <c r="Y825">
        <v>63</v>
      </c>
      <c r="Z825">
        <v>2.5</v>
      </c>
      <c r="AA825">
        <v>0</v>
      </c>
      <c r="AB825" s="3">
        <v>0.72986111111111107</v>
      </c>
      <c r="AC825">
        <v>24</v>
      </c>
      <c r="AD825">
        <v>4.4000000000000004</v>
      </c>
    </row>
    <row r="826" spans="1:30" x14ac:dyDescent="0.2">
      <c r="A826" t="s">
        <v>608</v>
      </c>
      <c r="C826">
        <v>0</v>
      </c>
      <c r="D826" t="s">
        <v>17</v>
      </c>
      <c r="E826">
        <v>2500</v>
      </c>
      <c r="F826" t="s">
        <v>494</v>
      </c>
      <c r="G826" t="s">
        <v>782</v>
      </c>
      <c r="H826" s="2">
        <v>0.79166666666666663</v>
      </c>
      <c r="I826" t="s">
        <v>762</v>
      </c>
      <c r="J826" s="1">
        <v>0.47199999999999998</v>
      </c>
      <c r="K826">
        <v>-89.5</v>
      </c>
      <c r="L826">
        <v>6</v>
      </c>
      <c r="M826">
        <v>3</v>
      </c>
      <c r="N826">
        <v>2.82</v>
      </c>
      <c r="Q826" s="3">
        <v>0.48055555555555557</v>
      </c>
      <c r="R826">
        <v>2.8</v>
      </c>
      <c r="S826">
        <v>4.5999999999999996</v>
      </c>
      <c r="T826">
        <v>0</v>
      </c>
      <c r="U826">
        <v>0</v>
      </c>
      <c r="V826">
        <v>0</v>
      </c>
      <c r="W826">
        <v>100</v>
      </c>
      <c r="Y826">
        <v>18</v>
      </c>
      <c r="Z826">
        <v>0</v>
      </c>
      <c r="AA826">
        <v>0</v>
      </c>
    </row>
    <row r="827" spans="1:30" x14ac:dyDescent="0.2">
      <c r="A827" t="s">
        <v>102</v>
      </c>
      <c r="C827">
        <v>0</v>
      </c>
      <c r="D827" t="s">
        <v>17</v>
      </c>
      <c r="E827">
        <v>3600</v>
      </c>
      <c r="F827" t="s">
        <v>509</v>
      </c>
      <c r="G827" t="s">
        <v>791</v>
      </c>
      <c r="H827" s="2">
        <v>0.79166666666666663</v>
      </c>
      <c r="I827" t="s">
        <v>766</v>
      </c>
      <c r="J827" s="1">
        <v>0.51900000000000002</v>
      </c>
      <c r="K827">
        <v>92.5</v>
      </c>
      <c r="L827">
        <v>6.5</v>
      </c>
      <c r="M827">
        <v>3.25</v>
      </c>
      <c r="N827">
        <v>3.62</v>
      </c>
      <c r="O827">
        <v>1</v>
      </c>
      <c r="Q827" s="4">
        <v>1.0013888888888889</v>
      </c>
      <c r="R827">
        <v>7.8</v>
      </c>
      <c r="S827">
        <v>5.33</v>
      </c>
      <c r="T827">
        <v>20.149999999999999</v>
      </c>
      <c r="U827">
        <v>9.49</v>
      </c>
      <c r="V827">
        <v>9.49</v>
      </c>
      <c r="W827">
        <v>100</v>
      </c>
      <c r="Y827">
        <v>66</v>
      </c>
      <c r="Z827">
        <v>2.6</v>
      </c>
      <c r="AA827">
        <v>0</v>
      </c>
      <c r="AB827" s="3">
        <v>0.90347222222222223</v>
      </c>
      <c r="AC827">
        <v>2.8</v>
      </c>
      <c r="AD827">
        <v>0.8</v>
      </c>
    </row>
    <row r="828" spans="1:30" x14ac:dyDescent="0.2">
      <c r="A828" t="s">
        <v>436</v>
      </c>
      <c r="C828">
        <v>0</v>
      </c>
      <c r="D828" t="s">
        <v>10</v>
      </c>
      <c r="E828">
        <v>2500</v>
      </c>
      <c r="F828" t="s">
        <v>480</v>
      </c>
      <c r="G828" t="s">
        <v>761</v>
      </c>
      <c r="H828" s="2">
        <v>0.875</v>
      </c>
      <c r="I828" t="s">
        <v>762</v>
      </c>
      <c r="J828" s="1">
        <v>0.52900000000000003</v>
      </c>
      <c r="K828">
        <v>-112.5</v>
      </c>
      <c r="L828">
        <v>7</v>
      </c>
      <c r="M828">
        <v>4.05</v>
      </c>
      <c r="N828">
        <v>3.5</v>
      </c>
      <c r="O828">
        <v>4</v>
      </c>
      <c r="Q828" s="3">
        <v>0.45555555555555555</v>
      </c>
      <c r="R828">
        <v>2.2999999999999998</v>
      </c>
      <c r="S828">
        <v>3.38</v>
      </c>
      <c r="T828">
        <v>9.51</v>
      </c>
      <c r="U828">
        <v>2.75</v>
      </c>
      <c r="V828">
        <v>2.75</v>
      </c>
      <c r="W828">
        <v>100</v>
      </c>
      <c r="Y828">
        <v>27</v>
      </c>
      <c r="Z828">
        <v>1.1000000000000001</v>
      </c>
      <c r="AA828">
        <v>0</v>
      </c>
      <c r="AB828" s="3">
        <v>0.35138888888888886</v>
      </c>
      <c r="AC828">
        <v>3</v>
      </c>
      <c r="AD828">
        <v>1.2</v>
      </c>
    </row>
    <row r="829" spans="1:30" x14ac:dyDescent="0.2">
      <c r="A829" t="s">
        <v>456</v>
      </c>
      <c r="C829">
        <v>0</v>
      </c>
      <c r="D829" t="s">
        <v>7</v>
      </c>
      <c r="E829">
        <v>6500</v>
      </c>
      <c r="F829" t="s">
        <v>478</v>
      </c>
      <c r="G829" t="s">
        <v>763</v>
      </c>
      <c r="H829" s="2">
        <v>0.79166666666666663</v>
      </c>
      <c r="I829" t="s">
        <v>762</v>
      </c>
      <c r="J829" s="1">
        <v>0.44900000000000001</v>
      </c>
      <c r="K829">
        <v>-81.5</v>
      </c>
      <c r="L829">
        <v>6.5</v>
      </c>
      <c r="M829">
        <v>3.25</v>
      </c>
      <c r="N829">
        <v>3.17</v>
      </c>
      <c r="O829" t="s">
        <v>818</v>
      </c>
      <c r="Q829" s="4">
        <v>2.2006944444444443</v>
      </c>
      <c r="R829">
        <v>12.7</v>
      </c>
      <c r="S829">
        <v>10.8</v>
      </c>
      <c r="T829">
        <v>0</v>
      </c>
      <c r="U829">
        <v>0</v>
      </c>
      <c r="V829">
        <v>0</v>
      </c>
      <c r="W829">
        <v>100</v>
      </c>
      <c r="Y829">
        <v>57</v>
      </c>
      <c r="Z829">
        <v>0</v>
      </c>
      <c r="AA829">
        <v>0</v>
      </c>
    </row>
    <row r="830" spans="1:30" x14ac:dyDescent="0.2">
      <c r="A830" t="s">
        <v>323</v>
      </c>
      <c r="C830">
        <v>0</v>
      </c>
      <c r="D830" t="s">
        <v>10</v>
      </c>
      <c r="E830">
        <v>3600</v>
      </c>
      <c r="F830" t="s">
        <v>794</v>
      </c>
      <c r="G830" t="s">
        <v>795</v>
      </c>
      <c r="H830" s="2">
        <v>0.79166666666666663</v>
      </c>
      <c r="I830" t="s">
        <v>766</v>
      </c>
      <c r="J830" s="1">
        <v>0.56499999999999995</v>
      </c>
      <c r="K830">
        <v>77</v>
      </c>
      <c r="L830">
        <v>5.5</v>
      </c>
      <c r="M830">
        <v>2.75</v>
      </c>
      <c r="N830">
        <v>2.87</v>
      </c>
      <c r="O830">
        <v>2</v>
      </c>
      <c r="Q830" s="3">
        <v>0.6645833333333333</v>
      </c>
      <c r="R830">
        <v>6.2</v>
      </c>
      <c r="S830">
        <v>5.0199999999999996</v>
      </c>
      <c r="T830">
        <v>15.91</v>
      </c>
      <c r="U830">
        <v>5.87</v>
      </c>
      <c r="V830">
        <v>5.87</v>
      </c>
      <c r="W830">
        <v>100</v>
      </c>
      <c r="Y830">
        <v>60</v>
      </c>
      <c r="Z830">
        <v>1.6</v>
      </c>
      <c r="AA830">
        <v>0</v>
      </c>
      <c r="AB830" s="3">
        <v>0.67638888888888893</v>
      </c>
      <c r="AC830">
        <v>3</v>
      </c>
      <c r="AD830">
        <v>0.8</v>
      </c>
    </row>
    <row r="831" spans="1:30" x14ac:dyDescent="0.2">
      <c r="A831" t="s">
        <v>395</v>
      </c>
      <c r="C831">
        <v>0</v>
      </c>
      <c r="D831" t="s">
        <v>17</v>
      </c>
      <c r="E831">
        <v>2500</v>
      </c>
      <c r="F831" t="s">
        <v>500</v>
      </c>
      <c r="G831" t="s">
        <v>785</v>
      </c>
      <c r="H831" s="2">
        <v>0.8125</v>
      </c>
      <c r="I831" t="s">
        <v>766</v>
      </c>
      <c r="J831" s="1">
        <v>0.56000000000000005</v>
      </c>
      <c r="K831">
        <v>78.5</v>
      </c>
      <c r="L831">
        <v>6.5</v>
      </c>
      <c r="M831">
        <v>3.25</v>
      </c>
      <c r="N831">
        <v>3.43</v>
      </c>
      <c r="O831">
        <v>2</v>
      </c>
      <c r="Q831" s="3">
        <v>0.64375000000000004</v>
      </c>
      <c r="R831">
        <v>3.8</v>
      </c>
      <c r="S831">
        <v>3.17</v>
      </c>
      <c r="T831">
        <v>10.94</v>
      </c>
      <c r="U831">
        <v>4.5999999999999996</v>
      </c>
      <c r="V831">
        <v>4.5999999999999996</v>
      </c>
      <c r="W831">
        <v>100</v>
      </c>
      <c r="Y831">
        <v>58</v>
      </c>
      <c r="Z831">
        <v>1.8</v>
      </c>
      <c r="AA831">
        <v>0</v>
      </c>
      <c r="AB831" s="3">
        <v>0.6791666666666667</v>
      </c>
      <c r="AC831">
        <v>1.5</v>
      </c>
      <c r="AD831">
        <v>0.6</v>
      </c>
    </row>
    <row r="832" spans="1:30" x14ac:dyDescent="0.2">
      <c r="A832" t="s">
        <v>67</v>
      </c>
      <c r="C832">
        <v>0</v>
      </c>
      <c r="D832" t="s">
        <v>10</v>
      </c>
      <c r="E832">
        <v>5300</v>
      </c>
      <c r="F832" t="s">
        <v>509</v>
      </c>
      <c r="G832" t="s">
        <v>791</v>
      </c>
      <c r="H832" s="2">
        <v>0.79166666666666663</v>
      </c>
      <c r="I832" t="s">
        <v>766</v>
      </c>
      <c r="J832" s="1">
        <v>0.51900000000000002</v>
      </c>
      <c r="K832">
        <v>92.5</v>
      </c>
      <c r="L832">
        <v>6.5</v>
      </c>
      <c r="M832">
        <v>3.25</v>
      </c>
      <c r="N832">
        <v>3.62</v>
      </c>
      <c r="O832">
        <v>3</v>
      </c>
      <c r="P832">
        <v>1</v>
      </c>
      <c r="Q832" s="3">
        <v>0.77986111111111112</v>
      </c>
      <c r="R832">
        <v>9.6999999999999993</v>
      </c>
      <c r="S832">
        <v>8.33</v>
      </c>
      <c r="T832">
        <v>28.3</v>
      </c>
      <c r="U832">
        <v>11.64</v>
      </c>
      <c r="V832">
        <v>11.64</v>
      </c>
      <c r="W832">
        <v>100</v>
      </c>
      <c r="Y832">
        <v>57</v>
      </c>
      <c r="Z832">
        <v>2.2000000000000002</v>
      </c>
      <c r="AA832">
        <v>0</v>
      </c>
      <c r="AB832" s="3">
        <v>0.69513888888888886</v>
      </c>
      <c r="AC832">
        <v>1.3</v>
      </c>
      <c r="AD832">
        <v>0.2</v>
      </c>
    </row>
    <row r="833" spans="1:30" x14ac:dyDescent="0.2">
      <c r="A833" t="s">
        <v>971</v>
      </c>
      <c r="C833">
        <v>0</v>
      </c>
      <c r="D833" t="s">
        <v>5</v>
      </c>
      <c r="E833">
        <v>2500</v>
      </c>
      <c r="F833" t="s">
        <v>499</v>
      </c>
      <c r="G833" t="s">
        <v>775</v>
      </c>
      <c r="H833" s="2">
        <v>0.79166666666666663</v>
      </c>
      <c r="I833" t="s">
        <v>762</v>
      </c>
      <c r="J833" s="1">
        <v>0.50700000000000001</v>
      </c>
      <c r="K833">
        <v>-103</v>
      </c>
      <c r="L833">
        <v>6.5</v>
      </c>
      <c r="M833">
        <v>3.71</v>
      </c>
      <c r="N833">
        <v>3.25</v>
      </c>
      <c r="Q833" s="3">
        <v>0.52986111111111112</v>
      </c>
      <c r="R833">
        <v>7.2</v>
      </c>
      <c r="S833">
        <v>4.1500000000000004</v>
      </c>
      <c r="T833">
        <v>0</v>
      </c>
      <c r="U833">
        <v>0</v>
      </c>
      <c r="V833">
        <v>0</v>
      </c>
      <c r="W833">
        <v>100</v>
      </c>
      <c r="Y833">
        <v>0</v>
      </c>
      <c r="Z833">
        <v>0</v>
      </c>
      <c r="AA833">
        <v>0</v>
      </c>
    </row>
    <row r="834" spans="1:30" x14ac:dyDescent="0.2">
      <c r="A834" t="s">
        <v>819</v>
      </c>
      <c r="C834">
        <v>0</v>
      </c>
      <c r="D834" t="s">
        <v>7</v>
      </c>
      <c r="E834">
        <v>8400</v>
      </c>
      <c r="F834" t="s">
        <v>480</v>
      </c>
      <c r="G834" t="s">
        <v>761</v>
      </c>
      <c r="H834" s="2">
        <v>0.875</v>
      </c>
      <c r="I834" t="s">
        <v>762</v>
      </c>
      <c r="J834" s="1">
        <v>0.52900000000000003</v>
      </c>
      <c r="K834">
        <v>-112.5</v>
      </c>
      <c r="L834">
        <v>7</v>
      </c>
      <c r="M834">
        <v>4.05</v>
      </c>
      <c r="N834">
        <v>3.5</v>
      </c>
      <c r="O834" t="s">
        <v>818</v>
      </c>
      <c r="Q834" s="4">
        <v>2.2972222222222221</v>
      </c>
      <c r="R834">
        <v>11.8</v>
      </c>
      <c r="S834">
        <v>10.81</v>
      </c>
      <c r="T834">
        <v>0</v>
      </c>
      <c r="U834">
        <v>0</v>
      </c>
      <c r="V834">
        <v>0</v>
      </c>
      <c r="W834">
        <v>100</v>
      </c>
      <c r="Y834">
        <v>54</v>
      </c>
      <c r="Z834">
        <v>0</v>
      </c>
      <c r="AA834">
        <v>0</v>
      </c>
      <c r="AB834" s="3">
        <v>0</v>
      </c>
      <c r="AC834">
        <v>2</v>
      </c>
      <c r="AD834">
        <v>0.2</v>
      </c>
    </row>
    <row r="835" spans="1:30" x14ac:dyDescent="0.2">
      <c r="A835" t="s">
        <v>930</v>
      </c>
      <c r="C835">
        <v>0</v>
      </c>
      <c r="D835" t="s">
        <v>5</v>
      </c>
      <c r="E835">
        <v>2500</v>
      </c>
      <c r="F835" t="s">
        <v>478</v>
      </c>
      <c r="G835" t="s">
        <v>763</v>
      </c>
      <c r="H835" s="2">
        <v>0.79166666666666663</v>
      </c>
      <c r="I835" t="s">
        <v>762</v>
      </c>
      <c r="J835" s="1">
        <v>0.44900000000000001</v>
      </c>
      <c r="K835">
        <v>-81.5</v>
      </c>
      <c r="L835">
        <v>6.5</v>
      </c>
      <c r="M835">
        <v>3.25</v>
      </c>
      <c r="N835">
        <v>3.17</v>
      </c>
      <c r="Q835" s="3">
        <v>0.34930555555555554</v>
      </c>
      <c r="R835">
        <v>5.8</v>
      </c>
      <c r="S835">
        <v>6.78</v>
      </c>
      <c r="T835">
        <v>0</v>
      </c>
      <c r="U835">
        <v>0</v>
      </c>
      <c r="V835">
        <v>0</v>
      </c>
      <c r="W835">
        <v>100</v>
      </c>
      <c r="Y835">
        <v>42</v>
      </c>
      <c r="Z835">
        <v>0</v>
      </c>
      <c r="AA835">
        <v>0</v>
      </c>
    </row>
    <row r="836" spans="1:30" x14ac:dyDescent="0.2">
      <c r="A836" t="s">
        <v>347</v>
      </c>
      <c r="C836">
        <v>0</v>
      </c>
      <c r="D836" t="s">
        <v>17</v>
      </c>
      <c r="E836">
        <v>2700</v>
      </c>
      <c r="F836" t="s">
        <v>490</v>
      </c>
      <c r="G836" t="s">
        <v>771</v>
      </c>
      <c r="H836" s="2">
        <v>0.91666666666666663</v>
      </c>
      <c r="I836" t="s">
        <v>766</v>
      </c>
      <c r="J836" s="1">
        <v>0.58499999999999996</v>
      </c>
      <c r="K836">
        <v>71</v>
      </c>
      <c r="L836">
        <v>6</v>
      </c>
      <c r="M836">
        <v>3</v>
      </c>
      <c r="N836">
        <v>3.02</v>
      </c>
      <c r="O836">
        <v>3</v>
      </c>
      <c r="Q836" s="3">
        <v>0.7993055555555556</v>
      </c>
      <c r="R836">
        <v>4.5</v>
      </c>
      <c r="S836">
        <v>4.53</v>
      </c>
      <c r="T836">
        <v>15.24</v>
      </c>
      <c r="U836">
        <v>6.18</v>
      </c>
      <c r="V836">
        <v>6.18</v>
      </c>
      <c r="W836">
        <v>100</v>
      </c>
      <c r="Y836">
        <v>50</v>
      </c>
      <c r="Z836">
        <v>2.2999999999999998</v>
      </c>
      <c r="AA836">
        <v>0</v>
      </c>
      <c r="AB836" s="3">
        <v>0.56666666666666665</v>
      </c>
      <c r="AC836">
        <v>5.6</v>
      </c>
      <c r="AD836">
        <v>2.1</v>
      </c>
    </row>
    <row r="837" spans="1:30" x14ac:dyDescent="0.2">
      <c r="A837" t="s">
        <v>407</v>
      </c>
      <c r="C837">
        <v>0</v>
      </c>
      <c r="D837" t="s">
        <v>10</v>
      </c>
      <c r="E837">
        <v>4800</v>
      </c>
      <c r="F837" t="s">
        <v>489</v>
      </c>
      <c r="G837" t="s">
        <v>788</v>
      </c>
      <c r="H837" s="2">
        <v>0.91666666666666663</v>
      </c>
      <c r="I837" t="s">
        <v>762</v>
      </c>
      <c r="J837" s="1">
        <v>0.48799999999999999</v>
      </c>
      <c r="K837">
        <v>-95.5</v>
      </c>
      <c r="L837">
        <v>6.5</v>
      </c>
      <c r="M837">
        <v>3.25</v>
      </c>
      <c r="N837">
        <v>3.01</v>
      </c>
      <c r="Q837" s="3">
        <v>0.77430555555555558</v>
      </c>
      <c r="R837">
        <v>10.1</v>
      </c>
      <c r="S837">
        <v>7.11</v>
      </c>
      <c r="T837">
        <v>0</v>
      </c>
      <c r="U837">
        <v>0</v>
      </c>
      <c r="V837">
        <v>0</v>
      </c>
      <c r="W837">
        <v>100</v>
      </c>
      <c r="Y837">
        <v>65</v>
      </c>
      <c r="Z837">
        <v>0</v>
      </c>
      <c r="AA837">
        <v>0</v>
      </c>
    </row>
    <row r="838" spans="1:30" x14ac:dyDescent="0.2">
      <c r="A838" t="s">
        <v>1010</v>
      </c>
      <c r="C838">
        <v>0</v>
      </c>
      <c r="D838" t="s">
        <v>5</v>
      </c>
      <c r="E838">
        <v>2500</v>
      </c>
      <c r="F838" t="s">
        <v>764</v>
      </c>
      <c r="G838" t="s">
        <v>765</v>
      </c>
      <c r="H838" s="2">
        <v>0.875</v>
      </c>
      <c r="I838" t="s">
        <v>766</v>
      </c>
      <c r="J838" s="1">
        <v>0.47099999999999997</v>
      </c>
      <c r="K838">
        <v>112.5</v>
      </c>
      <c r="L838">
        <v>7</v>
      </c>
      <c r="M838">
        <v>3.5</v>
      </c>
      <c r="N838">
        <v>4.05</v>
      </c>
      <c r="Q838" s="3">
        <v>0.60416666666666663</v>
      </c>
      <c r="R838">
        <v>4.3</v>
      </c>
      <c r="S838">
        <v>3.7</v>
      </c>
      <c r="T838">
        <v>0</v>
      </c>
      <c r="U838">
        <v>0</v>
      </c>
      <c r="V838">
        <v>0</v>
      </c>
      <c r="W838">
        <v>100</v>
      </c>
      <c r="Y838">
        <v>57</v>
      </c>
      <c r="Z838">
        <v>0</v>
      </c>
      <c r="AA838">
        <v>0</v>
      </c>
    </row>
    <row r="839" spans="1:30" x14ac:dyDescent="0.2">
      <c r="A839" t="s">
        <v>425</v>
      </c>
      <c r="C839">
        <v>0</v>
      </c>
      <c r="D839" t="s">
        <v>17</v>
      </c>
      <c r="E839">
        <v>2500</v>
      </c>
      <c r="F839" t="s">
        <v>480</v>
      </c>
      <c r="G839" t="s">
        <v>761</v>
      </c>
      <c r="H839" s="2">
        <v>0.875</v>
      </c>
      <c r="I839" t="s">
        <v>762</v>
      </c>
      <c r="J839" s="1">
        <v>0.52900000000000003</v>
      </c>
      <c r="K839">
        <v>-112.5</v>
      </c>
      <c r="L839">
        <v>7</v>
      </c>
      <c r="M839">
        <v>4.05</v>
      </c>
      <c r="N839">
        <v>3.5</v>
      </c>
      <c r="O839">
        <v>3</v>
      </c>
      <c r="Q839" s="3">
        <v>0.67013888888888884</v>
      </c>
      <c r="R839">
        <v>5.0999999999999996</v>
      </c>
      <c r="S839">
        <v>3.69</v>
      </c>
      <c r="T839">
        <v>15.11</v>
      </c>
      <c r="U839">
        <v>7.73</v>
      </c>
      <c r="V839">
        <v>7.73</v>
      </c>
      <c r="W839">
        <v>100</v>
      </c>
      <c r="Y839">
        <v>64</v>
      </c>
      <c r="Z839">
        <v>3.1</v>
      </c>
      <c r="AA839">
        <v>0</v>
      </c>
      <c r="AB839" s="3">
        <v>0.64930555555555558</v>
      </c>
      <c r="AC839">
        <v>0</v>
      </c>
    </row>
    <row r="840" spans="1:30" x14ac:dyDescent="0.2">
      <c r="A840" t="s">
        <v>905</v>
      </c>
      <c r="C840">
        <v>0</v>
      </c>
      <c r="D840" t="s">
        <v>17</v>
      </c>
      <c r="E840">
        <v>2500</v>
      </c>
      <c r="F840" t="s">
        <v>509</v>
      </c>
      <c r="G840" t="s">
        <v>791</v>
      </c>
      <c r="H840" s="2">
        <v>0.79166666666666663</v>
      </c>
      <c r="I840" t="s">
        <v>766</v>
      </c>
      <c r="J840" s="1">
        <v>0.51900000000000002</v>
      </c>
      <c r="K840">
        <v>92.5</v>
      </c>
      <c r="L840">
        <v>6.5</v>
      </c>
      <c r="M840">
        <v>3.25</v>
      </c>
      <c r="N840">
        <v>3.62</v>
      </c>
      <c r="Q840" s="3">
        <v>0.625</v>
      </c>
      <c r="R840">
        <v>1.4</v>
      </c>
      <c r="S840">
        <v>0.09</v>
      </c>
      <c r="T840">
        <v>0</v>
      </c>
      <c r="U840">
        <v>0</v>
      </c>
      <c r="V840">
        <v>0</v>
      </c>
      <c r="W840">
        <v>100</v>
      </c>
      <c r="Y840">
        <v>97</v>
      </c>
      <c r="Z840">
        <v>0</v>
      </c>
      <c r="AA840">
        <v>0</v>
      </c>
    </row>
    <row r="841" spans="1:30" x14ac:dyDescent="0.2">
      <c r="A841" t="s">
        <v>683</v>
      </c>
      <c r="C841">
        <v>0</v>
      </c>
      <c r="D841" t="s">
        <v>10</v>
      </c>
      <c r="E841">
        <v>2500</v>
      </c>
      <c r="F841" t="s">
        <v>505</v>
      </c>
      <c r="G841" t="s">
        <v>793</v>
      </c>
      <c r="H841" s="2">
        <v>0.91666666666666663</v>
      </c>
      <c r="I841" t="s">
        <v>762</v>
      </c>
      <c r="J841" s="1">
        <v>0.41499999999999998</v>
      </c>
      <c r="K841">
        <v>-71</v>
      </c>
      <c r="L841">
        <v>6</v>
      </c>
      <c r="M841">
        <v>3.02</v>
      </c>
      <c r="N841">
        <v>3</v>
      </c>
      <c r="Q841" s="3">
        <v>0.44861111111111113</v>
      </c>
      <c r="R841">
        <v>3.2</v>
      </c>
      <c r="S841">
        <v>3.73</v>
      </c>
      <c r="T841">
        <v>0</v>
      </c>
      <c r="U841">
        <v>0</v>
      </c>
      <c r="V841">
        <v>0</v>
      </c>
      <c r="W841">
        <v>100</v>
      </c>
      <c r="Y841">
        <v>42</v>
      </c>
      <c r="Z841">
        <v>0</v>
      </c>
      <c r="AA841">
        <v>0</v>
      </c>
    </row>
    <row r="842" spans="1:30" x14ac:dyDescent="0.2">
      <c r="A842" t="s">
        <v>28</v>
      </c>
      <c r="C842">
        <v>0</v>
      </c>
      <c r="D842" t="s">
        <v>10</v>
      </c>
      <c r="E842">
        <v>4100</v>
      </c>
      <c r="F842" t="s">
        <v>491</v>
      </c>
      <c r="G842" t="s">
        <v>773</v>
      </c>
      <c r="H842" s="2">
        <v>0.79166666666666663</v>
      </c>
      <c r="I842" t="s">
        <v>766</v>
      </c>
      <c r="J842" s="1">
        <v>0.49299999999999999</v>
      </c>
      <c r="K842">
        <v>103</v>
      </c>
      <c r="L842">
        <v>6.5</v>
      </c>
      <c r="M842">
        <v>3.25</v>
      </c>
      <c r="N842">
        <v>3.71</v>
      </c>
      <c r="O842">
        <v>2</v>
      </c>
      <c r="P842">
        <v>1</v>
      </c>
      <c r="Q842" s="3">
        <v>0.76111111111111107</v>
      </c>
      <c r="R842">
        <v>10.1</v>
      </c>
      <c r="S842">
        <v>9.15</v>
      </c>
      <c r="T842">
        <v>29.66</v>
      </c>
      <c r="U842">
        <v>11.36</v>
      </c>
      <c r="V842">
        <v>11.36</v>
      </c>
      <c r="W842">
        <v>100</v>
      </c>
      <c r="Y842">
        <v>55</v>
      </c>
      <c r="Z842">
        <v>2.8</v>
      </c>
      <c r="AA842">
        <v>0</v>
      </c>
      <c r="AB842" s="3">
        <v>0.75277777777777777</v>
      </c>
      <c r="AC842">
        <v>1.5</v>
      </c>
      <c r="AD842">
        <v>0.4</v>
      </c>
    </row>
    <row r="843" spans="1:30" x14ac:dyDescent="0.2">
      <c r="A843" t="s">
        <v>256</v>
      </c>
      <c r="C843">
        <v>0</v>
      </c>
      <c r="D843" t="s">
        <v>17</v>
      </c>
      <c r="E843">
        <v>2900</v>
      </c>
      <c r="F843" t="s">
        <v>510</v>
      </c>
      <c r="G843" t="s">
        <v>802</v>
      </c>
      <c r="H843" s="2">
        <v>0.91666666666666663</v>
      </c>
      <c r="I843" t="s">
        <v>766</v>
      </c>
      <c r="J843" s="1">
        <v>0.51200000000000001</v>
      </c>
      <c r="K843">
        <v>95.5</v>
      </c>
      <c r="L843">
        <v>6.5</v>
      </c>
      <c r="M843">
        <v>3.01</v>
      </c>
      <c r="N843">
        <v>3.25</v>
      </c>
      <c r="O843">
        <v>2</v>
      </c>
      <c r="Q843" s="3">
        <v>0.83958333333333335</v>
      </c>
      <c r="R843">
        <v>5.5</v>
      </c>
      <c r="S843">
        <v>4.25</v>
      </c>
      <c r="T843">
        <v>13.26</v>
      </c>
      <c r="U843">
        <v>4.76</v>
      </c>
      <c r="V843">
        <v>4.76</v>
      </c>
      <c r="W843">
        <v>100</v>
      </c>
      <c r="Y843">
        <v>61</v>
      </c>
      <c r="Z843">
        <v>1.6</v>
      </c>
      <c r="AA843">
        <v>0</v>
      </c>
      <c r="AB843" s="3">
        <v>0.73541666666666672</v>
      </c>
      <c r="AC843">
        <v>3</v>
      </c>
      <c r="AD843">
        <v>1</v>
      </c>
    </row>
    <row r="844" spans="1:30" x14ac:dyDescent="0.2">
      <c r="A844" t="s">
        <v>706</v>
      </c>
      <c r="C844">
        <v>0</v>
      </c>
      <c r="D844" t="s">
        <v>10</v>
      </c>
      <c r="E844">
        <v>2500</v>
      </c>
      <c r="F844" t="s">
        <v>487</v>
      </c>
      <c r="G844" t="s">
        <v>770</v>
      </c>
      <c r="H844" s="2">
        <v>0.83333333333333337</v>
      </c>
      <c r="I844" t="s">
        <v>762</v>
      </c>
      <c r="J844" s="1">
        <v>0.51300000000000001</v>
      </c>
      <c r="K844">
        <v>-105.5</v>
      </c>
      <c r="L844">
        <v>6</v>
      </c>
      <c r="M844">
        <v>3.46</v>
      </c>
      <c r="N844">
        <v>3</v>
      </c>
      <c r="Q844" s="3">
        <v>0.32013888888888886</v>
      </c>
      <c r="R844">
        <v>2.5</v>
      </c>
      <c r="S844">
        <v>2.77</v>
      </c>
      <c r="T844">
        <v>0</v>
      </c>
      <c r="U844">
        <v>0</v>
      </c>
      <c r="V844">
        <v>0</v>
      </c>
      <c r="W844">
        <v>100</v>
      </c>
      <c r="Y844">
        <v>45</v>
      </c>
      <c r="Z844">
        <v>0</v>
      </c>
      <c r="AA844">
        <v>0</v>
      </c>
    </row>
    <row r="845" spans="1:30" x14ac:dyDescent="0.2">
      <c r="A845" t="s">
        <v>882</v>
      </c>
      <c r="C845">
        <v>0</v>
      </c>
      <c r="D845" t="s">
        <v>5</v>
      </c>
      <c r="E845">
        <v>4000</v>
      </c>
      <c r="F845" t="s">
        <v>488</v>
      </c>
      <c r="G845" t="s">
        <v>781</v>
      </c>
      <c r="H845" s="2">
        <v>0.91666666666666663</v>
      </c>
      <c r="I845" t="s">
        <v>766</v>
      </c>
      <c r="J845" s="1">
        <v>0.53500000000000003</v>
      </c>
      <c r="K845">
        <v>87</v>
      </c>
      <c r="L845">
        <v>6</v>
      </c>
      <c r="M845">
        <v>3</v>
      </c>
      <c r="N845">
        <v>3.14</v>
      </c>
      <c r="Q845" s="3">
        <v>0.69236111111111109</v>
      </c>
      <c r="R845">
        <v>6</v>
      </c>
      <c r="S845">
        <v>5.59</v>
      </c>
      <c r="T845">
        <v>0</v>
      </c>
      <c r="U845">
        <v>0</v>
      </c>
      <c r="V845">
        <v>0</v>
      </c>
      <c r="W845">
        <v>100</v>
      </c>
      <c r="Y845">
        <v>53</v>
      </c>
      <c r="Z845">
        <v>0</v>
      </c>
      <c r="AA845">
        <v>0</v>
      </c>
    </row>
    <row r="846" spans="1:30" x14ac:dyDescent="0.2">
      <c r="A846" t="s">
        <v>157</v>
      </c>
      <c r="C846">
        <v>0</v>
      </c>
      <c r="D846" t="s">
        <v>10</v>
      </c>
      <c r="E846">
        <v>5200</v>
      </c>
      <c r="F846" t="s">
        <v>764</v>
      </c>
      <c r="G846" t="s">
        <v>765</v>
      </c>
      <c r="H846" s="2">
        <v>0.875</v>
      </c>
      <c r="I846" t="s">
        <v>766</v>
      </c>
      <c r="J846" s="1">
        <v>0.47099999999999997</v>
      </c>
      <c r="K846">
        <v>112.5</v>
      </c>
      <c r="L846">
        <v>7</v>
      </c>
      <c r="M846">
        <v>3.5</v>
      </c>
      <c r="N846">
        <v>4.05</v>
      </c>
      <c r="O846">
        <v>2</v>
      </c>
      <c r="P846">
        <v>1</v>
      </c>
      <c r="Q846" s="3">
        <v>0.66180555555555554</v>
      </c>
      <c r="R846">
        <v>9.3000000000000007</v>
      </c>
      <c r="S846">
        <v>9.08</v>
      </c>
      <c r="T846">
        <v>32.020000000000003</v>
      </c>
      <c r="U846">
        <v>13.86</v>
      </c>
      <c r="V846">
        <v>13.86</v>
      </c>
      <c r="W846">
        <v>100</v>
      </c>
      <c r="Y846">
        <v>51</v>
      </c>
      <c r="Z846">
        <v>2.7</v>
      </c>
      <c r="AA846">
        <v>0</v>
      </c>
      <c r="AB846" s="3">
        <v>0.53611111111111109</v>
      </c>
      <c r="AC846">
        <v>1.5</v>
      </c>
      <c r="AD846">
        <v>0.3</v>
      </c>
    </row>
    <row r="847" spans="1:30" x14ac:dyDescent="0.2">
      <c r="A847" t="s">
        <v>545</v>
      </c>
      <c r="C847">
        <v>0</v>
      </c>
      <c r="D847" t="s">
        <v>17</v>
      </c>
      <c r="E847">
        <v>2500</v>
      </c>
      <c r="F847" t="s">
        <v>504</v>
      </c>
      <c r="G847" t="s">
        <v>799</v>
      </c>
      <c r="H847" s="2">
        <v>0.83333333333333337</v>
      </c>
      <c r="I847" t="s">
        <v>766</v>
      </c>
      <c r="J847" s="1">
        <v>0.51300000000000001</v>
      </c>
      <c r="K847">
        <v>95</v>
      </c>
      <c r="L847">
        <v>5.5</v>
      </c>
      <c r="M847">
        <v>2.54</v>
      </c>
      <c r="N847">
        <v>2.75</v>
      </c>
      <c r="O847">
        <v>2</v>
      </c>
      <c r="Q847" s="3">
        <v>0.59722222222222221</v>
      </c>
      <c r="R847">
        <v>4</v>
      </c>
      <c r="S847">
        <v>3.95</v>
      </c>
      <c r="T847">
        <v>11.6</v>
      </c>
      <c r="U847">
        <v>3.7</v>
      </c>
      <c r="V847">
        <v>3.7</v>
      </c>
      <c r="W847">
        <v>100</v>
      </c>
      <c r="Y847">
        <v>51</v>
      </c>
      <c r="Z847">
        <v>1.5</v>
      </c>
      <c r="AA847">
        <v>0</v>
      </c>
      <c r="AB847" s="3">
        <v>0.57291666666666663</v>
      </c>
      <c r="AC847">
        <v>2.8</v>
      </c>
      <c r="AD847">
        <v>1.1000000000000001</v>
      </c>
    </row>
    <row r="848" spans="1:30" x14ac:dyDescent="0.2">
      <c r="A848" t="s">
        <v>888</v>
      </c>
      <c r="C848">
        <v>0</v>
      </c>
      <c r="D848" t="s">
        <v>10</v>
      </c>
      <c r="E848">
        <v>3400</v>
      </c>
      <c r="F848" t="s">
        <v>509</v>
      </c>
      <c r="G848" t="s">
        <v>791</v>
      </c>
      <c r="H848" s="2">
        <v>0.79166666666666663</v>
      </c>
      <c r="I848" t="s">
        <v>766</v>
      </c>
      <c r="J848" s="1">
        <v>0.51900000000000002</v>
      </c>
      <c r="K848">
        <v>92.5</v>
      </c>
      <c r="L848">
        <v>6.5</v>
      </c>
      <c r="M848">
        <v>3.25</v>
      </c>
      <c r="N848">
        <v>3.62</v>
      </c>
      <c r="Q848" s="3">
        <v>0.72361111111111109</v>
      </c>
      <c r="R848">
        <v>9.3000000000000007</v>
      </c>
      <c r="S848">
        <v>5.57</v>
      </c>
      <c r="T848">
        <v>0</v>
      </c>
      <c r="U848">
        <v>0</v>
      </c>
      <c r="V848">
        <v>0</v>
      </c>
      <c r="W848">
        <v>100</v>
      </c>
      <c r="Y848">
        <v>70</v>
      </c>
      <c r="Z848">
        <v>0</v>
      </c>
      <c r="AA848">
        <v>0</v>
      </c>
    </row>
    <row r="849" spans="1:30" x14ac:dyDescent="0.2">
      <c r="A849" t="s">
        <v>647</v>
      </c>
      <c r="C849">
        <v>0</v>
      </c>
      <c r="D849" t="s">
        <v>5</v>
      </c>
      <c r="E849">
        <v>2500</v>
      </c>
      <c r="F849" t="s">
        <v>506</v>
      </c>
      <c r="G849" t="s">
        <v>786</v>
      </c>
      <c r="H849" s="2">
        <v>0.79166666666666663</v>
      </c>
      <c r="I849" t="s">
        <v>766</v>
      </c>
      <c r="J849" s="1">
        <v>0.53600000000000003</v>
      </c>
      <c r="K849">
        <v>86.5</v>
      </c>
      <c r="L849">
        <v>6</v>
      </c>
      <c r="M849">
        <v>3</v>
      </c>
      <c r="N849">
        <v>3.19</v>
      </c>
      <c r="O849">
        <v>4</v>
      </c>
      <c r="Q849" s="3">
        <v>0.47847222222222224</v>
      </c>
      <c r="R849">
        <v>3.7</v>
      </c>
      <c r="S849">
        <v>4.32</v>
      </c>
      <c r="T849">
        <v>12</v>
      </c>
      <c r="U849">
        <v>3.36</v>
      </c>
      <c r="V849">
        <v>3.36</v>
      </c>
      <c r="W849">
        <v>100</v>
      </c>
      <c r="Y849">
        <v>42</v>
      </c>
      <c r="Z849">
        <v>1.3</v>
      </c>
      <c r="AA849">
        <v>0</v>
      </c>
      <c r="AB849" s="3">
        <v>0.4236111111111111</v>
      </c>
      <c r="AC849">
        <v>3</v>
      </c>
      <c r="AD849">
        <v>1.2</v>
      </c>
    </row>
    <row r="850" spans="1:30" x14ac:dyDescent="0.2">
      <c r="A850" t="s">
        <v>676</v>
      </c>
      <c r="C850">
        <v>0</v>
      </c>
      <c r="D850" t="s">
        <v>10</v>
      </c>
      <c r="E850">
        <v>2500</v>
      </c>
      <c r="F850" t="s">
        <v>486</v>
      </c>
      <c r="G850" t="s">
        <v>776</v>
      </c>
      <c r="H850" s="2">
        <v>0.79166666666666663</v>
      </c>
      <c r="I850" t="s">
        <v>762</v>
      </c>
      <c r="J850" s="1">
        <v>0.435</v>
      </c>
      <c r="K850">
        <v>-77</v>
      </c>
      <c r="L850">
        <v>5.5</v>
      </c>
      <c r="M850">
        <v>2.87</v>
      </c>
      <c r="N850">
        <v>2.75</v>
      </c>
      <c r="O850">
        <v>4</v>
      </c>
      <c r="Q850" s="3">
        <v>0.47847222222222224</v>
      </c>
      <c r="R850">
        <v>3.3</v>
      </c>
      <c r="S850">
        <v>3.98</v>
      </c>
      <c r="T850">
        <v>11.55</v>
      </c>
      <c r="U850">
        <v>3.59</v>
      </c>
      <c r="V850">
        <v>3.59</v>
      </c>
      <c r="W850">
        <v>100</v>
      </c>
      <c r="Y850">
        <v>40</v>
      </c>
      <c r="Z850">
        <v>1.4</v>
      </c>
      <c r="AA850">
        <v>0</v>
      </c>
      <c r="AB850" s="3">
        <v>0.48958333333333331</v>
      </c>
      <c r="AC850">
        <v>1.3</v>
      </c>
      <c r="AD850">
        <v>0.5</v>
      </c>
    </row>
    <row r="851" spans="1:30" x14ac:dyDescent="0.2">
      <c r="A851" t="s">
        <v>826</v>
      </c>
      <c r="C851">
        <v>0</v>
      </c>
      <c r="D851" t="s">
        <v>7</v>
      </c>
      <c r="E851">
        <v>8000</v>
      </c>
      <c r="F851" t="s">
        <v>486</v>
      </c>
      <c r="G851" t="s">
        <v>776</v>
      </c>
      <c r="H851" s="2">
        <v>0.79166666666666663</v>
      </c>
      <c r="I851" t="s">
        <v>762</v>
      </c>
      <c r="J851" s="1">
        <v>0.435</v>
      </c>
      <c r="K851">
        <v>-77</v>
      </c>
      <c r="L851">
        <v>5.5</v>
      </c>
      <c r="M851">
        <v>2.87</v>
      </c>
      <c r="N851">
        <v>2.75</v>
      </c>
      <c r="O851" t="s">
        <v>818</v>
      </c>
      <c r="Q851" s="4">
        <v>2.2854166666666669</v>
      </c>
      <c r="R851">
        <v>10.3</v>
      </c>
      <c r="S851">
        <v>8.68</v>
      </c>
      <c r="T851">
        <v>0</v>
      </c>
      <c r="U851">
        <v>0</v>
      </c>
      <c r="V851">
        <v>0</v>
      </c>
      <c r="W851">
        <v>100</v>
      </c>
      <c r="Y851">
        <v>58</v>
      </c>
      <c r="Z851">
        <v>0</v>
      </c>
      <c r="AA851">
        <v>0</v>
      </c>
    </row>
    <row r="852" spans="1:30" x14ac:dyDescent="0.2">
      <c r="A852" t="s">
        <v>585</v>
      </c>
      <c r="C852">
        <v>0</v>
      </c>
      <c r="D852" t="s">
        <v>17</v>
      </c>
      <c r="E852">
        <v>2500</v>
      </c>
      <c r="F852" t="s">
        <v>501</v>
      </c>
      <c r="G852" t="s">
        <v>783</v>
      </c>
      <c r="H852" s="2">
        <v>0.79166666666666663</v>
      </c>
      <c r="I852" t="s">
        <v>766</v>
      </c>
      <c r="J852" s="1">
        <v>0.52800000000000002</v>
      </c>
      <c r="K852">
        <v>89.5</v>
      </c>
      <c r="L852">
        <v>6</v>
      </c>
      <c r="M852">
        <v>2.82</v>
      </c>
      <c r="N852">
        <v>3</v>
      </c>
      <c r="O852">
        <v>3</v>
      </c>
      <c r="Q852" s="3">
        <v>0.57638888888888884</v>
      </c>
      <c r="R852">
        <v>2.8</v>
      </c>
      <c r="S852">
        <v>1.83</v>
      </c>
      <c r="T852">
        <v>6.55</v>
      </c>
      <c r="U852">
        <v>2.89</v>
      </c>
      <c r="V852">
        <v>2.89</v>
      </c>
      <c r="W852">
        <v>100</v>
      </c>
      <c r="Y852">
        <v>67</v>
      </c>
      <c r="Z852">
        <v>1.2</v>
      </c>
      <c r="AA852">
        <v>0</v>
      </c>
      <c r="AB852" s="3">
        <v>0.56527777777777777</v>
      </c>
      <c r="AC852">
        <v>4.3</v>
      </c>
      <c r="AD852">
        <v>1.7</v>
      </c>
    </row>
    <row r="853" spans="1:30" x14ac:dyDescent="0.2">
      <c r="A853" t="s">
        <v>172</v>
      </c>
      <c r="C853">
        <v>0</v>
      </c>
      <c r="D853" t="s">
        <v>17</v>
      </c>
      <c r="E853">
        <v>3000</v>
      </c>
      <c r="F853" t="s">
        <v>493</v>
      </c>
      <c r="G853" t="s">
        <v>789</v>
      </c>
      <c r="H853" s="2">
        <v>0.83333333333333337</v>
      </c>
      <c r="I853" t="s">
        <v>762</v>
      </c>
      <c r="J853" s="1">
        <v>0.48699999999999999</v>
      </c>
      <c r="K853">
        <v>-95</v>
      </c>
      <c r="L853">
        <v>5.5</v>
      </c>
      <c r="M853">
        <v>2.75</v>
      </c>
      <c r="N853">
        <v>2.54</v>
      </c>
      <c r="O853">
        <v>2</v>
      </c>
      <c r="P853">
        <v>1</v>
      </c>
      <c r="Q853" s="3">
        <v>0.66111111111111109</v>
      </c>
      <c r="R853">
        <v>4.3</v>
      </c>
      <c r="S853">
        <v>4.46</v>
      </c>
      <c r="T853">
        <v>13.3</v>
      </c>
      <c r="U853">
        <v>4.38</v>
      </c>
      <c r="V853">
        <v>4.38</v>
      </c>
      <c r="W853">
        <v>100</v>
      </c>
      <c r="Y853">
        <v>48</v>
      </c>
      <c r="Z853">
        <v>1.5</v>
      </c>
      <c r="AA853">
        <v>0</v>
      </c>
      <c r="AB853" s="3">
        <v>0.86319444444444449</v>
      </c>
      <c r="AC853">
        <v>10.8</v>
      </c>
      <c r="AD853">
        <v>3.6</v>
      </c>
    </row>
    <row r="854" spans="1:30" x14ac:dyDescent="0.2">
      <c r="A854" t="s">
        <v>153</v>
      </c>
      <c r="C854">
        <v>0</v>
      </c>
      <c r="D854" t="s">
        <v>10</v>
      </c>
      <c r="E854">
        <v>5100</v>
      </c>
      <c r="F854" t="s">
        <v>478</v>
      </c>
      <c r="G854" t="s">
        <v>763</v>
      </c>
      <c r="H854" s="2">
        <v>0.79166666666666663</v>
      </c>
      <c r="I854" t="s">
        <v>762</v>
      </c>
      <c r="J854" s="1">
        <v>0.44900000000000001</v>
      </c>
      <c r="K854">
        <v>-81.5</v>
      </c>
      <c r="L854">
        <v>6.5</v>
      </c>
      <c r="M854">
        <v>3.25</v>
      </c>
      <c r="N854">
        <v>3.17</v>
      </c>
      <c r="O854">
        <v>2</v>
      </c>
      <c r="P854">
        <v>2</v>
      </c>
      <c r="Q854" s="3">
        <v>0.74097222222222225</v>
      </c>
      <c r="R854">
        <v>8.9</v>
      </c>
      <c r="S854">
        <v>8.65</v>
      </c>
      <c r="T854">
        <v>27.94</v>
      </c>
      <c r="U854">
        <v>10.64</v>
      </c>
      <c r="V854">
        <v>10.64</v>
      </c>
      <c r="W854">
        <v>100</v>
      </c>
      <c r="Y854">
        <v>51</v>
      </c>
      <c r="Z854">
        <v>2.1</v>
      </c>
      <c r="AA854">
        <v>0</v>
      </c>
      <c r="AB854" s="3">
        <v>0.63402777777777775</v>
      </c>
      <c r="AC854">
        <v>5</v>
      </c>
      <c r="AD854">
        <v>1</v>
      </c>
    </row>
    <row r="855" spans="1:30" x14ac:dyDescent="0.2">
      <c r="A855" t="s">
        <v>304</v>
      </c>
      <c r="C855">
        <v>0</v>
      </c>
      <c r="D855" t="s">
        <v>10</v>
      </c>
      <c r="E855">
        <v>3500</v>
      </c>
      <c r="F855" t="s">
        <v>480</v>
      </c>
      <c r="G855" t="s">
        <v>761</v>
      </c>
      <c r="H855" s="2">
        <v>0.875</v>
      </c>
      <c r="I855" t="s">
        <v>762</v>
      </c>
      <c r="J855" s="1">
        <v>0.52900000000000003</v>
      </c>
      <c r="K855">
        <v>-112.5</v>
      </c>
      <c r="L855">
        <v>7</v>
      </c>
      <c r="M855">
        <v>4.05</v>
      </c>
      <c r="N855">
        <v>3.5</v>
      </c>
      <c r="O855">
        <v>2</v>
      </c>
      <c r="P855">
        <v>2</v>
      </c>
      <c r="Q855" s="3">
        <v>0.63680555555555551</v>
      </c>
      <c r="R855">
        <v>5.9</v>
      </c>
      <c r="S855">
        <v>5.04</v>
      </c>
      <c r="T855">
        <v>19.38</v>
      </c>
      <c r="U855">
        <v>9.3000000000000007</v>
      </c>
      <c r="V855">
        <v>9.3000000000000007</v>
      </c>
      <c r="W855">
        <v>100</v>
      </c>
      <c r="Y855">
        <v>57</v>
      </c>
      <c r="Z855">
        <v>2.7</v>
      </c>
      <c r="AA855">
        <v>0</v>
      </c>
      <c r="AB855" s="3">
        <v>0.67291666666666672</v>
      </c>
      <c r="AC855">
        <v>4.5</v>
      </c>
      <c r="AD855">
        <v>1.3</v>
      </c>
    </row>
    <row r="856" spans="1:30" x14ac:dyDescent="0.2">
      <c r="A856" t="s">
        <v>875</v>
      </c>
      <c r="C856">
        <v>0</v>
      </c>
      <c r="D856" t="s">
        <v>17</v>
      </c>
      <c r="E856">
        <v>4600</v>
      </c>
      <c r="F856" t="s">
        <v>768</v>
      </c>
      <c r="G856" t="s">
        <v>769</v>
      </c>
      <c r="H856" s="2">
        <v>0.79166666666666663</v>
      </c>
      <c r="I856" t="s">
        <v>762</v>
      </c>
      <c r="J856" s="1">
        <v>0.51800000000000002</v>
      </c>
      <c r="K856">
        <v>-107.5</v>
      </c>
      <c r="L856">
        <v>5.5</v>
      </c>
      <c r="M856">
        <v>3.2</v>
      </c>
      <c r="N856">
        <v>2.75</v>
      </c>
      <c r="Q856" s="3">
        <v>0.87847222222222221</v>
      </c>
      <c r="R856">
        <v>8.1999999999999993</v>
      </c>
      <c r="S856">
        <v>4.99</v>
      </c>
      <c r="T856">
        <v>0</v>
      </c>
      <c r="U856">
        <v>0</v>
      </c>
      <c r="V856">
        <v>0</v>
      </c>
      <c r="W856">
        <v>100</v>
      </c>
      <c r="Y856">
        <v>70</v>
      </c>
      <c r="Z856">
        <v>0</v>
      </c>
      <c r="AA856">
        <v>0</v>
      </c>
    </row>
    <row r="857" spans="1:30" x14ac:dyDescent="0.2">
      <c r="A857" t="s">
        <v>658</v>
      </c>
      <c r="C857">
        <v>0</v>
      </c>
      <c r="D857" t="s">
        <v>17</v>
      </c>
      <c r="E857">
        <v>2500</v>
      </c>
      <c r="F857" t="s">
        <v>510</v>
      </c>
      <c r="G857" t="s">
        <v>802</v>
      </c>
      <c r="H857" s="2">
        <v>0.91666666666666663</v>
      </c>
      <c r="I857" t="s">
        <v>766</v>
      </c>
      <c r="J857" s="1">
        <v>0.51200000000000001</v>
      </c>
      <c r="K857">
        <v>95.5</v>
      </c>
      <c r="L857">
        <v>6.5</v>
      </c>
      <c r="M857">
        <v>3.01</v>
      </c>
      <c r="N857">
        <v>3.25</v>
      </c>
      <c r="O857">
        <v>3</v>
      </c>
      <c r="Q857" s="3">
        <v>0.60069444444444442</v>
      </c>
      <c r="R857">
        <v>3.4</v>
      </c>
      <c r="S857">
        <v>2.5499999999999998</v>
      </c>
      <c r="T857">
        <v>9.65</v>
      </c>
      <c r="U857">
        <v>4.55</v>
      </c>
      <c r="V857">
        <v>4.55</v>
      </c>
      <c r="W857">
        <v>100</v>
      </c>
      <c r="Y857">
        <v>63</v>
      </c>
      <c r="Z857">
        <v>1.8</v>
      </c>
      <c r="AA857">
        <v>0</v>
      </c>
    </row>
    <row r="858" spans="1:30" x14ac:dyDescent="0.2">
      <c r="A858" t="s">
        <v>93</v>
      </c>
      <c r="C858">
        <v>0</v>
      </c>
      <c r="D858" t="s">
        <v>10</v>
      </c>
      <c r="E858">
        <v>4300</v>
      </c>
      <c r="F858" t="s">
        <v>478</v>
      </c>
      <c r="G858" t="s">
        <v>763</v>
      </c>
      <c r="H858" s="2">
        <v>0.79166666666666663</v>
      </c>
      <c r="I858" t="s">
        <v>762</v>
      </c>
      <c r="J858" s="1">
        <v>0.44900000000000001</v>
      </c>
      <c r="K858">
        <v>-81.5</v>
      </c>
      <c r="L858">
        <v>6.5</v>
      </c>
      <c r="M858">
        <v>3.25</v>
      </c>
      <c r="N858">
        <v>3.17</v>
      </c>
      <c r="O858">
        <v>2</v>
      </c>
      <c r="P858">
        <v>1</v>
      </c>
      <c r="Q858" s="3">
        <v>0.56736111111111109</v>
      </c>
      <c r="R858">
        <v>6.9</v>
      </c>
      <c r="S858">
        <v>9.0399999999999991</v>
      </c>
      <c r="T858">
        <v>23.65</v>
      </c>
      <c r="U858">
        <v>5.57</v>
      </c>
      <c r="V858">
        <v>5.57</v>
      </c>
      <c r="W858">
        <v>100</v>
      </c>
      <c r="Y858">
        <v>34</v>
      </c>
      <c r="Z858">
        <v>1.3</v>
      </c>
      <c r="AA858">
        <v>0</v>
      </c>
      <c r="AB858" s="3">
        <v>0.63958333333333328</v>
      </c>
      <c r="AC858">
        <v>1.5</v>
      </c>
      <c r="AD858">
        <v>0.3</v>
      </c>
    </row>
    <row r="859" spans="1:30" x14ac:dyDescent="0.2">
      <c r="A859" t="s">
        <v>587</v>
      </c>
      <c r="C859">
        <v>0</v>
      </c>
      <c r="D859" t="s">
        <v>17</v>
      </c>
      <c r="E859">
        <v>2500</v>
      </c>
      <c r="F859" t="s">
        <v>485</v>
      </c>
      <c r="G859" t="s">
        <v>767</v>
      </c>
      <c r="H859" s="2">
        <v>0.79166666666666663</v>
      </c>
      <c r="I859" t="s">
        <v>762</v>
      </c>
      <c r="J859" s="1">
        <v>0.48099999999999998</v>
      </c>
      <c r="K859">
        <v>-92.5</v>
      </c>
      <c r="L859">
        <v>6.5</v>
      </c>
      <c r="M859">
        <v>3.62</v>
      </c>
      <c r="N859">
        <v>3.25</v>
      </c>
      <c r="Q859" s="3">
        <v>0.58750000000000002</v>
      </c>
      <c r="R859">
        <v>5</v>
      </c>
      <c r="S859">
        <v>4.1500000000000004</v>
      </c>
      <c r="T859">
        <v>0</v>
      </c>
      <c r="U859">
        <v>0</v>
      </c>
      <c r="V859">
        <v>0</v>
      </c>
      <c r="W859">
        <v>100</v>
      </c>
      <c r="Y859">
        <v>59</v>
      </c>
      <c r="Z859">
        <v>0</v>
      </c>
      <c r="AA859">
        <v>0</v>
      </c>
    </row>
    <row r="860" spans="1:30" x14ac:dyDescent="0.2">
      <c r="A860" t="s">
        <v>31</v>
      </c>
      <c r="C860">
        <v>0</v>
      </c>
      <c r="D860" t="s">
        <v>10</v>
      </c>
      <c r="E860">
        <v>4400</v>
      </c>
      <c r="F860" t="s">
        <v>485</v>
      </c>
      <c r="G860" t="s">
        <v>767</v>
      </c>
      <c r="H860" s="2">
        <v>0.79166666666666663</v>
      </c>
      <c r="I860" t="s">
        <v>762</v>
      </c>
      <c r="J860" s="1">
        <v>0.48099999999999998</v>
      </c>
      <c r="K860">
        <v>-92.5</v>
      </c>
      <c r="L860">
        <v>6.5</v>
      </c>
      <c r="M860">
        <v>3.62</v>
      </c>
      <c r="N860">
        <v>3.25</v>
      </c>
      <c r="O860">
        <v>2</v>
      </c>
      <c r="P860">
        <v>1</v>
      </c>
      <c r="Q860" s="3">
        <v>0.59861111111111109</v>
      </c>
      <c r="R860">
        <v>9</v>
      </c>
      <c r="S860">
        <v>6.31</v>
      </c>
      <c r="T860">
        <v>26.3</v>
      </c>
      <c r="U860">
        <v>13.68</v>
      </c>
      <c r="V860">
        <v>13.68</v>
      </c>
      <c r="W860">
        <v>100</v>
      </c>
      <c r="Y860">
        <v>65</v>
      </c>
      <c r="Z860">
        <v>3.1</v>
      </c>
      <c r="AA860">
        <v>0</v>
      </c>
      <c r="AB860" s="3">
        <v>0.54652777777777772</v>
      </c>
      <c r="AC860">
        <v>13</v>
      </c>
      <c r="AD860">
        <v>3</v>
      </c>
    </row>
    <row r="861" spans="1:30" x14ac:dyDescent="0.2">
      <c r="A861" t="s">
        <v>831</v>
      </c>
      <c r="C861">
        <v>0</v>
      </c>
      <c r="D861" t="s">
        <v>7</v>
      </c>
      <c r="E861">
        <v>7900</v>
      </c>
      <c r="F861" t="s">
        <v>489</v>
      </c>
      <c r="G861" t="s">
        <v>788</v>
      </c>
      <c r="H861" s="2">
        <v>0.91666666666666663</v>
      </c>
      <c r="I861" t="s">
        <v>762</v>
      </c>
      <c r="J861" s="1">
        <v>0.48799999999999999</v>
      </c>
      <c r="K861">
        <v>-95.5</v>
      </c>
      <c r="L861">
        <v>6.5</v>
      </c>
      <c r="M861">
        <v>3.25</v>
      </c>
      <c r="N861">
        <v>3.01</v>
      </c>
      <c r="O861" t="s">
        <v>818</v>
      </c>
      <c r="Q861" s="4">
        <v>2.2986111111111112</v>
      </c>
      <c r="R861">
        <v>8.8000000000000007</v>
      </c>
      <c r="S861">
        <v>9.11</v>
      </c>
      <c r="T861">
        <v>0</v>
      </c>
      <c r="U861">
        <v>0</v>
      </c>
      <c r="V861">
        <v>0</v>
      </c>
      <c r="W861">
        <v>100</v>
      </c>
      <c r="Y861">
        <v>48</v>
      </c>
      <c r="Z861">
        <v>0</v>
      </c>
      <c r="AA861">
        <v>0</v>
      </c>
      <c r="AB861" s="3">
        <v>0</v>
      </c>
      <c r="AC861">
        <v>0</v>
      </c>
    </row>
    <row r="862" spans="1:30" x14ac:dyDescent="0.2">
      <c r="A862" t="s">
        <v>622</v>
      </c>
      <c r="C862">
        <v>0</v>
      </c>
      <c r="D862" t="s">
        <v>10</v>
      </c>
      <c r="E862">
        <v>2500</v>
      </c>
      <c r="F862" t="s">
        <v>499</v>
      </c>
      <c r="G862" t="s">
        <v>775</v>
      </c>
      <c r="H862" s="2">
        <v>0.79166666666666663</v>
      </c>
      <c r="I862" t="s">
        <v>762</v>
      </c>
      <c r="J862" s="1">
        <v>0.50700000000000001</v>
      </c>
      <c r="K862">
        <v>-103</v>
      </c>
      <c r="L862">
        <v>6.5</v>
      </c>
      <c r="M862">
        <v>3.71</v>
      </c>
      <c r="N862">
        <v>3.25</v>
      </c>
      <c r="Q862" s="3">
        <v>0.53263888888888888</v>
      </c>
      <c r="R862">
        <v>3.5</v>
      </c>
      <c r="S862">
        <v>3.93</v>
      </c>
      <c r="T862">
        <v>0</v>
      </c>
      <c r="U862">
        <v>0</v>
      </c>
      <c r="V862">
        <v>0</v>
      </c>
      <c r="W862">
        <v>100</v>
      </c>
      <c r="Y862">
        <v>44</v>
      </c>
      <c r="Z862">
        <v>0</v>
      </c>
      <c r="AA862">
        <v>0</v>
      </c>
    </row>
    <row r="863" spans="1:30" x14ac:dyDescent="0.2">
      <c r="A863" t="s">
        <v>84</v>
      </c>
      <c r="C863">
        <v>0</v>
      </c>
      <c r="D863" t="s">
        <v>17</v>
      </c>
      <c r="E863">
        <v>4700</v>
      </c>
      <c r="F863" t="s">
        <v>505</v>
      </c>
      <c r="G863" t="s">
        <v>793</v>
      </c>
      <c r="H863" s="2">
        <v>0.91666666666666663</v>
      </c>
      <c r="I863" t="s">
        <v>762</v>
      </c>
      <c r="J863" s="1">
        <v>0.41499999999999998</v>
      </c>
      <c r="K863">
        <v>-71</v>
      </c>
      <c r="L863">
        <v>6</v>
      </c>
      <c r="M863">
        <v>3.02</v>
      </c>
      <c r="N863">
        <v>3</v>
      </c>
      <c r="O863">
        <v>1</v>
      </c>
      <c r="P863">
        <v>1</v>
      </c>
      <c r="Q863" s="3">
        <v>0.92569444444444449</v>
      </c>
      <c r="R863">
        <v>8.6999999999999993</v>
      </c>
      <c r="S863">
        <v>6.69</v>
      </c>
      <c r="T863">
        <v>23.48</v>
      </c>
      <c r="U863">
        <v>10.1</v>
      </c>
      <c r="V863">
        <v>10.1</v>
      </c>
      <c r="W863">
        <v>100</v>
      </c>
      <c r="Y863">
        <v>62</v>
      </c>
      <c r="Z863">
        <v>2.1</v>
      </c>
      <c r="AA863">
        <v>0</v>
      </c>
      <c r="AB863" s="3">
        <v>0.80138888888888893</v>
      </c>
      <c r="AC863">
        <v>1.5</v>
      </c>
      <c r="AD863">
        <v>0.3</v>
      </c>
    </row>
    <row r="864" spans="1:30" x14ac:dyDescent="0.2">
      <c r="A864" t="s">
        <v>424</v>
      </c>
      <c r="C864">
        <v>0</v>
      </c>
      <c r="D864" t="s">
        <v>17</v>
      </c>
      <c r="E864">
        <v>2500</v>
      </c>
      <c r="F864" t="s">
        <v>764</v>
      </c>
      <c r="G864" t="s">
        <v>765</v>
      </c>
      <c r="H864" s="2">
        <v>0.875</v>
      </c>
      <c r="I864" t="s">
        <v>766</v>
      </c>
      <c r="J864" s="1">
        <v>0.47099999999999997</v>
      </c>
      <c r="K864">
        <v>112.5</v>
      </c>
      <c r="L864">
        <v>7</v>
      </c>
      <c r="M864">
        <v>3.5</v>
      </c>
      <c r="N864">
        <v>4.05</v>
      </c>
      <c r="O864">
        <v>3</v>
      </c>
      <c r="Q864" s="3">
        <v>0.69097222222222221</v>
      </c>
      <c r="R864">
        <v>4.5999999999999996</v>
      </c>
      <c r="S864">
        <v>3.72</v>
      </c>
      <c r="T864">
        <v>13.37</v>
      </c>
      <c r="U864">
        <v>5.93</v>
      </c>
      <c r="V864">
        <v>5.93</v>
      </c>
      <c r="W864">
        <v>100</v>
      </c>
      <c r="Y864">
        <v>60</v>
      </c>
      <c r="Z864">
        <v>2.4</v>
      </c>
      <c r="AA864">
        <v>0</v>
      </c>
      <c r="AB864" s="3">
        <v>0.70972222222222225</v>
      </c>
      <c r="AC864">
        <v>1.3</v>
      </c>
      <c r="AD864">
        <v>0.5</v>
      </c>
    </row>
    <row r="865" spans="1:30" x14ac:dyDescent="0.2">
      <c r="A865" t="s">
        <v>815</v>
      </c>
      <c r="C865">
        <v>0</v>
      </c>
      <c r="D865" t="s">
        <v>10</v>
      </c>
      <c r="E865">
        <v>2500</v>
      </c>
      <c r="F865" t="s">
        <v>487</v>
      </c>
      <c r="G865" t="s">
        <v>770</v>
      </c>
      <c r="H865" s="2">
        <v>0.83333333333333337</v>
      </c>
      <c r="I865" t="s">
        <v>762</v>
      </c>
      <c r="J865" s="1">
        <v>0.51300000000000001</v>
      </c>
      <c r="K865">
        <v>-105.5</v>
      </c>
      <c r="L865">
        <v>6</v>
      </c>
      <c r="M865">
        <v>3.46</v>
      </c>
      <c r="N865">
        <v>3</v>
      </c>
      <c r="O865">
        <v>4</v>
      </c>
      <c r="Q865" s="3">
        <v>0.44097222222222221</v>
      </c>
      <c r="R865">
        <v>3.1</v>
      </c>
      <c r="S865">
        <v>3.56</v>
      </c>
      <c r="T865">
        <v>11.55</v>
      </c>
      <c r="U865">
        <v>4.43</v>
      </c>
      <c r="V865">
        <v>4.43</v>
      </c>
      <c r="W865">
        <v>100</v>
      </c>
      <c r="Y865">
        <v>43</v>
      </c>
      <c r="Z865">
        <v>1.8</v>
      </c>
      <c r="AA865">
        <v>0</v>
      </c>
      <c r="AB865" s="3">
        <v>0.34791666666666665</v>
      </c>
      <c r="AC865">
        <v>11.5</v>
      </c>
      <c r="AD865">
        <v>4.5999999999999996</v>
      </c>
    </row>
    <row r="866" spans="1:30" x14ac:dyDescent="0.2">
      <c r="A866" t="s">
        <v>630</v>
      </c>
      <c r="C866">
        <v>0</v>
      </c>
      <c r="D866" t="s">
        <v>17</v>
      </c>
      <c r="E866">
        <v>2500</v>
      </c>
      <c r="F866" t="s">
        <v>764</v>
      </c>
      <c r="G866" t="s">
        <v>765</v>
      </c>
      <c r="H866" s="2">
        <v>0.875</v>
      </c>
      <c r="I866" t="s">
        <v>766</v>
      </c>
      <c r="J866" s="1">
        <v>0.47099999999999997</v>
      </c>
      <c r="K866">
        <v>112.5</v>
      </c>
      <c r="L866">
        <v>7</v>
      </c>
      <c r="M866">
        <v>3.5</v>
      </c>
      <c r="N866">
        <v>4.05</v>
      </c>
      <c r="Q866" s="3">
        <v>0.68611111111111112</v>
      </c>
      <c r="R866">
        <v>4.0999999999999996</v>
      </c>
      <c r="S866">
        <v>3.56</v>
      </c>
      <c r="T866">
        <v>0</v>
      </c>
      <c r="U866">
        <v>0</v>
      </c>
      <c r="V866">
        <v>0</v>
      </c>
      <c r="W866">
        <v>100</v>
      </c>
      <c r="Y866">
        <v>57</v>
      </c>
      <c r="Z866">
        <v>0</v>
      </c>
      <c r="AA866">
        <v>0</v>
      </c>
    </row>
    <row r="867" spans="1:30" x14ac:dyDescent="0.2">
      <c r="A867" t="s">
        <v>364</v>
      </c>
      <c r="C867">
        <v>0</v>
      </c>
      <c r="D867" t="s">
        <v>5</v>
      </c>
      <c r="E867">
        <v>6000</v>
      </c>
      <c r="F867" t="s">
        <v>501</v>
      </c>
      <c r="G867" t="s">
        <v>783</v>
      </c>
      <c r="H867" s="2">
        <v>0.79166666666666663</v>
      </c>
      <c r="I867" t="s">
        <v>766</v>
      </c>
      <c r="J867" s="1">
        <v>0.52800000000000002</v>
      </c>
      <c r="K867">
        <v>89.5</v>
      </c>
      <c r="L867">
        <v>6</v>
      </c>
      <c r="M867">
        <v>2.82</v>
      </c>
      <c r="N867">
        <v>3</v>
      </c>
      <c r="O867">
        <v>2</v>
      </c>
      <c r="P867">
        <v>1</v>
      </c>
      <c r="Q867" s="3">
        <v>0.87013888888888891</v>
      </c>
      <c r="R867">
        <v>8.8000000000000007</v>
      </c>
      <c r="S867">
        <v>6.2</v>
      </c>
      <c r="T867">
        <v>22.17</v>
      </c>
      <c r="U867">
        <v>9.77</v>
      </c>
      <c r="V867">
        <v>9.77</v>
      </c>
      <c r="W867">
        <v>100</v>
      </c>
      <c r="Y867">
        <v>65</v>
      </c>
      <c r="Z867">
        <v>1.6</v>
      </c>
      <c r="AA867">
        <v>0</v>
      </c>
      <c r="AB867" s="3">
        <v>0.84652777777777777</v>
      </c>
      <c r="AC867">
        <v>0</v>
      </c>
    </row>
    <row r="868" spans="1:30" x14ac:dyDescent="0.2">
      <c r="A868" t="s">
        <v>804</v>
      </c>
      <c r="C868">
        <v>0</v>
      </c>
      <c r="D868" t="s">
        <v>7</v>
      </c>
      <c r="E868">
        <v>7200</v>
      </c>
      <c r="F868" t="s">
        <v>507</v>
      </c>
      <c r="G868" t="s">
        <v>796</v>
      </c>
      <c r="H868" s="2">
        <v>0.79166666666666663</v>
      </c>
      <c r="I868" t="s">
        <v>766</v>
      </c>
      <c r="J868" s="1">
        <v>0.49399999999999999</v>
      </c>
      <c r="K868">
        <v>102.5</v>
      </c>
      <c r="L868">
        <v>6</v>
      </c>
      <c r="M868">
        <v>3</v>
      </c>
      <c r="N868">
        <v>3.44</v>
      </c>
      <c r="Q868" s="4">
        <v>2.442361111111111</v>
      </c>
      <c r="R868">
        <v>8.1</v>
      </c>
      <c r="S868">
        <v>8.31</v>
      </c>
      <c r="T868">
        <v>25.46</v>
      </c>
      <c r="U868">
        <v>8.84</v>
      </c>
      <c r="V868">
        <v>8.84</v>
      </c>
      <c r="W868">
        <v>100</v>
      </c>
      <c r="Y868">
        <v>49</v>
      </c>
      <c r="Z868">
        <v>1.2</v>
      </c>
      <c r="AA868">
        <v>0</v>
      </c>
      <c r="AB868" s="3">
        <v>0</v>
      </c>
      <c r="AC868">
        <v>0</v>
      </c>
    </row>
    <row r="869" spans="1:30" x14ac:dyDescent="0.2">
      <c r="A869" t="s">
        <v>193</v>
      </c>
      <c r="C869">
        <v>0</v>
      </c>
      <c r="D869" t="s">
        <v>10</v>
      </c>
      <c r="E869">
        <v>4400</v>
      </c>
      <c r="F869" t="s">
        <v>487</v>
      </c>
      <c r="G869" t="s">
        <v>770</v>
      </c>
      <c r="H869" s="2">
        <v>0.83333333333333337</v>
      </c>
      <c r="I869" t="s">
        <v>762</v>
      </c>
      <c r="J869" s="1">
        <v>0.51300000000000001</v>
      </c>
      <c r="K869">
        <v>-105.5</v>
      </c>
      <c r="L869">
        <v>6</v>
      </c>
      <c r="M869">
        <v>3.46</v>
      </c>
      <c r="N869">
        <v>3</v>
      </c>
      <c r="O869">
        <v>3</v>
      </c>
      <c r="P869">
        <v>2</v>
      </c>
      <c r="Q869" s="3">
        <v>0.62361111111111112</v>
      </c>
      <c r="R869">
        <v>8</v>
      </c>
      <c r="S869">
        <v>8.07</v>
      </c>
      <c r="T869">
        <v>26.84</v>
      </c>
      <c r="U869">
        <v>10.7</v>
      </c>
      <c r="V869">
        <v>10.7</v>
      </c>
      <c r="W869">
        <v>100</v>
      </c>
      <c r="Y869">
        <v>50</v>
      </c>
      <c r="Z869">
        <v>2.4</v>
      </c>
      <c r="AA869">
        <v>0</v>
      </c>
      <c r="AB869" s="3">
        <v>0.55972222222222223</v>
      </c>
      <c r="AC869">
        <v>9.1</v>
      </c>
      <c r="AD869">
        <v>2.1</v>
      </c>
    </row>
    <row r="870" spans="1:30" x14ac:dyDescent="0.2">
      <c r="A870" t="s">
        <v>324</v>
      </c>
      <c r="C870">
        <v>0</v>
      </c>
      <c r="D870" t="s">
        <v>17</v>
      </c>
      <c r="E870">
        <v>4500</v>
      </c>
      <c r="F870" t="s">
        <v>501</v>
      </c>
      <c r="G870" t="s">
        <v>783</v>
      </c>
      <c r="H870" s="2">
        <v>0.79166666666666663</v>
      </c>
      <c r="I870" t="s">
        <v>766</v>
      </c>
      <c r="J870" s="1">
        <v>0.52800000000000002</v>
      </c>
      <c r="K870">
        <v>89.5</v>
      </c>
      <c r="L870">
        <v>6</v>
      </c>
      <c r="M870">
        <v>2.82</v>
      </c>
      <c r="N870">
        <v>3</v>
      </c>
      <c r="O870">
        <v>1</v>
      </c>
      <c r="P870">
        <v>1</v>
      </c>
      <c r="Q870" s="3">
        <v>0.99652777777777779</v>
      </c>
      <c r="R870">
        <v>7.2</v>
      </c>
      <c r="S870">
        <v>5.25</v>
      </c>
      <c r="T870">
        <v>17.8</v>
      </c>
      <c r="U870">
        <v>7.3</v>
      </c>
      <c r="V870">
        <v>7.3</v>
      </c>
      <c r="W870">
        <v>100</v>
      </c>
      <c r="Y870">
        <v>64</v>
      </c>
      <c r="Z870">
        <v>1.6</v>
      </c>
      <c r="AA870">
        <v>0</v>
      </c>
      <c r="AB870" s="4">
        <v>1.1215277777777777</v>
      </c>
      <c r="AC870">
        <v>9.3000000000000007</v>
      </c>
      <c r="AD870">
        <v>2.1</v>
      </c>
    </row>
    <row r="871" spans="1:30" x14ac:dyDescent="0.2">
      <c r="A871" t="s">
        <v>1019</v>
      </c>
      <c r="C871">
        <v>0</v>
      </c>
      <c r="D871" t="s">
        <v>17</v>
      </c>
      <c r="E871">
        <v>2500</v>
      </c>
      <c r="F871" t="s">
        <v>488</v>
      </c>
      <c r="G871" t="s">
        <v>781</v>
      </c>
      <c r="H871" s="2">
        <v>0.91666666666666663</v>
      </c>
      <c r="I871" t="s">
        <v>766</v>
      </c>
      <c r="J871" s="1">
        <v>0.53500000000000003</v>
      </c>
      <c r="K871">
        <v>87</v>
      </c>
      <c r="L871">
        <v>6</v>
      </c>
      <c r="M871">
        <v>3</v>
      </c>
      <c r="N871">
        <v>3.14</v>
      </c>
      <c r="Q871" s="3">
        <v>0.52222222222222225</v>
      </c>
      <c r="R871">
        <v>4.4000000000000004</v>
      </c>
      <c r="S871">
        <v>3.52</v>
      </c>
      <c r="T871">
        <v>0</v>
      </c>
      <c r="U871">
        <v>0</v>
      </c>
      <c r="V871">
        <v>0</v>
      </c>
      <c r="W871">
        <v>100</v>
      </c>
      <c r="Y871">
        <v>60</v>
      </c>
      <c r="Z871">
        <v>0</v>
      </c>
      <c r="AA871">
        <v>0</v>
      </c>
    </row>
    <row r="872" spans="1:30" x14ac:dyDescent="0.2">
      <c r="A872" t="s">
        <v>345</v>
      </c>
      <c r="C872">
        <v>0</v>
      </c>
      <c r="D872" t="s">
        <v>10</v>
      </c>
      <c r="E872">
        <v>2500</v>
      </c>
      <c r="F872" t="s">
        <v>496</v>
      </c>
      <c r="G872" t="s">
        <v>787</v>
      </c>
      <c r="H872" s="2">
        <v>0.79166666666666663</v>
      </c>
      <c r="I872" t="s">
        <v>766</v>
      </c>
      <c r="J872" s="1">
        <v>0.48199999999999998</v>
      </c>
      <c r="K872">
        <v>107.5</v>
      </c>
      <c r="L872">
        <v>5.5</v>
      </c>
      <c r="M872">
        <v>2.75</v>
      </c>
      <c r="N872">
        <v>3.2</v>
      </c>
      <c r="O872">
        <v>3</v>
      </c>
      <c r="P872">
        <v>2</v>
      </c>
      <c r="Q872" s="3">
        <v>0.59027777777777779</v>
      </c>
      <c r="R872">
        <v>4.7</v>
      </c>
      <c r="S872">
        <v>5.03</v>
      </c>
      <c r="T872">
        <v>13.77</v>
      </c>
      <c r="U872">
        <v>3.71</v>
      </c>
      <c r="V872">
        <v>3.71</v>
      </c>
      <c r="W872">
        <v>100</v>
      </c>
      <c r="Y872">
        <v>46</v>
      </c>
      <c r="Z872">
        <v>1.5</v>
      </c>
      <c r="AA872">
        <v>0</v>
      </c>
      <c r="AB872" s="3">
        <v>0.55902777777777779</v>
      </c>
      <c r="AC872">
        <v>1.5</v>
      </c>
      <c r="AD872">
        <v>0.6</v>
      </c>
    </row>
    <row r="873" spans="1:30" x14ac:dyDescent="0.2">
      <c r="A873" t="s">
        <v>856</v>
      </c>
      <c r="C873">
        <v>0</v>
      </c>
      <c r="D873" t="s">
        <v>7</v>
      </c>
      <c r="E873">
        <v>6500</v>
      </c>
      <c r="F873" t="s">
        <v>489</v>
      </c>
      <c r="G873" t="s">
        <v>788</v>
      </c>
      <c r="H873" s="2">
        <v>0.91666666666666663</v>
      </c>
      <c r="I873" t="s">
        <v>762</v>
      </c>
      <c r="J873" s="1">
        <v>0.48799999999999999</v>
      </c>
      <c r="K873">
        <v>-95.5</v>
      </c>
      <c r="L873">
        <v>6.5</v>
      </c>
      <c r="M873">
        <v>3.25</v>
      </c>
      <c r="N873">
        <v>3.01</v>
      </c>
      <c r="O873" t="s">
        <v>818</v>
      </c>
      <c r="Q873" s="3">
        <v>0.83333333333333337</v>
      </c>
      <c r="R873">
        <v>-3.5</v>
      </c>
      <c r="S873">
        <v>0</v>
      </c>
      <c r="T873">
        <v>0</v>
      </c>
      <c r="U873">
        <v>0</v>
      </c>
      <c r="V873">
        <v>0</v>
      </c>
      <c r="W873">
        <v>100</v>
      </c>
      <c r="Y873">
        <v>0</v>
      </c>
      <c r="Z873">
        <v>0</v>
      </c>
      <c r="AA873">
        <v>0</v>
      </c>
    </row>
    <row r="874" spans="1:30" x14ac:dyDescent="0.2">
      <c r="A874" t="s">
        <v>553</v>
      </c>
      <c r="C874">
        <v>0</v>
      </c>
      <c r="D874" t="s">
        <v>10</v>
      </c>
      <c r="E874">
        <v>3100</v>
      </c>
      <c r="F874" t="s">
        <v>794</v>
      </c>
      <c r="G874" t="s">
        <v>795</v>
      </c>
      <c r="H874" s="2">
        <v>0.79166666666666663</v>
      </c>
      <c r="I874" t="s">
        <v>766</v>
      </c>
      <c r="J874" s="1">
        <v>0.56499999999999995</v>
      </c>
      <c r="K874">
        <v>77</v>
      </c>
      <c r="L874">
        <v>5.5</v>
      </c>
      <c r="M874">
        <v>2.75</v>
      </c>
      <c r="N874">
        <v>2.87</v>
      </c>
      <c r="O874">
        <v>2</v>
      </c>
      <c r="P874">
        <v>2</v>
      </c>
      <c r="Q874" s="3">
        <v>0.61527777777777781</v>
      </c>
      <c r="R874">
        <v>4.5999999999999996</v>
      </c>
      <c r="S874">
        <v>5.33</v>
      </c>
      <c r="T874">
        <v>15.43</v>
      </c>
      <c r="U874">
        <v>4.7699999999999996</v>
      </c>
      <c r="V874">
        <v>4.7699999999999996</v>
      </c>
      <c r="W874">
        <v>100</v>
      </c>
      <c r="Y874">
        <v>42</v>
      </c>
      <c r="Z874">
        <v>1.5</v>
      </c>
      <c r="AA874">
        <v>0</v>
      </c>
      <c r="AB874" s="3">
        <v>0.6020833333333333</v>
      </c>
      <c r="AC874">
        <v>3</v>
      </c>
      <c r="AD874">
        <v>1</v>
      </c>
    </row>
    <row r="875" spans="1:30" x14ac:dyDescent="0.2">
      <c r="A875" t="s">
        <v>549</v>
      </c>
      <c r="C875">
        <v>0</v>
      </c>
      <c r="D875" t="s">
        <v>17</v>
      </c>
      <c r="E875">
        <v>2500</v>
      </c>
      <c r="F875" t="s">
        <v>501</v>
      </c>
      <c r="G875" t="s">
        <v>783</v>
      </c>
      <c r="H875" s="2">
        <v>0.79166666666666663</v>
      </c>
      <c r="I875" t="s">
        <v>766</v>
      </c>
      <c r="J875" s="1">
        <v>0.52800000000000002</v>
      </c>
      <c r="K875">
        <v>89.5</v>
      </c>
      <c r="L875">
        <v>6</v>
      </c>
      <c r="M875">
        <v>2.82</v>
      </c>
      <c r="N875">
        <v>3</v>
      </c>
      <c r="O875">
        <v>2</v>
      </c>
      <c r="Q875" s="3">
        <v>0.7729166666666667</v>
      </c>
      <c r="R875">
        <v>4.8</v>
      </c>
      <c r="S875">
        <v>3.74</v>
      </c>
      <c r="T875">
        <v>12.85</v>
      </c>
      <c r="U875">
        <v>5.37</v>
      </c>
      <c r="V875">
        <v>5.37</v>
      </c>
      <c r="W875">
        <v>100</v>
      </c>
      <c r="Y875">
        <v>61</v>
      </c>
      <c r="Z875">
        <v>2.1</v>
      </c>
      <c r="AA875">
        <v>0</v>
      </c>
      <c r="AB875" s="3">
        <v>0.75486111111111109</v>
      </c>
      <c r="AC875">
        <v>2.6</v>
      </c>
      <c r="AD875">
        <v>1</v>
      </c>
    </row>
    <row r="876" spans="1:30" x14ac:dyDescent="0.2">
      <c r="A876" t="s">
        <v>316</v>
      </c>
      <c r="C876">
        <v>0</v>
      </c>
      <c r="D876" t="s">
        <v>10</v>
      </c>
      <c r="E876">
        <v>3900</v>
      </c>
      <c r="F876" t="s">
        <v>501</v>
      </c>
      <c r="G876" t="s">
        <v>783</v>
      </c>
      <c r="H876" s="2">
        <v>0.79166666666666663</v>
      </c>
      <c r="I876" t="s">
        <v>766</v>
      </c>
      <c r="J876" s="1">
        <v>0.52800000000000002</v>
      </c>
      <c r="K876">
        <v>89.5</v>
      </c>
      <c r="L876">
        <v>6</v>
      </c>
      <c r="M876">
        <v>2.82</v>
      </c>
      <c r="N876">
        <v>3</v>
      </c>
      <c r="O876">
        <v>2</v>
      </c>
      <c r="P876">
        <v>2</v>
      </c>
      <c r="Q876" s="3">
        <v>0.71250000000000002</v>
      </c>
      <c r="R876">
        <v>7.7</v>
      </c>
      <c r="S876">
        <v>6.48</v>
      </c>
      <c r="T876">
        <v>20.83</v>
      </c>
      <c r="U876">
        <v>7.87</v>
      </c>
      <c r="V876">
        <v>7.87</v>
      </c>
      <c r="W876">
        <v>100</v>
      </c>
      <c r="Y876">
        <v>58</v>
      </c>
      <c r="Z876">
        <v>2</v>
      </c>
      <c r="AA876">
        <v>0</v>
      </c>
      <c r="AB876" s="3">
        <v>0.71875</v>
      </c>
      <c r="AC876">
        <v>1.3</v>
      </c>
      <c r="AD876">
        <v>0.3</v>
      </c>
    </row>
    <row r="877" spans="1:30" x14ac:dyDescent="0.2">
      <c r="A877" t="s">
        <v>32</v>
      </c>
      <c r="C877">
        <v>0</v>
      </c>
      <c r="D877" t="s">
        <v>10</v>
      </c>
      <c r="E877">
        <v>5800</v>
      </c>
      <c r="F877" t="s">
        <v>764</v>
      </c>
      <c r="G877" t="s">
        <v>765</v>
      </c>
      <c r="H877" s="2">
        <v>0.875</v>
      </c>
      <c r="I877" t="s">
        <v>766</v>
      </c>
      <c r="J877" s="1">
        <v>0.47099999999999997</v>
      </c>
      <c r="K877">
        <v>112.5</v>
      </c>
      <c r="L877">
        <v>7</v>
      </c>
      <c r="M877">
        <v>3.5</v>
      </c>
      <c r="N877">
        <v>4.05</v>
      </c>
      <c r="O877">
        <v>1</v>
      </c>
      <c r="P877">
        <v>1</v>
      </c>
      <c r="Q877" s="3">
        <v>0.74791666666666667</v>
      </c>
      <c r="R877">
        <v>10.199999999999999</v>
      </c>
      <c r="S877">
        <v>7.91</v>
      </c>
      <c r="T877">
        <v>29.53</v>
      </c>
      <c r="U877">
        <v>13.71</v>
      </c>
      <c r="V877">
        <v>13.71</v>
      </c>
      <c r="W877">
        <v>100</v>
      </c>
      <c r="Y877">
        <v>61</v>
      </c>
      <c r="Z877">
        <v>2.4</v>
      </c>
      <c r="AA877">
        <v>0</v>
      </c>
      <c r="AB877" s="3">
        <v>0.82291666666666663</v>
      </c>
      <c r="AC877">
        <v>11</v>
      </c>
      <c r="AD877">
        <v>1.9</v>
      </c>
    </row>
    <row r="878" spans="1:30" x14ac:dyDescent="0.2">
      <c r="A878" t="s">
        <v>358</v>
      </c>
      <c r="C878">
        <v>0</v>
      </c>
      <c r="D878" t="s">
        <v>10</v>
      </c>
      <c r="E878">
        <v>2500</v>
      </c>
      <c r="F878" t="s">
        <v>498</v>
      </c>
      <c r="G878" t="s">
        <v>779</v>
      </c>
      <c r="H878" s="2">
        <v>0.79166666666666663</v>
      </c>
      <c r="I878" t="s">
        <v>762</v>
      </c>
      <c r="J878" s="1">
        <v>0.50600000000000001</v>
      </c>
      <c r="K878">
        <v>-102.5</v>
      </c>
      <c r="L878">
        <v>6</v>
      </c>
      <c r="M878">
        <v>3.44</v>
      </c>
      <c r="N878">
        <v>3</v>
      </c>
      <c r="O878">
        <v>4</v>
      </c>
      <c r="Q878" s="3">
        <v>0.47916666666666669</v>
      </c>
      <c r="R878">
        <v>3.7</v>
      </c>
      <c r="S878">
        <v>4</v>
      </c>
      <c r="T878">
        <v>13.02</v>
      </c>
      <c r="U878">
        <v>5.0199999999999996</v>
      </c>
      <c r="V878">
        <v>5.0199999999999996</v>
      </c>
      <c r="W878">
        <v>100</v>
      </c>
      <c r="Y878">
        <v>46</v>
      </c>
      <c r="Z878">
        <v>2</v>
      </c>
      <c r="AA878">
        <v>0</v>
      </c>
      <c r="AB878" s="3">
        <v>0.41388888888888886</v>
      </c>
      <c r="AC878">
        <v>0</v>
      </c>
    </row>
    <row r="879" spans="1:30" x14ac:dyDescent="0.2">
      <c r="A879" t="s">
        <v>302</v>
      </c>
      <c r="C879">
        <v>0</v>
      </c>
      <c r="D879" t="s">
        <v>10</v>
      </c>
      <c r="E879">
        <v>5000</v>
      </c>
      <c r="F879" t="s">
        <v>764</v>
      </c>
      <c r="G879" t="s">
        <v>765</v>
      </c>
      <c r="H879" s="2">
        <v>0.875</v>
      </c>
      <c r="I879" t="s">
        <v>766</v>
      </c>
      <c r="J879" s="1">
        <v>0.47099999999999997</v>
      </c>
      <c r="K879">
        <v>112.5</v>
      </c>
      <c r="L879">
        <v>7</v>
      </c>
      <c r="M879">
        <v>3.5</v>
      </c>
      <c r="N879">
        <v>4.05</v>
      </c>
      <c r="O879">
        <v>3</v>
      </c>
      <c r="P879">
        <v>2</v>
      </c>
      <c r="Q879" s="3">
        <v>0.82430555555555551</v>
      </c>
      <c r="R879">
        <v>9.6999999999999993</v>
      </c>
      <c r="S879">
        <v>7.15</v>
      </c>
      <c r="T879">
        <v>26.42</v>
      </c>
      <c r="U879">
        <v>12.12</v>
      </c>
      <c r="V879">
        <v>12.12</v>
      </c>
      <c r="W879">
        <v>100</v>
      </c>
      <c r="Y879">
        <v>63</v>
      </c>
      <c r="Z879">
        <v>2.4</v>
      </c>
      <c r="AA879">
        <v>0</v>
      </c>
      <c r="AB879" s="3">
        <v>0.67638888888888893</v>
      </c>
      <c r="AC879">
        <v>9.5</v>
      </c>
      <c r="AD879">
        <v>1.9</v>
      </c>
    </row>
    <row r="880" spans="1:30" x14ac:dyDescent="0.2">
      <c r="A880" t="s">
        <v>897</v>
      </c>
      <c r="B880" t="s">
        <v>865</v>
      </c>
      <c r="C880">
        <v>0</v>
      </c>
      <c r="D880" t="s">
        <v>5</v>
      </c>
      <c r="E880">
        <v>3100</v>
      </c>
      <c r="F880" t="s">
        <v>483</v>
      </c>
      <c r="G880" t="s">
        <v>772</v>
      </c>
      <c r="H880" s="2">
        <v>0.91666666666666663</v>
      </c>
      <c r="I880" t="s">
        <v>762</v>
      </c>
      <c r="J880" s="1">
        <v>0.46500000000000002</v>
      </c>
      <c r="K880">
        <v>-87</v>
      </c>
      <c r="L880">
        <v>6</v>
      </c>
      <c r="M880">
        <v>3.14</v>
      </c>
      <c r="N880">
        <v>3</v>
      </c>
      <c r="Q880" s="3">
        <v>0.6430555555555556</v>
      </c>
      <c r="R880">
        <v>8.5</v>
      </c>
      <c r="S880">
        <v>5.81</v>
      </c>
      <c r="T880">
        <v>0</v>
      </c>
      <c r="U880">
        <v>0</v>
      </c>
      <c r="V880">
        <v>0</v>
      </c>
      <c r="W880">
        <v>100</v>
      </c>
      <c r="Y880">
        <v>66</v>
      </c>
      <c r="Z880">
        <v>0</v>
      </c>
      <c r="AA880">
        <v>0</v>
      </c>
    </row>
    <row r="881" spans="1:30" x14ac:dyDescent="0.2">
      <c r="A881" t="s">
        <v>864</v>
      </c>
      <c r="B881" t="s">
        <v>865</v>
      </c>
      <c r="C881">
        <v>0</v>
      </c>
      <c r="D881" t="s">
        <v>10</v>
      </c>
      <c r="E881">
        <v>6300</v>
      </c>
      <c r="F881" t="s">
        <v>490</v>
      </c>
      <c r="G881" t="s">
        <v>771</v>
      </c>
      <c r="H881" s="2">
        <v>0.91666666666666663</v>
      </c>
      <c r="I881" t="s">
        <v>766</v>
      </c>
      <c r="J881" s="1">
        <v>0.58499999999999996</v>
      </c>
      <c r="K881">
        <v>71</v>
      </c>
      <c r="L881">
        <v>6</v>
      </c>
      <c r="M881">
        <v>3</v>
      </c>
      <c r="N881">
        <v>3.02</v>
      </c>
      <c r="Q881" s="3">
        <v>0.76944444444444449</v>
      </c>
      <c r="R881">
        <v>11.9</v>
      </c>
      <c r="S881">
        <v>9.18</v>
      </c>
      <c r="T881">
        <v>0</v>
      </c>
      <c r="U881">
        <v>0</v>
      </c>
      <c r="V881">
        <v>0</v>
      </c>
      <c r="W881">
        <v>100</v>
      </c>
      <c r="Y881">
        <v>61</v>
      </c>
      <c r="Z881">
        <v>0</v>
      </c>
      <c r="AA881">
        <v>0</v>
      </c>
    </row>
    <row r="882" spans="1:30" x14ac:dyDescent="0.2">
      <c r="A882" t="s">
        <v>1000</v>
      </c>
      <c r="C882">
        <v>0</v>
      </c>
      <c r="D882" t="s">
        <v>10</v>
      </c>
      <c r="E882">
        <v>2500</v>
      </c>
      <c r="F882" t="s">
        <v>502</v>
      </c>
      <c r="G882" t="s">
        <v>798</v>
      </c>
      <c r="H882" s="2">
        <v>0.83333333333333337</v>
      </c>
      <c r="I882" t="s">
        <v>766</v>
      </c>
      <c r="J882" s="1">
        <v>0.48699999999999999</v>
      </c>
      <c r="K882">
        <v>105.5</v>
      </c>
      <c r="L882">
        <v>6</v>
      </c>
      <c r="M882">
        <v>3</v>
      </c>
      <c r="N882">
        <v>3.46</v>
      </c>
      <c r="Q882" s="3">
        <v>0.3034722222222222</v>
      </c>
      <c r="R882">
        <v>1</v>
      </c>
      <c r="S882">
        <v>0.71</v>
      </c>
      <c r="T882">
        <v>0</v>
      </c>
      <c r="U882">
        <v>0</v>
      </c>
      <c r="V882">
        <v>0</v>
      </c>
      <c r="W882">
        <v>100</v>
      </c>
      <c r="Y882">
        <v>65</v>
      </c>
      <c r="Z882">
        <v>0</v>
      </c>
      <c r="AA882">
        <v>0</v>
      </c>
    </row>
    <row r="883" spans="1:30" x14ac:dyDescent="0.2">
      <c r="A883" t="s">
        <v>136</v>
      </c>
      <c r="C883">
        <v>0</v>
      </c>
      <c r="D883" t="s">
        <v>5</v>
      </c>
      <c r="E883">
        <v>6800</v>
      </c>
      <c r="F883" t="s">
        <v>488</v>
      </c>
      <c r="G883" t="s">
        <v>781</v>
      </c>
      <c r="H883" s="2">
        <v>0.91666666666666663</v>
      </c>
      <c r="I883" t="s">
        <v>766</v>
      </c>
      <c r="J883" s="1">
        <v>0.53500000000000003</v>
      </c>
      <c r="K883">
        <v>87</v>
      </c>
      <c r="L883">
        <v>6</v>
      </c>
      <c r="M883">
        <v>3</v>
      </c>
      <c r="N883">
        <v>3.14</v>
      </c>
      <c r="O883">
        <v>1</v>
      </c>
      <c r="P883">
        <v>1</v>
      </c>
      <c r="Q883" s="3">
        <v>0.83402777777777781</v>
      </c>
      <c r="R883">
        <v>12.8</v>
      </c>
      <c r="S883">
        <v>8.69</v>
      </c>
      <c r="T883">
        <v>30.7</v>
      </c>
      <c r="U883">
        <v>13.32</v>
      </c>
      <c r="V883">
        <v>13.32</v>
      </c>
      <c r="W883">
        <v>100</v>
      </c>
      <c r="Y883">
        <v>66</v>
      </c>
      <c r="Z883">
        <v>2</v>
      </c>
      <c r="AA883">
        <v>0</v>
      </c>
      <c r="AB883" s="3">
        <v>0.86041666666666672</v>
      </c>
      <c r="AC883">
        <v>15.8</v>
      </c>
      <c r="AD883">
        <v>2.2999999999999998</v>
      </c>
    </row>
    <row r="884" spans="1:30" x14ac:dyDescent="0.2">
      <c r="A884" t="s">
        <v>453</v>
      </c>
      <c r="C884">
        <v>0</v>
      </c>
      <c r="D884" t="s">
        <v>17</v>
      </c>
      <c r="E884">
        <v>2500</v>
      </c>
      <c r="F884" t="s">
        <v>491</v>
      </c>
      <c r="G884" t="s">
        <v>773</v>
      </c>
      <c r="H884" s="2">
        <v>0.79166666666666663</v>
      </c>
      <c r="I884" t="s">
        <v>766</v>
      </c>
      <c r="J884" s="1">
        <v>0.49299999999999999</v>
      </c>
      <c r="K884">
        <v>103</v>
      </c>
      <c r="L884">
        <v>6.5</v>
      </c>
      <c r="M884">
        <v>3.25</v>
      </c>
      <c r="N884">
        <v>3.71</v>
      </c>
      <c r="O884">
        <v>2</v>
      </c>
      <c r="Q884" s="3">
        <v>0.80902777777777779</v>
      </c>
      <c r="R884">
        <v>4.3</v>
      </c>
      <c r="S884">
        <v>3.95</v>
      </c>
      <c r="T884">
        <v>14.18</v>
      </c>
      <c r="U884">
        <v>6.28</v>
      </c>
      <c r="V884">
        <v>6.28</v>
      </c>
      <c r="W884">
        <v>100</v>
      </c>
      <c r="Y884">
        <v>54</v>
      </c>
      <c r="Z884">
        <v>2.5</v>
      </c>
      <c r="AA884">
        <v>0</v>
      </c>
      <c r="AB884" s="3">
        <v>0.71527777777777779</v>
      </c>
      <c r="AC884">
        <v>1.5</v>
      </c>
      <c r="AD884">
        <v>0.6</v>
      </c>
    </row>
    <row r="885" spans="1:30" x14ac:dyDescent="0.2">
      <c r="A885" t="s">
        <v>726</v>
      </c>
      <c r="C885">
        <v>0</v>
      </c>
      <c r="D885" t="s">
        <v>10</v>
      </c>
      <c r="E885">
        <v>2500</v>
      </c>
      <c r="F885" t="s">
        <v>777</v>
      </c>
      <c r="G885" t="s">
        <v>778</v>
      </c>
      <c r="H885" s="2">
        <v>0.79166666666666663</v>
      </c>
      <c r="I885" t="s">
        <v>762</v>
      </c>
      <c r="J885" s="1">
        <v>0.46400000000000002</v>
      </c>
      <c r="K885">
        <v>-86.5</v>
      </c>
      <c r="L885">
        <v>6</v>
      </c>
      <c r="M885">
        <v>3.19</v>
      </c>
      <c r="N885">
        <v>3</v>
      </c>
      <c r="Q885" s="3">
        <v>0.38472222222222224</v>
      </c>
      <c r="R885">
        <v>1</v>
      </c>
      <c r="S885">
        <v>1.06</v>
      </c>
      <c r="T885">
        <v>0</v>
      </c>
      <c r="U885">
        <v>0</v>
      </c>
      <c r="V885">
        <v>0</v>
      </c>
      <c r="W885">
        <v>100</v>
      </c>
      <c r="Y885">
        <v>47</v>
      </c>
      <c r="Z885">
        <v>0</v>
      </c>
      <c r="AA885">
        <v>0</v>
      </c>
    </row>
    <row r="886" spans="1:30" x14ac:dyDescent="0.2">
      <c r="A886" t="s">
        <v>440</v>
      </c>
      <c r="C886">
        <v>0</v>
      </c>
      <c r="D886" t="s">
        <v>10</v>
      </c>
      <c r="E886">
        <v>2500</v>
      </c>
      <c r="F886" t="s">
        <v>487</v>
      </c>
      <c r="G886" t="s">
        <v>770</v>
      </c>
      <c r="H886" s="2">
        <v>0.83333333333333337</v>
      </c>
      <c r="I886" t="s">
        <v>762</v>
      </c>
      <c r="J886" s="1">
        <v>0.51300000000000001</v>
      </c>
      <c r="K886">
        <v>-105.5</v>
      </c>
      <c r="L886">
        <v>6</v>
      </c>
      <c r="M886">
        <v>3.46</v>
      </c>
      <c r="N886">
        <v>3</v>
      </c>
      <c r="O886">
        <v>4</v>
      </c>
      <c r="Q886" s="3">
        <v>0.54791666666666672</v>
      </c>
      <c r="R886">
        <v>4</v>
      </c>
      <c r="S886">
        <v>3.74</v>
      </c>
      <c r="T886">
        <v>12.99</v>
      </c>
      <c r="U886">
        <v>5.51</v>
      </c>
      <c r="V886">
        <v>5.51</v>
      </c>
      <c r="W886">
        <v>100</v>
      </c>
      <c r="Y886">
        <v>53</v>
      </c>
      <c r="Z886">
        <v>2.2000000000000002</v>
      </c>
      <c r="AA886">
        <v>0</v>
      </c>
      <c r="AB886" s="3">
        <v>0.67222222222222228</v>
      </c>
      <c r="AC886">
        <v>1.5</v>
      </c>
      <c r="AD886">
        <v>0.6</v>
      </c>
    </row>
    <row r="887" spans="1:30" x14ac:dyDescent="0.2">
      <c r="A887" t="s">
        <v>369</v>
      </c>
      <c r="C887">
        <v>0</v>
      </c>
      <c r="D887" t="s">
        <v>17</v>
      </c>
      <c r="E887">
        <v>2800</v>
      </c>
      <c r="F887" t="s">
        <v>502</v>
      </c>
      <c r="G887" t="s">
        <v>798</v>
      </c>
      <c r="H887" s="2">
        <v>0.83333333333333337</v>
      </c>
      <c r="I887" t="s">
        <v>766</v>
      </c>
      <c r="J887" s="1">
        <v>0.48699999999999999</v>
      </c>
      <c r="K887">
        <v>105.5</v>
      </c>
      <c r="L887">
        <v>6</v>
      </c>
      <c r="M887">
        <v>3</v>
      </c>
      <c r="N887">
        <v>3.46</v>
      </c>
      <c r="O887">
        <v>1</v>
      </c>
      <c r="Q887" s="3">
        <v>0.84791666666666665</v>
      </c>
      <c r="R887">
        <v>6.1</v>
      </c>
      <c r="S887">
        <v>4.9800000000000004</v>
      </c>
      <c r="T887">
        <v>17.22</v>
      </c>
      <c r="U887">
        <v>7.26</v>
      </c>
      <c r="V887">
        <v>7.26</v>
      </c>
      <c r="W887">
        <v>100</v>
      </c>
      <c r="Y887">
        <v>59</v>
      </c>
      <c r="Z887">
        <v>2.6</v>
      </c>
      <c r="AA887">
        <v>0</v>
      </c>
      <c r="AB887" s="3">
        <v>0.74305555555555558</v>
      </c>
      <c r="AC887">
        <v>4.3</v>
      </c>
      <c r="AD887">
        <v>1.5</v>
      </c>
    </row>
    <row r="888" spans="1:30" x14ac:dyDescent="0.2">
      <c r="A888" t="s">
        <v>356</v>
      </c>
      <c r="C888">
        <v>0</v>
      </c>
      <c r="D888" t="s">
        <v>5</v>
      </c>
      <c r="E888">
        <v>2900</v>
      </c>
      <c r="F888" t="s">
        <v>768</v>
      </c>
      <c r="G888" t="s">
        <v>769</v>
      </c>
      <c r="H888" s="2">
        <v>0.79166666666666663</v>
      </c>
      <c r="I888" t="s">
        <v>762</v>
      </c>
      <c r="J888" s="1">
        <v>0.51800000000000002</v>
      </c>
      <c r="K888">
        <v>-107.5</v>
      </c>
      <c r="L888">
        <v>5.5</v>
      </c>
      <c r="M888">
        <v>3.2</v>
      </c>
      <c r="N888">
        <v>2.75</v>
      </c>
      <c r="O888">
        <v>3</v>
      </c>
      <c r="Q888" s="3">
        <v>0.67986111111111114</v>
      </c>
      <c r="R888">
        <v>5</v>
      </c>
      <c r="S888">
        <v>4.9800000000000004</v>
      </c>
      <c r="T888">
        <v>15.8</v>
      </c>
      <c r="U888">
        <v>5.84</v>
      </c>
      <c r="V888">
        <v>5.84</v>
      </c>
      <c r="W888">
        <v>100</v>
      </c>
      <c r="Y888">
        <v>50</v>
      </c>
      <c r="Z888">
        <v>2</v>
      </c>
      <c r="AA888">
        <v>0</v>
      </c>
      <c r="AB888" s="3">
        <v>0.77777777777777779</v>
      </c>
      <c r="AC888">
        <v>24.5</v>
      </c>
      <c r="AD888">
        <v>8.4</v>
      </c>
    </row>
    <row r="889" spans="1:30" x14ac:dyDescent="0.2">
      <c r="A889" t="s">
        <v>171</v>
      </c>
      <c r="C889">
        <v>0</v>
      </c>
      <c r="D889" t="s">
        <v>7</v>
      </c>
      <c r="E889">
        <v>7000</v>
      </c>
      <c r="F889" t="s">
        <v>764</v>
      </c>
      <c r="G889" t="s">
        <v>765</v>
      </c>
      <c r="H889" s="2">
        <v>0.875</v>
      </c>
      <c r="I889" t="s">
        <v>766</v>
      </c>
      <c r="J889" s="1">
        <v>0.47099999999999997</v>
      </c>
      <c r="K889">
        <v>112.5</v>
      </c>
      <c r="L889">
        <v>7</v>
      </c>
      <c r="M889">
        <v>3.5</v>
      </c>
      <c r="N889">
        <v>4.05</v>
      </c>
      <c r="O889" t="s">
        <v>780</v>
      </c>
      <c r="Q889" s="4">
        <v>2.2888888888888888</v>
      </c>
      <c r="R889">
        <v>9.6999999999999993</v>
      </c>
      <c r="S889">
        <v>11.1</v>
      </c>
      <c r="T889">
        <v>32.81</v>
      </c>
      <c r="U889">
        <v>10.61</v>
      </c>
      <c r="V889">
        <v>10.61</v>
      </c>
      <c r="W889">
        <v>100</v>
      </c>
      <c r="Y889">
        <v>43</v>
      </c>
      <c r="Z889">
        <v>1.5</v>
      </c>
      <c r="AA889">
        <v>0</v>
      </c>
      <c r="AB889" s="4">
        <v>2.5458333333333334</v>
      </c>
      <c r="AC889">
        <v>7.6</v>
      </c>
      <c r="AD889">
        <v>1.1000000000000001</v>
      </c>
    </row>
    <row r="890" spans="1:30" x14ac:dyDescent="0.2">
      <c r="A890" t="s">
        <v>371</v>
      </c>
      <c r="C890">
        <v>0</v>
      </c>
      <c r="D890" t="s">
        <v>10</v>
      </c>
      <c r="E890">
        <v>3800</v>
      </c>
      <c r="F890" t="s">
        <v>502</v>
      </c>
      <c r="G890" t="s">
        <v>798</v>
      </c>
      <c r="H890" s="2">
        <v>0.83333333333333337</v>
      </c>
      <c r="I890" t="s">
        <v>766</v>
      </c>
      <c r="J890" s="1">
        <v>0.48699999999999999</v>
      </c>
      <c r="K890">
        <v>105.5</v>
      </c>
      <c r="L890">
        <v>6</v>
      </c>
      <c r="M890">
        <v>3</v>
      </c>
      <c r="N890">
        <v>3.46</v>
      </c>
      <c r="O890">
        <v>1</v>
      </c>
      <c r="P890">
        <v>2</v>
      </c>
      <c r="Q890" s="3">
        <v>0.66874999999999996</v>
      </c>
      <c r="R890">
        <v>6.7</v>
      </c>
      <c r="S890">
        <v>5.7</v>
      </c>
      <c r="T890">
        <v>20.56</v>
      </c>
      <c r="U890">
        <v>9.16</v>
      </c>
      <c r="V890">
        <v>9.16</v>
      </c>
      <c r="W890">
        <v>100</v>
      </c>
      <c r="Y890">
        <v>57</v>
      </c>
      <c r="Z890">
        <v>2.4</v>
      </c>
      <c r="AA890">
        <v>0</v>
      </c>
      <c r="AB890" s="3">
        <v>0.75347222222222221</v>
      </c>
      <c r="AC890">
        <v>0</v>
      </c>
    </row>
    <row r="891" spans="1:30" x14ac:dyDescent="0.2">
      <c r="A891" t="s">
        <v>915</v>
      </c>
      <c r="C891">
        <v>0</v>
      </c>
      <c r="D891" t="s">
        <v>17</v>
      </c>
      <c r="E891">
        <v>2500</v>
      </c>
      <c r="F891" t="s">
        <v>486</v>
      </c>
      <c r="G891" t="s">
        <v>776</v>
      </c>
      <c r="H891" s="2">
        <v>0.79166666666666663</v>
      </c>
      <c r="I891" t="s">
        <v>762</v>
      </c>
      <c r="J891" s="1">
        <v>0.435</v>
      </c>
      <c r="K891">
        <v>-77</v>
      </c>
      <c r="L891">
        <v>5.5</v>
      </c>
      <c r="M891">
        <v>2.87</v>
      </c>
      <c r="N891">
        <v>2.75</v>
      </c>
      <c r="T891">
        <v>0</v>
      </c>
      <c r="U891">
        <v>0</v>
      </c>
      <c r="V891">
        <v>0</v>
      </c>
      <c r="W891">
        <v>100</v>
      </c>
      <c r="Y891">
        <v>0</v>
      </c>
      <c r="Z891">
        <v>0</v>
      </c>
      <c r="AA891">
        <v>0</v>
      </c>
    </row>
    <row r="892" spans="1:30" x14ac:dyDescent="0.2">
      <c r="A892" t="s">
        <v>196</v>
      </c>
      <c r="C892">
        <v>0</v>
      </c>
      <c r="D892" t="s">
        <v>10</v>
      </c>
      <c r="E892">
        <v>3400</v>
      </c>
      <c r="F892" t="s">
        <v>486</v>
      </c>
      <c r="G892" t="s">
        <v>776</v>
      </c>
      <c r="H892" s="2">
        <v>0.79166666666666663</v>
      </c>
      <c r="I892" t="s">
        <v>762</v>
      </c>
      <c r="J892" s="1">
        <v>0.435</v>
      </c>
      <c r="K892">
        <v>-77</v>
      </c>
      <c r="L892">
        <v>5.5</v>
      </c>
      <c r="M892">
        <v>2.87</v>
      </c>
      <c r="N892">
        <v>2.75</v>
      </c>
      <c r="O892">
        <v>1</v>
      </c>
      <c r="P892">
        <v>2</v>
      </c>
      <c r="Q892" s="3">
        <v>0.68333333333333335</v>
      </c>
      <c r="R892">
        <v>7</v>
      </c>
      <c r="S892">
        <v>5.74</v>
      </c>
      <c r="T892">
        <v>18.190000000000001</v>
      </c>
      <c r="U892">
        <v>6.71</v>
      </c>
      <c r="V892">
        <v>6.71</v>
      </c>
      <c r="W892">
        <v>100</v>
      </c>
      <c r="Y892">
        <v>59</v>
      </c>
      <c r="Z892">
        <v>2</v>
      </c>
      <c r="AA892">
        <v>0</v>
      </c>
      <c r="AB892" s="3">
        <v>0.7680555555555556</v>
      </c>
      <c r="AC892">
        <v>8</v>
      </c>
      <c r="AD892">
        <v>2.4</v>
      </c>
    </row>
    <row r="893" spans="1:30" x14ac:dyDescent="0.2">
      <c r="A893" t="s">
        <v>993</v>
      </c>
      <c r="C893">
        <v>0</v>
      </c>
      <c r="D893" t="s">
        <v>17</v>
      </c>
      <c r="E893">
        <v>2500</v>
      </c>
      <c r="F893" t="s">
        <v>487</v>
      </c>
      <c r="G893" t="s">
        <v>770</v>
      </c>
      <c r="H893" s="2">
        <v>0.83333333333333337</v>
      </c>
      <c r="I893" t="s">
        <v>762</v>
      </c>
      <c r="J893" s="1">
        <v>0.51300000000000001</v>
      </c>
      <c r="K893">
        <v>-105.5</v>
      </c>
      <c r="L893">
        <v>6</v>
      </c>
      <c r="M893">
        <v>3.46</v>
      </c>
      <c r="N893">
        <v>3</v>
      </c>
      <c r="Q893" s="3">
        <v>0.62152777777777779</v>
      </c>
      <c r="R893">
        <v>3.4</v>
      </c>
      <c r="S893">
        <v>3.2</v>
      </c>
      <c r="T893">
        <v>0</v>
      </c>
      <c r="U893">
        <v>0</v>
      </c>
      <c r="V893">
        <v>0</v>
      </c>
      <c r="W893">
        <v>100</v>
      </c>
      <c r="Y893">
        <v>53</v>
      </c>
      <c r="Z893">
        <v>0</v>
      </c>
      <c r="AA893">
        <v>0</v>
      </c>
    </row>
    <row r="894" spans="1:30" x14ac:dyDescent="0.2">
      <c r="A894" t="s">
        <v>20</v>
      </c>
      <c r="C894">
        <v>0</v>
      </c>
      <c r="D894" t="s">
        <v>10</v>
      </c>
      <c r="E894">
        <v>7500</v>
      </c>
      <c r="F894" t="s">
        <v>480</v>
      </c>
      <c r="G894" t="s">
        <v>761</v>
      </c>
      <c r="H894" s="2">
        <v>0.875</v>
      </c>
      <c r="I894" t="s">
        <v>762</v>
      </c>
      <c r="J894" s="1">
        <v>0.52900000000000003</v>
      </c>
      <c r="K894">
        <v>-112.5</v>
      </c>
      <c r="L894">
        <v>7</v>
      </c>
      <c r="M894">
        <v>4.05</v>
      </c>
      <c r="N894">
        <v>3.5</v>
      </c>
      <c r="O894">
        <v>1</v>
      </c>
      <c r="P894">
        <v>1</v>
      </c>
      <c r="Q894" s="3">
        <v>0.84097222222222223</v>
      </c>
      <c r="R894">
        <v>13.1</v>
      </c>
      <c r="S894">
        <v>9.76</v>
      </c>
      <c r="T894">
        <v>41.33</v>
      </c>
      <c r="U894">
        <v>21.81</v>
      </c>
      <c r="V894">
        <v>21.81</v>
      </c>
      <c r="W894">
        <v>100</v>
      </c>
      <c r="Y894">
        <v>63</v>
      </c>
      <c r="Z894">
        <v>2.9</v>
      </c>
      <c r="AA894">
        <v>0</v>
      </c>
      <c r="AB894" s="3">
        <v>0.74513888888888891</v>
      </c>
      <c r="AC894">
        <v>11.5</v>
      </c>
      <c r="AD894">
        <v>1.5</v>
      </c>
    </row>
    <row r="895" spans="1:30" x14ac:dyDescent="0.2">
      <c r="A895" t="s">
        <v>620</v>
      </c>
      <c r="C895">
        <v>0</v>
      </c>
      <c r="D895" t="s">
        <v>17</v>
      </c>
      <c r="E895">
        <v>2500</v>
      </c>
      <c r="F895" t="s">
        <v>486</v>
      </c>
      <c r="G895" t="s">
        <v>776</v>
      </c>
      <c r="H895" s="2">
        <v>0.79166666666666663</v>
      </c>
      <c r="I895" t="s">
        <v>762</v>
      </c>
      <c r="J895" s="1">
        <v>0.435</v>
      </c>
      <c r="K895">
        <v>-77</v>
      </c>
      <c r="L895">
        <v>5.5</v>
      </c>
      <c r="M895">
        <v>2.87</v>
      </c>
      <c r="N895">
        <v>2.75</v>
      </c>
      <c r="O895">
        <v>3</v>
      </c>
      <c r="Q895" s="3">
        <v>0.41319444444444442</v>
      </c>
      <c r="R895">
        <v>2</v>
      </c>
      <c r="S895">
        <v>2.37</v>
      </c>
      <c r="T895">
        <v>7.29</v>
      </c>
      <c r="U895">
        <v>2.5499999999999998</v>
      </c>
      <c r="V895">
        <v>2.5499999999999998</v>
      </c>
      <c r="W895">
        <v>100</v>
      </c>
      <c r="Y895">
        <v>41</v>
      </c>
      <c r="Z895">
        <v>1</v>
      </c>
      <c r="AA895">
        <v>0</v>
      </c>
      <c r="AB895" s="3">
        <v>0.38819444444444445</v>
      </c>
      <c r="AC895">
        <v>8.4</v>
      </c>
      <c r="AD895">
        <v>3.4</v>
      </c>
    </row>
    <row r="896" spans="1:30" x14ac:dyDescent="0.2">
      <c r="A896" t="s">
        <v>221</v>
      </c>
      <c r="C896">
        <v>0</v>
      </c>
      <c r="D896" t="s">
        <v>17</v>
      </c>
      <c r="E896">
        <v>2600</v>
      </c>
      <c r="F896" t="s">
        <v>502</v>
      </c>
      <c r="G896" t="s">
        <v>798</v>
      </c>
      <c r="H896" s="2">
        <v>0.83333333333333337</v>
      </c>
      <c r="I896" t="s">
        <v>766</v>
      </c>
      <c r="J896" s="1">
        <v>0.48699999999999999</v>
      </c>
      <c r="K896">
        <v>105.5</v>
      </c>
      <c r="L896">
        <v>6</v>
      </c>
      <c r="M896">
        <v>3</v>
      </c>
      <c r="N896">
        <v>3.46</v>
      </c>
      <c r="O896">
        <v>2</v>
      </c>
      <c r="Q896" s="3">
        <v>0.7993055555555556</v>
      </c>
      <c r="R896">
        <v>4.4000000000000004</v>
      </c>
      <c r="S896">
        <v>3.35</v>
      </c>
      <c r="T896">
        <v>12.59</v>
      </c>
      <c r="U896">
        <v>5.89</v>
      </c>
      <c r="V896">
        <v>5.89</v>
      </c>
      <c r="W896">
        <v>100</v>
      </c>
      <c r="Y896">
        <v>62</v>
      </c>
      <c r="Z896">
        <v>2.2999999999999998</v>
      </c>
      <c r="AA896">
        <v>0</v>
      </c>
      <c r="AB896" s="4">
        <v>1.0180555555555555</v>
      </c>
      <c r="AC896">
        <v>5.8</v>
      </c>
      <c r="AD896">
        <v>2.2000000000000002</v>
      </c>
    </row>
    <row r="897" spans="1:30" x14ac:dyDescent="0.2">
      <c r="A897" t="s">
        <v>421</v>
      </c>
      <c r="C897">
        <v>0</v>
      </c>
      <c r="D897" t="s">
        <v>10</v>
      </c>
      <c r="E897">
        <v>2500</v>
      </c>
      <c r="F897" t="s">
        <v>497</v>
      </c>
      <c r="G897" t="s">
        <v>784</v>
      </c>
      <c r="H897" s="2">
        <v>0.79166666666666663</v>
      </c>
      <c r="I897" t="s">
        <v>766</v>
      </c>
      <c r="J897" s="1">
        <v>0.55100000000000005</v>
      </c>
      <c r="K897">
        <v>81.5</v>
      </c>
      <c r="L897">
        <v>6.5</v>
      </c>
      <c r="M897">
        <v>3.17</v>
      </c>
      <c r="N897">
        <v>3.25</v>
      </c>
      <c r="O897">
        <v>3</v>
      </c>
      <c r="P897">
        <v>2</v>
      </c>
      <c r="Q897" s="3">
        <v>0.56597222222222221</v>
      </c>
      <c r="R897">
        <v>5.8</v>
      </c>
      <c r="S897">
        <v>6.39</v>
      </c>
      <c r="T897">
        <v>19.61</v>
      </c>
      <c r="U897">
        <v>6.83</v>
      </c>
      <c r="V897">
        <v>6.83</v>
      </c>
      <c r="W897">
        <v>100</v>
      </c>
      <c r="Y897">
        <v>45</v>
      </c>
      <c r="Z897">
        <v>2.7</v>
      </c>
      <c r="AA897">
        <v>0</v>
      </c>
    </row>
    <row r="898" spans="1:30" x14ac:dyDescent="0.2">
      <c r="A898" t="s">
        <v>945</v>
      </c>
      <c r="C898">
        <v>0</v>
      </c>
      <c r="D898" t="s">
        <v>10</v>
      </c>
      <c r="E898">
        <v>2500</v>
      </c>
      <c r="F898" t="s">
        <v>777</v>
      </c>
      <c r="G898" t="s">
        <v>778</v>
      </c>
      <c r="H898" s="2">
        <v>0.79166666666666663</v>
      </c>
      <c r="I898" t="s">
        <v>762</v>
      </c>
      <c r="J898" s="1">
        <v>0.46400000000000002</v>
      </c>
      <c r="K898">
        <v>-86.5</v>
      </c>
      <c r="L898">
        <v>6</v>
      </c>
      <c r="M898">
        <v>3.19</v>
      </c>
      <c r="N898">
        <v>3</v>
      </c>
      <c r="Q898" s="3">
        <v>0.3215277777777778</v>
      </c>
      <c r="R898">
        <v>3.6</v>
      </c>
      <c r="S898">
        <v>2.5499999999999998</v>
      </c>
      <c r="T898">
        <v>0</v>
      </c>
      <c r="U898">
        <v>0</v>
      </c>
      <c r="V898">
        <v>0</v>
      </c>
      <c r="W898">
        <v>100</v>
      </c>
      <c r="Y898">
        <v>65</v>
      </c>
      <c r="Z898">
        <v>0</v>
      </c>
      <c r="AA898">
        <v>0</v>
      </c>
    </row>
    <row r="899" spans="1:30" x14ac:dyDescent="0.2">
      <c r="A899" t="s">
        <v>675</v>
      </c>
      <c r="C899">
        <v>0</v>
      </c>
      <c r="D899" t="s">
        <v>5</v>
      </c>
      <c r="E899">
        <v>2500</v>
      </c>
      <c r="F899" t="s">
        <v>764</v>
      </c>
      <c r="G899" t="s">
        <v>765</v>
      </c>
      <c r="H899" s="2">
        <v>0.875</v>
      </c>
      <c r="I899" t="s">
        <v>766</v>
      </c>
      <c r="J899" s="1">
        <v>0.47099999999999997</v>
      </c>
      <c r="K899">
        <v>112.5</v>
      </c>
      <c r="L899">
        <v>7</v>
      </c>
      <c r="M899">
        <v>3.5</v>
      </c>
      <c r="N899">
        <v>4.05</v>
      </c>
      <c r="O899">
        <v>4</v>
      </c>
      <c r="Q899" s="3">
        <v>0.40972222222222221</v>
      </c>
      <c r="R899">
        <v>3</v>
      </c>
      <c r="S899">
        <v>4.12</v>
      </c>
      <c r="T899">
        <v>11.75</v>
      </c>
      <c r="U899">
        <v>3.51</v>
      </c>
      <c r="V899">
        <v>3.51</v>
      </c>
      <c r="W899">
        <v>100</v>
      </c>
      <c r="Y899">
        <v>31</v>
      </c>
      <c r="Z899">
        <v>1.4</v>
      </c>
      <c r="AA899">
        <v>0</v>
      </c>
      <c r="AB899" s="3">
        <v>0.36805555555555558</v>
      </c>
      <c r="AC899">
        <v>1.5</v>
      </c>
      <c r="AD899">
        <v>0.6</v>
      </c>
    </row>
    <row r="900" spans="1:30" x14ac:dyDescent="0.2">
      <c r="A900" t="s">
        <v>680</v>
      </c>
      <c r="C900">
        <v>0</v>
      </c>
      <c r="D900" t="s">
        <v>10</v>
      </c>
      <c r="E900">
        <v>2500</v>
      </c>
      <c r="F900" t="s">
        <v>478</v>
      </c>
      <c r="G900" t="s">
        <v>763</v>
      </c>
      <c r="H900" s="2">
        <v>0.79166666666666663</v>
      </c>
      <c r="I900" t="s">
        <v>762</v>
      </c>
      <c r="J900" s="1">
        <v>0.44900000000000001</v>
      </c>
      <c r="K900">
        <v>-81.5</v>
      </c>
      <c r="L900">
        <v>6.5</v>
      </c>
      <c r="M900">
        <v>3.25</v>
      </c>
      <c r="N900">
        <v>3.17</v>
      </c>
      <c r="O900">
        <v>4</v>
      </c>
      <c r="Q900" s="3">
        <v>0.31111111111111112</v>
      </c>
      <c r="R900">
        <v>2.7</v>
      </c>
      <c r="S900">
        <v>3.37</v>
      </c>
      <c r="T900">
        <v>10.050000000000001</v>
      </c>
      <c r="U900">
        <v>3.31</v>
      </c>
      <c r="V900">
        <v>3.31</v>
      </c>
      <c r="W900">
        <v>100</v>
      </c>
      <c r="Y900">
        <v>38</v>
      </c>
      <c r="Z900">
        <v>1.3</v>
      </c>
      <c r="AA900">
        <v>0</v>
      </c>
      <c r="AB900" s="3">
        <v>0.4284722222222222</v>
      </c>
      <c r="AC900">
        <v>0</v>
      </c>
    </row>
    <row r="901" spans="1:30" x14ac:dyDescent="0.2">
      <c r="A901" t="s">
        <v>996</v>
      </c>
      <c r="C901">
        <v>0</v>
      </c>
      <c r="D901" t="s">
        <v>17</v>
      </c>
      <c r="E901">
        <v>2500</v>
      </c>
      <c r="F901" t="s">
        <v>502</v>
      </c>
      <c r="G901" t="s">
        <v>798</v>
      </c>
      <c r="H901" s="2">
        <v>0.83333333333333337</v>
      </c>
      <c r="I901" t="s">
        <v>766</v>
      </c>
      <c r="J901" s="1">
        <v>0.48699999999999999</v>
      </c>
      <c r="K901">
        <v>105.5</v>
      </c>
      <c r="L901">
        <v>6</v>
      </c>
      <c r="M901">
        <v>3</v>
      </c>
      <c r="N901">
        <v>3.46</v>
      </c>
      <c r="Q901" s="3">
        <v>0.63472222222222219</v>
      </c>
      <c r="R901">
        <v>3.3</v>
      </c>
      <c r="S901">
        <v>2.56</v>
      </c>
      <c r="T901">
        <v>0</v>
      </c>
      <c r="U901">
        <v>0</v>
      </c>
      <c r="V901">
        <v>0</v>
      </c>
      <c r="W901">
        <v>100</v>
      </c>
      <c r="Y901">
        <v>61</v>
      </c>
      <c r="Z901">
        <v>0</v>
      </c>
      <c r="AA901">
        <v>0</v>
      </c>
    </row>
    <row r="902" spans="1:30" x14ac:dyDescent="0.2">
      <c r="A902" t="s">
        <v>893</v>
      </c>
      <c r="C902">
        <v>0</v>
      </c>
      <c r="D902" t="s">
        <v>17</v>
      </c>
      <c r="E902">
        <v>3200</v>
      </c>
      <c r="F902" t="s">
        <v>510</v>
      </c>
      <c r="G902" t="s">
        <v>802</v>
      </c>
      <c r="H902" s="2">
        <v>0.91666666666666663</v>
      </c>
      <c r="I902" t="s">
        <v>766</v>
      </c>
      <c r="J902" s="1">
        <v>0.51200000000000001</v>
      </c>
      <c r="K902">
        <v>95.5</v>
      </c>
      <c r="L902">
        <v>6.5</v>
      </c>
      <c r="M902">
        <v>3.01</v>
      </c>
      <c r="N902">
        <v>3.25</v>
      </c>
      <c r="Q902" s="3">
        <v>0.79652777777777772</v>
      </c>
      <c r="R902">
        <v>4.5999999999999996</v>
      </c>
      <c r="S902">
        <v>4.91</v>
      </c>
      <c r="T902">
        <v>0</v>
      </c>
      <c r="U902">
        <v>0</v>
      </c>
      <c r="V902">
        <v>0</v>
      </c>
      <c r="W902">
        <v>100</v>
      </c>
      <c r="Y902">
        <v>47</v>
      </c>
      <c r="Z902">
        <v>0</v>
      </c>
      <c r="AA902">
        <v>0</v>
      </c>
    </row>
    <row r="903" spans="1:30" x14ac:dyDescent="0.2">
      <c r="A903" t="s">
        <v>564</v>
      </c>
      <c r="C903">
        <v>0</v>
      </c>
      <c r="D903" t="s">
        <v>10</v>
      </c>
      <c r="E903">
        <v>2500</v>
      </c>
      <c r="F903" t="s">
        <v>768</v>
      </c>
      <c r="G903" t="s">
        <v>769</v>
      </c>
      <c r="H903" s="2">
        <v>0.79166666666666663</v>
      </c>
      <c r="I903" t="s">
        <v>762</v>
      </c>
      <c r="J903" s="1">
        <v>0.51800000000000002</v>
      </c>
      <c r="K903">
        <v>-107.5</v>
      </c>
      <c r="L903">
        <v>5.5</v>
      </c>
      <c r="M903">
        <v>3.2</v>
      </c>
      <c r="N903">
        <v>2.75</v>
      </c>
      <c r="O903">
        <v>3</v>
      </c>
      <c r="Q903" s="3">
        <v>0.6118055555555556</v>
      </c>
      <c r="R903">
        <v>4.5999999999999996</v>
      </c>
      <c r="S903">
        <v>4.4400000000000004</v>
      </c>
      <c r="T903">
        <v>13.69</v>
      </c>
      <c r="U903">
        <v>4.8099999999999996</v>
      </c>
      <c r="V903">
        <v>4.8099999999999996</v>
      </c>
      <c r="W903">
        <v>100</v>
      </c>
      <c r="Y903">
        <v>52</v>
      </c>
      <c r="Z903">
        <v>1.9</v>
      </c>
      <c r="AA903">
        <v>0</v>
      </c>
      <c r="AB903" s="3">
        <v>0.70208333333333328</v>
      </c>
      <c r="AC903">
        <v>12.6</v>
      </c>
      <c r="AD903">
        <v>5</v>
      </c>
    </row>
  </sheetData>
  <autoFilter ref="A1:AD903" xr:uid="{298E6A97-D021-BA4D-B1B5-FDB24E68BE6D}">
    <sortState xmlns:xlrd2="http://schemas.microsoft.com/office/spreadsheetml/2017/richdata2" ref="A2:AD903">
      <sortCondition ref="A1:A9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</vt:lpstr>
      <vt:lpstr>Projection</vt:lpstr>
      <vt:lpstr>NHT</vt:lpstr>
      <vt:lpstr>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Horlbeck</dc:creator>
  <cp:lastModifiedBy>Brendan Horlbeck</cp:lastModifiedBy>
  <dcterms:created xsi:type="dcterms:W3CDTF">2026-01-30T08:32:34Z</dcterms:created>
  <dcterms:modified xsi:type="dcterms:W3CDTF">2026-01-30T08:50:42Z</dcterms:modified>
</cp:coreProperties>
</file>