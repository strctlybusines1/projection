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anhorlbeck/Desktop/Code/projection/"/>
    </mc:Choice>
  </mc:AlternateContent>
  <xr:revisionPtr revIDLastSave="0" documentId="8_{AD1A9C2B-8E6A-2F4A-808A-3AD967C060E7}" xr6:coauthVersionLast="47" xr6:coauthVersionMax="47" xr10:uidLastSave="{00000000-0000-0000-0000-000000000000}"/>
  <bookViews>
    <workbookView xWindow="19820" yWindow="5220" windowWidth="27640" windowHeight="16680" activeTab="1" xr2:uid="{273C03AB-5BB7-1D42-9CB2-E468E526A300}"/>
  </bookViews>
  <sheets>
    <sheet name="Actual" sheetId="1" r:id="rId1"/>
    <sheet name="Projection" sheetId="2" r:id="rId2"/>
    <sheet name="NHT" sheetId="3" r:id="rId3"/>
    <sheet name="FC" sheetId="4" r:id="rId4"/>
  </sheets>
  <definedNames>
    <definedName name="_xlnm._FilterDatabase" localSheetId="0" hidden="1">Actual!$A$1:$D$595</definedName>
    <definedName name="_xlnm._FilterDatabase" localSheetId="2" hidden="1">NHT!$A$1:$AI$115</definedName>
    <definedName name="_xlnm._FilterDatabase" localSheetId="1" hidden="1">Projection!$A$1:$N$108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N18" i="2"/>
  <c r="N99" i="2"/>
  <c r="N49" i="2"/>
  <c r="N16" i="2"/>
  <c r="N17" i="2"/>
  <c r="N26" i="2"/>
  <c r="N53" i="2"/>
  <c r="N6" i="2"/>
  <c r="N8" i="2"/>
  <c r="N2" i="2"/>
  <c r="N100" i="2"/>
  <c r="N19" i="2"/>
  <c r="N24" i="2"/>
  <c r="N50" i="2"/>
  <c r="N59" i="2"/>
  <c r="N40" i="2"/>
  <c r="N3" i="2"/>
  <c r="N51" i="2"/>
  <c r="N30" i="2"/>
  <c r="N77" i="2"/>
  <c r="N89" i="2"/>
  <c r="N78" i="2"/>
  <c r="N15" i="2"/>
  <c r="N70" i="2"/>
  <c r="N60" i="2"/>
  <c r="N90" i="2"/>
  <c r="N23" i="2"/>
  <c r="N48" i="2"/>
  <c r="N101" i="2"/>
  <c r="N35" i="2"/>
  <c r="N31" i="2"/>
  <c r="N10" i="2"/>
  <c r="N47" i="2"/>
  <c r="N79" i="2"/>
  <c r="N11" i="2"/>
  <c r="N9" i="2"/>
  <c r="N66" i="2"/>
  <c r="N67" i="2"/>
  <c r="N80" i="2"/>
  <c r="N91" i="2"/>
  <c r="N14" i="2"/>
  <c r="N68" i="2"/>
  <c r="N37" i="2"/>
  <c r="N25" i="2"/>
  <c r="N81" i="2"/>
  <c r="N33" i="2"/>
  <c r="N29" i="2"/>
  <c r="N92" i="2"/>
  <c r="N71" i="2"/>
  <c r="N38" i="2"/>
  <c r="N45" i="2"/>
  <c r="N4" i="2"/>
  <c r="N36" i="2"/>
  <c r="N102" i="2"/>
  <c r="N27" i="2"/>
  <c r="N82" i="2"/>
  <c r="N61" i="2"/>
  <c r="N93" i="2"/>
  <c r="N5" i="2"/>
  <c r="N39" i="2"/>
  <c r="N20" i="2"/>
  <c r="N94" i="2"/>
  <c r="N21" i="2"/>
  <c r="N103" i="2"/>
  <c r="N83" i="2"/>
  <c r="N65" i="2"/>
  <c r="N57" i="2"/>
  <c r="N72" i="2"/>
  <c r="N84" i="2"/>
  <c r="N95" i="2"/>
  <c r="N52" i="2"/>
  <c r="N42" i="2"/>
  <c r="N104" i="2"/>
  <c r="N43" i="2"/>
  <c r="N28" i="2"/>
  <c r="N74" i="2"/>
  <c r="N85" i="2"/>
  <c r="N62" i="2"/>
  <c r="N46" i="2"/>
  <c r="N58" i="2"/>
  <c r="N7" i="2"/>
  <c r="N96" i="2"/>
  <c r="N54" i="2"/>
  <c r="N73" i="2"/>
  <c r="N55" i="2"/>
  <c r="N97" i="2"/>
  <c r="N34" i="2"/>
  <c r="N105" i="2"/>
  <c r="N13" i="2"/>
  <c r="N44" i="2"/>
  <c r="N86" i="2"/>
  <c r="N98" i="2"/>
  <c r="N87" i="2"/>
  <c r="N75" i="2"/>
  <c r="N88" i="2"/>
  <c r="N106" i="2"/>
  <c r="N56" i="2"/>
  <c r="N107" i="2"/>
  <c r="N108" i="2"/>
  <c r="N76" i="2"/>
  <c r="N41" i="2"/>
  <c r="N63" i="2"/>
  <c r="N22" i="2"/>
  <c r="N64" i="2"/>
  <c r="N32" i="2"/>
  <c r="N69" i="2"/>
  <c r="M12" i="2"/>
  <c r="M18" i="2"/>
  <c r="M99" i="2"/>
  <c r="M49" i="2"/>
  <c r="M16" i="2"/>
  <c r="M17" i="2"/>
  <c r="M26" i="2"/>
  <c r="M53" i="2"/>
  <c r="M6" i="2"/>
  <c r="M8" i="2"/>
  <c r="M2" i="2"/>
  <c r="M100" i="2"/>
  <c r="M19" i="2"/>
  <c r="M24" i="2"/>
  <c r="M50" i="2"/>
  <c r="M59" i="2"/>
  <c r="M40" i="2"/>
  <c r="M3" i="2"/>
  <c r="M51" i="2"/>
  <c r="M30" i="2"/>
  <c r="M77" i="2"/>
  <c r="M89" i="2"/>
  <c r="M78" i="2"/>
  <c r="M15" i="2"/>
  <c r="M70" i="2"/>
  <c r="M60" i="2"/>
  <c r="M90" i="2"/>
  <c r="M23" i="2"/>
  <c r="M48" i="2"/>
  <c r="M101" i="2"/>
  <c r="M35" i="2"/>
  <c r="M31" i="2"/>
  <c r="M10" i="2"/>
  <c r="M47" i="2"/>
  <c r="M79" i="2"/>
  <c r="M11" i="2"/>
  <c r="M9" i="2"/>
  <c r="M66" i="2"/>
  <c r="M67" i="2"/>
  <c r="M80" i="2"/>
  <c r="M91" i="2"/>
  <c r="M14" i="2"/>
  <c r="M68" i="2"/>
  <c r="M37" i="2"/>
  <c r="M25" i="2"/>
  <c r="M81" i="2"/>
  <c r="M33" i="2"/>
  <c r="M29" i="2"/>
  <c r="M92" i="2"/>
  <c r="M71" i="2"/>
  <c r="M38" i="2"/>
  <c r="M45" i="2"/>
  <c r="M4" i="2"/>
  <c r="M36" i="2"/>
  <c r="M102" i="2"/>
  <c r="M27" i="2"/>
  <c r="M82" i="2"/>
  <c r="M61" i="2"/>
  <c r="M93" i="2"/>
  <c r="M5" i="2"/>
  <c r="M39" i="2"/>
  <c r="M20" i="2"/>
  <c r="M94" i="2"/>
  <c r="M21" i="2"/>
  <c r="M103" i="2"/>
  <c r="M83" i="2"/>
  <c r="M65" i="2"/>
  <c r="M57" i="2"/>
  <c r="M72" i="2"/>
  <c r="M84" i="2"/>
  <c r="M95" i="2"/>
  <c r="M52" i="2"/>
  <c r="M42" i="2"/>
  <c r="M104" i="2"/>
  <c r="M43" i="2"/>
  <c r="M28" i="2"/>
  <c r="M74" i="2"/>
  <c r="M85" i="2"/>
  <c r="M62" i="2"/>
  <c r="M46" i="2"/>
  <c r="M58" i="2"/>
  <c r="M7" i="2"/>
  <c r="M96" i="2"/>
  <c r="M54" i="2"/>
  <c r="M73" i="2"/>
  <c r="M55" i="2"/>
  <c r="M97" i="2"/>
  <c r="M34" i="2"/>
  <c r="M105" i="2"/>
  <c r="M13" i="2"/>
  <c r="M44" i="2"/>
  <c r="M86" i="2"/>
  <c r="M98" i="2"/>
  <c r="M87" i="2"/>
  <c r="M75" i="2"/>
  <c r="M88" i="2"/>
  <c r="M106" i="2"/>
  <c r="M56" i="2"/>
  <c r="M107" i="2"/>
  <c r="M108" i="2"/>
  <c r="M76" i="2"/>
  <c r="M41" i="2"/>
  <c r="M63" i="2"/>
  <c r="M22" i="2"/>
  <c r="M64" i="2"/>
  <c r="M32" i="2"/>
  <c r="M69" i="2"/>
  <c r="L12" i="2"/>
  <c r="L18" i="2"/>
  <c r="L99" i="2"/>
  <c r="L49" i="2"/>
  <c r="L16" i="2"/>
  <c r="L17" i="2"/>
  <c r="L26" i="2"/>
  <c r="L53" i="2"/>
  <c r="L6" i="2"/>
  <c r="L8" i="2"/>
  <c r="L2" i="2"/>
  <c r="L100" i="2"/>
  <c r="L19" i="2"/>
  <c r="L24" i="2"/>
  <c r="L50" i="2"/>
  <c r="L59" i="2"/>
  <c r="L40" i="2"/>
  <c r="L3" i="2"/>
  <c r="L51" i="2"/>
  <c r="L30" i="2"/>
  <c r="L77" i="2"/>
  <c r="L89" i="2"/>
  <c r="L78" i="2"/>
  <c r="L15" i="2"/>
  <c r="L70" i="2"/>
  <c r="L60" i="2"/>
  <c r="L90" i="2"/>
  <c r="L23" i="2"/>
  <c r="L48" i="2"/>
  <c r="L101" i="2"/>
  <c r="L35" i="2"/>
  <c r="L31" i="2"/>
  <c r="L10" i="2"/>
  <c r="L47" i="2"/>
  <c r="L79" i="2"/>
  <c r="L11" i="2"/>
  <c r="L9" i="2"/>
  <c r="L66" i="2"/>
  <c r="L67" i="2"/>
  <c r="L80" i="2"/>
  <c r="L91" i="2"/>
  <c r="L14" i="2"/>
  <c r="L68" i="2"/>
  <c r="L37" i="2"/>
  <c r="L25" i="2"/>
  <c r="L81" i="2"/>
  <c r="L33" i="2"/>
  <c r="L29" i="2"/>
  <c r="L92" i="2"/>
  <c r="L71" i="2"/>
  <c r="L38" i="2"/>
  <c r="L45" i="2"/>
  <c r="L4" i="2"/>
  <c r="L36" i="2"/>
  <c r="L102" i="2"/>
  <c r="L27" i="2"/>
  <c r="L82" i="2"/>
  <c r="L61" i="2"/>
  <c r="L93" i="2"/>
  <c r="L5" i="2"/>
  <c r="L39" i="2"/>
  <c r="L20" i="2"/>
  <c r="L94" i="2"/>
  <c r="L21" i="2"/>
  <c r="L103" i="2"/>
  <c r="L83" i="2"/>
  <c r="L65" i="2"/>
  <c r="L57" i="2"/>
  <c r="L72" i="2"/>
  <c r="L84" i="2"/>
  <c r="L95" i="2"/>
  <c r="L52" i="2"/>
  <c r="L42" i="2"/>
  <c r="L104" i="2"/>
  <c r="L43" i="2"/>
  <c r="L28" i="2"/>
  <c r="L74" i="2"/>
  <c r="L85" i="2"/>
  <c r="L62" i="2"/>
  <c r="L46" i="2"/>
  <c r="L58" i="2"/>
  <c r="L7" i="2"/>
  <c r="L96" i="2"/>
  <c r="L54" i="2"/>
  <c r="L73" i="2"/>
  <c r="L55" i="2"/>
  <c r="L97" i="2"/>
  <c r="L34" i="2"/>
  <c r="L105" i="2"/>
  <c r="L13" i="2"/>
  <c r="L44" i="2"/>
  <c r="L86" i="2"/>
  <c r="L98" i="2"/>
  <c r="L87" i="2"/>
  <c r="L75" i="2"/>
  <c r="L88" i="2"/>
  <c r="L106" i="2"/>
  <c r="L56" i="2"/>
  <c r="L107" i="2"/>
  <c r="L108" i="2"/>
  <c r="L76" i="2"/>
  <c r="L41" i="2"/>
  <c r="L63" i="2"/>
  <c r="L22" i="2"/>
  <c r="L64" i="2"/>
  <c r="L32" i="2"/>
  <c r="L69" i="2"/>
</calcChain>
</file>

<file path=xl/sharedStrings.xml><?xml version="1.0" encoding="utf-8"?>
<sst xmlns="http://schemas.openxmlformats.org/spreadsheetml/2006/main" count="2175" uniqueCount="290">
  <si>
    <t>Player</t>
  </si>
  <si>
    <t>Roster Position</t>
  </si>
  <si>
    <t>%Drafted</t>
  </si>
  <si>
    <t>FPTS</t>
  </si>
  <si>
    <t>Nathan MacKinnon</t>
  </si>
  <si>
    <t>C</t>
  </si>
  <si>
    <t>Victor Olofsson</t>
  </si>
  <si>
    <t>UTIL</t>
  </si>
  <si>
    <t>Brock Nelson</t>
  </si>
  <si>
    <t>Martin Necas</t>
  </si>
  <si>
    <t>W</t>
  </si>
  <si>
    <t>Cale Makar</t>
  </si>
  <si>
    <t>D</t>
  </si>
  <si>
    <t>Anthony Duclair</t>
  </si>
  <si>
    <t>Dan Vladar</t>
  </si>
  <si>
    <t>G</t>
  </si>
  <si>
    <t>MacKenzie Blackwood</t>
  </si>
  <si>
    <t>Owen Tippett</t>
  </si>
  <si>
    <t>David Rittich</t>
  </si>
  <si>
    <t>Christian Dvorak</t>
  </si>
  <si>
    <t>Kirill Marchenko</t>
  </si>
  <si>
    <t>Travis Konecny</t>
  </si>
  <si>
    <t>Tony DeAngelo</t>
  </si>
  <si>
    <t>Mason Marchment</t>
  </si>
  <si>
    <t>Cam York</t>
  </si>
  <si>
    <t>Zach Werenski</t>
  </si>
  <si>
    <t>Adam Fantilli</t>
  </si>
  <si>
    <t>J.T. Miller</t>
  </si>
  <si>
    <t>Mathew Barzal</t>
  </si>
  <si>
    <t>Trevor Zegras</t>
  </si>
  <si>
    <t>Elvis Merzlikins</t>
  </si>
  <si>
    <t>Dylan Cozens</t>
  </si>
  <si>
    <t>Brady Tkachuk</t>
  </si>
  <si>
    <t>Artturi Lehkonen</t>
  </si>
  <si>
    <t>Charlie Coyle</t>
  </si>
  <si>
    <t>Sam Malinski</t>
  </si>
  <si>
    <t>Matvei Michkov</t>
  </si>
  <si>
    <t>Brent Burns</t>
  </si>
  <si>
    <t>Ridly Greig</t>
  </si>
  <si>
    <t>Matthew Schaefer</t>
  </si>
  <si>
    <t>Alexis Lafreniere</t>
  </si>
  <si>
    <t>Jamie Drysdale</t>
  </si>
  <si>
    <t>Simon Holmstrom</t>
  </si>
  <si>
    <t>Vincent Trocheck</t>
  </si>
  <si>
    <t>Mika Zibanejad</t>
  </si>
  <si>
    <t>Bo Horvat</t>
  </si>
  <si>
    <t>Emil Heineman</t>
  </si>
  <si>
    <t>Josh Manson</t>
  </si>
  <si>
    <t>Travis Sanheim</t>
  </si>
  <si>
    <t>Jake Sanderson</t>
  </si>
  <si>
    <t>Anders Lee</t>
  </si>
  <si>
    <t>Sean Monahan</t>
  </si>
  <si>
    <t>Adam Pelech</t>
  </si>
  <si>
    <t>Drake Batherson</t>
  </si>
  <si>
    <t>Thomas Chabot</t>
  </si>
  <si>
    <t>Nick Seeler</t>
  </si>
  <si>
    <t>Valeri Nichushkin</t>
  </si>
  <si>
    <t>Boone Jenner</t>
  </si>
  <si>
    <t>Jonathan Drouin</t>
  </si>
  <si>
    <t>James Reimer</t>
  </si>
  <si>
    <t>Tim Stuetzle</t>
  </si>
  <si>
    <t>Spencer Martin</t>
  </si>
  <si>
    <t>Braden Schneider</t>
  </si>
  <si>
    <t>Bobby Brink</t>
  </si>
  <si>
    <t>Ivan Provorov</t>
  </si>
  <si>
    <t>Will Cuylle</t>
  </si>
  <si>
    <t>Jean-Gabriel Pageau</t>
  </si>
  <si>
    <t>Claude Giroux</t>
  </si>
  <si>
    <t>Sean Couturier</t>
  </si>
  <si>
    <t>Ondrej Palat</t>
  </si>
  <si>
    <t>Denver Barkey</t>
  </si>
  <si>
    <t>Kent Johnson</t>
  </si>
  <si>
    <t>Noah Cates</t>
  </si>
  <si>
    <t>Dmitri Voronkov</t>
  </si>
  <si>
    <t>Rasmus Ristolainen</t>
  </si>
  <si>
    <t>Erik Gudbranson</t>
  </si>
  <si>
    <t>Vladislav Gavrikov</t>
  </si>
  <si>
    <t>Ilya Sorokin</t>
  </si>
  <si>
    <t>Parker Kelly</t>
  </si>
  <si>
    <t>Artem Zub</t>
  </si>
  <si>
    <t>Denton Mateychuk</t>
  </si>
  <si>
    <t>Shane Pinto</t>
  </si>
  <si>
    <t>Gabe Perreault</t>
  </si>
  <si>
    <t>Matthew Robertson</t>
  </si>
  <si>
    <t>Damon Severson</t>
  </si>
  <si>
    <t>Cole Sillinger</t>
  </si>
  <si>
    <t>Samuel Girard</t>
  </si>
  <si>
    <t>Jack Drury</t>
  </si>
  <si>
    <t>Scott Morrow</t>
  </si>
  <si>
    <t>Mathieu Olivier</t>
  </si>
  <si>
    <t>Noah Laba</t>
  </si>
  <si>
    <t>Will Borgen</t>
  </si>
  <si>
    <t>Jordan Spence</t>
  </si>
  <si>
    <t>Carson Soucy</t>
  </si>
  <si>
    <t>Fabian Zetterlund</t>
  </si>
  <si>
    <t>Nick Jensen</t>
  </si>
  <si>
    <t>Artemi Panarin</t>
  </si>
  <si>
    <t>Carl Grundstrom</t>
  </si>
  <si>
    <t>Scott Mayfield</t>
  </si>
  <si>
    <t>Ryan Pulock</t>
  </si>
  <si>
    <t>Egor Zamula</t>
  </si>
  <si>
    <t>Gavin Brindley</t>
  </si>
  <si>
    <t>Max Shabanov</t>
  </si>
  <si>
    <t>Miles Wood</t>
  </si>
  <si>
    <t>Jet Greaves</t>
  </si>
  <si>
    <t>Adam Boqvist</t>
  </si>
  <si>
    <t>Casey Cizikas</t>
  </si>
  <si>
    <t>Scott Wedgewood</t>
  </si>
  <si>
    <t>Maxim Tsyplakov</t>
  </si>
  <si>
    <t>Michael Amadio</t>
  </si>
  <si>
    <t>Linus Ullmark</t>
  </si>
  <si>
    <t>Sam Carrick</t>
  </si>
  <si>
    <t>Samuel Ersson</t>
  </si>
  <si>
    <t>Joel Kiviranta</t>
  </si>
  <si>
    <t>Jonathan Quick</t>
  </si>
  <si>
    <t>Matt Rempe</t>
  </si>
  <si>
    <t>Taylor Makar</t>
  </si>
  <si>
    <t>Brendan Gaunce</t>
  </si>
  <si>
    <t>Tyler Kleven</t>
  </si>
  <si>
    <t>Mikael Pyyhtia</t>
  </si>
  <si>
    <t>Nikita Grebenkin</t>
  </si>
  <si>
    <t>Inj</t>
  </si>
  <si>
    <t>Likes</t>
  </si>
  <si>
    <t>Pos</t>
  </si>
  <si>
    <t>Salary</t>
  </si>
  <si>
    <t>Team</t>
  </si>
  <si>
    <t>Opp</t>
  </si>
  <si>
    <t>Time</t>
  </si>
  <si>
    <t>Fav.</t>
  </si>
  <si>
    <t>Win %</t>
  </si>
  <si>
    <t>Spread</t>
  </si>
  <si>
    <t>Total</t>
  </si>
  <si>
    <t>TeamGoal</t>
  </si>
  <si>
    <t>OppGoal</t>
  </si>
  <si>
    <t>Start/Line</t>
  </si>
  <si>
    <t>PP Unit</t>
  </si>
  <si>
    <t>avg TOI</t>
  </si>
  <si>
    <t>Avg</t>
  </si>
  <si>
    <t>STDV</t>
  </si>
  <si>
    <t>Ceiling</t>
  </si>
  <si>
    <t>FC Proj</t>
  </si>
  <si>
    <t>My Proj</t>
  </si>
  <si>
    <t>Exp.</t>
  </si>
  <si>
    <t>Used</t>
  </si>
  <si>
    <t>Con.</t>
  </si>
  <si>
    <t>Value</t>
  </si>
  <si>
    <t>Own%</t>
  </si>
  <si>
    <t>TOI</t>
  </si>
  <si>
    <t>Score</t>
  </si>
  <si>
    <t>Val</t>
  </si>
  <si>
    <t>COL</t>
  </si>
  <si>
    <t>@ OTT</t>
  </si>
  <si>
    <t>Y</t>
  </si>
  <si>
    <t>CBJ</t>
  </si>
  <si>
    <t>vs PHI</t>
  </si>
  <si>
    <t>NYI</t>
  </si>
  <si>
    <t>vs NYR</t>
  </si>
  <si>
    <t>NYR</t>
  </si>
  <si>
    <t>@ NYI</t>
  </si>
  <si>
    <t>N</t>
  </si>
  <si>
    <t>OTT</t>
  </si>
  <si>
    <t>vs COL</t>
  </si>
  <si>
    <t>confirm</t>
  </si>
  <si>
    <t>PHI</t>
  </si>
  <si>
    <t>@ CBJ</t>
  </si>
  <si>
    <t>Anthony Deangelo</t>
  </si>
  <si>
    <t>Urho Vaakanainen</t>
  </si>
  <si>
    <t>Jonny Brodzinski</t>
  </si>
  <si>
    <t>Brennan Othmann</t>
  </si>
  <si>
    <t>Marc Gatcomb</t>
  </si>
  <si>
    <t>Taylor Raddysh</t>
  </si>
  <si>
    <t>Kyle MacLean</t>
  </si>
  <si>
    <t>Noah Juulsen</t>
  </si>
  <si>
    <t>Keaton Middleton</t>
  </si>
  <si>
    <t>Isac Lundestrom</t>
  </si>
  <si>
    <t>Xavier Bourgault</t>
  </si>
  <si>
    <t>Lane Pederson</t>
  </si>
  <si>
    <t>Nick Cousins</t>
  </si>
  <si>
    <t>Zakhar Bardakov</t>
  </si>
  <si>
    <t>Lars Eller</t>
  </si>
  <si>
    <t>unlikely</t>
  </si>
  <si>
    <t>Semyon Varlamov</t>
  </si>
  <si>
    <t>Alexei Kolosov</t>
  </si>
  <si>
    <t>Igor Shesterkin</t>
  </si>
  <si>
    <t>Mads Sogaard</t>
  </si>
  <si>
    <t>Marcus Hogberg</t>
  </si>
  <si>
    <t>Leevi Merilainen</t>
  </si>
  <si>
    <t>Trent Miner</t>
  </si>
  <si>
    <t>Adam Fox</t>
  </si>
  <si>
    <t>Gabriel Landeskog</t>
  </si>
  <si>
    <t>Ross Colton</t>
  </si>
  <si>
    <t>Tyson Foerster</t>
  </si>
  <si>
    <t>Devon Toews</t>
  </si>
  <si>
    <t>Dante Fabbro</t>
  </si>
  <si>
    <t>Calum Ritchie</t>
  </si>
  <si>
    <t>Stephen Halliday</t>
  </si>
  <si>
    <t>Connor Mackey</t>
  </si>
  <si>
    <t>Cole McWard</t>
  </si>
  <si>
    <t>Marshall Warren</t>
  </si>
  <si>
    <t>Travis Mitchell</t>
  </si>
  <si>
    <t>Alexander Romanov</t>
  </si>
  <si>
    <t>Isaiah George</t>
  </si>
  <si>
    <t>Jaroslav Chmelar</t>
  </si>
  <si>
    <t>Anton Blidh</t>
  </si>
  <si>
    <t>Juuso Parssinen</t>
  </si>
  <si>
    <t>Brett Berard</t>
  </si>
  <si>
    <t>Conor Sheary</t>
  </si>
  <si>
    <t>Kyle Palmieri</t>
  </si>
  <si>
    <t>Pierre Engvall</t>
  </si>
  <si>
    <t>Justin Dowling</t>
  </si>
  <si>
    <t>Adam Edstrom</t>
  </si>
  <si>
    <t>Adam Ginning</t>
  </si>
  <si>
    <t>Ty Murchison</t>
  </si>
  <si>
    <t>Emil Andrae</t>
  </si>
  <si>
    <t>Dysin Mayo</t>
  </si>
  <si>
    <t>Brendan Smith</t>
  </si>
  <si>
    <t>Jake Christiansen</t>
  </si>
  <si>
    <t>Garnet Hathaway</t>
  </si>
  <si>
    <t>Luca Del Bel Belluz</t>
  </si>
  <si>
    <t>Zachary Aston-Reese</t>
  </si>
  <si>
    <t>Danton Heinen</t>
  </si>
  <si>
    <t>Jacob Gaucher</t>
  </si>
  <si>
    <t>Jett Luchanko</t>
  </si>
  <si>
    <t>Rodrigo Abols</t>
  </si>
  <si>
    <t>Nicolas Deslauriers</t>
  </si>
  <si>
    <t>Luca Pinelli</t>
  </si>
  <si>
    <t>Dennis Gilbert</t>
  </si>
  <si>
    <t>Nikolas Matinpalo</t>
  </si>
  <si>
    <t>Jack Ahcan</t>
  </si>
  <si>
    <t>Jacob MacDonald</t>
  </si>
  <si>
    <t>Arthur Kaliyev</t>
  </si>
  <si>
    <t>Hayden Hodgson</t>
  </si>
  <si>
    <t>Olle Lycksell</t>
  </si>
  <si>
    <t>David Perron</t>
  </si>
  <si>
    <t>Kurtis MacDermid</t>
  </si>
  <si>
    <t>Ivan Ivan</t>
  </si>
  <si>
    <t>Logan O'Connor</t>
  </si>
  <si>
    <t>Tristen Nielsen</t>
  </si>
  <si>
    <t>Position</t>
  </si>
  <si>
    <t>GP</t>
  </si>
  <si>
    <t>Goals</t>
  </si>
  <si>
    <t>Total Assists</t>
  </si>
  <si>
    <t>First Assists</t>
  </si>
  <si>
    <t>Second Assists</t>
  </si>
  <si>
    <t>Total Points</t>
  </si>
  <si>
    <t>IPP</t>
  </si>
  <si>
    <t>Shots</t>
  </si>
  <si>
    <t>SH%</t>
  </si>
  <si>
    <t>ixG</t>
  </si>
  <si>
    <t>iCF</t>
  </si>
  <si>
    <t>iFF</t>
  </si>
  <si>
    <t>iSCF</t>
  </si>
  <si>
    <t>iHDCF</t>
  </si>
  <si>
    <t>Rush Attempts</t>
  </si>
  <si>
    <t>Rebounds Created</t>
  </si>
  <si>
    <t>PIM</t>
  </si>
  <si>
    <t>Total Penalties</t>
  </si>
  <si>
    <t>Minor</t>
  </si>
  <si>
    <t>Major</t>
  </si>
  <si>
    <t>Misconduct</t>
  </si>
  <si>
    <t>Penalties Drawn</t>
  </si>
  <si>
    <t>Giveaways</t>
  </si>
  <si>
    <t>Takeaways</t>
  </si>
  <si>
    <t>Hits</t>
  </si>
  <si>
    <t>Hits Taken</t>
  </si>
  <si>
    <t>Shots Blocked</t>
  </si>
  <si>
    <t>Faceoffs Won</t>
  </si>
  <si>
    <t>Faceoffs Lost</t>
  </si>
  <si>
    <t>Faceoffs %</t>
  </si>
  <si>
    <t>R</t>
  </si>
  <si>
    <t>-</t>
  </si>
  <si>
    <t>inf</t>
  </si>
  <si>
    <t>L</t>
  </si>
  <si>
    <t>Isac Lundeström</t>
  </si>
  <si>
    <t>Mackenzie Blackwood</t>
  </si>
  <si>
    <t>name</t>
  </si>
  <si>
    <t>team</t>
  </si>
  <si>
    <t>position</t>
  </si>
  <si>
    <t>salary</t>
  </si>
  <si>
    <t>projected_fpts</t>
  </si>
  <si>
    <t>dk_avg_fpts</t>
  </si>
  <si>
    <t>edge</t>
  </si>
  <si>
    <t>value</t>
  </si>
  <si>
    <t>floor</t>
  </si>
  <si>
    <t>ceiling</t>
  </si>
  <si>
    <t>player_type</t>
  </si>
  <si>
    <t>skater</t>
  </si>
  <si>
    <t>goalie</t>
  </si>
  <si>
    <t>actual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</si>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</sst>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8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0953-3E17-0141-9F16-67A63DC1798F}">
  <dimension ref="A1:D113"/>
  <sheetViews>
    <sheetView workbookViewId="0">
      <selection activeCell="I18" sqref="I18"/>
    </sheetView>
  </sheetViews>
  <sheetFormatPr baseColWidth="10" defaultRowHeight="16" x14ac:dyDescent="0.2"/>
  <cols>
    <col min="1" max="1" width="19.33203125" bestFit="1" customWidth="1"/>
    <col min="2" max="2" width="13.33203125" bestFit="1" customWidth="1"/>
    <col min="3" max="3" width="8.83203125" bestFit="1" customWidth="1"/>
    <col min="4" max="4" width="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105</v>
      </c>
      <c r="B2" t="s">
        <v>12</v>
      </c>
      <c r="C2">
        <v>5.1000000000000004E-3</v>
      </c>
      <c r="D2">
        <v>0</v>
      </c>
    </row>
    <row r="3" spans="1:4" x14ac:dyDescent="0.2">
      <c r="A3" t="s">
        <v>26</v>
      </c>
      <c r="B3" t="s">
        <v>5</v>
      </c>
      <c r="C3">
        <v>0.15659999999999999</v>
      </c>
      <c r="D3">
        <v>11</v>
      </c>
    </row>
    <row r="4" spans="1:4" x14ac:dyDescent="0.2">
      <c r="A4" t="s">
        <v>52</v>
      </c>
      <c r="B4" t="s">
        <v>12</v>
      </c>
      <c r="C4">
        <v>7.5800000000000006E-2</v>
      </c>
      <c r="D4">
        <v>9.3000000000000007</v>
      </c>
    </row>
    <row r="5" spans="1:4" x14ac:dyDescent="0.2">
      <c r="A5" t="s">
        <v>40</v>
      </c>
      <c r="B5" t="s">
        <v>10</v>
      </c>
      <c r="C5">
        <v>0.1027</v>
      </c>
      <c r="D5">
        <v>3</v>
      </c>
    </row>
    <row r="6" spans="1:4" x14ac:dyDescent="0.2">
      <c r="A6" t="s">
        <v>50</v>
      </c>
      <c r="B6" t="s">
        <v>7</v>
      </c>
      <c r="C6">
        <v>8.0799999999999997E-2</v>
      </c>
      <c r="D6">
        <v>13.1</v>
      </c>
    </row>
    <row r="7" spans="1:4" x14ac:dyDescent="0.2">
      <c r="A7" t="s">
        <v>13</v>
      </c>
      <c r="B7" t="s">
        <v>10</v>
      </c>
      <c r="C7">
        <v>0.26939999999999997</v>
      </c>
      <c r="D7">
        <v>2.8</v>
      </c>
    </row>
    <row r="8" spans="1:4" x14ac:dyDescent="0.2">
      <c r="A8" t="s">
        <v>79</v>
      </c>
      <c r="B8" t="s">
        <v>12</v>
      </c>
      <c r="C8">
        <v>3.0300000000000001E-2</v>
      </c>
      <c r="D8">
        <v>12.8</v>
      </c>
    </row>
    <row r="9" spans="1:4" x14ac:dyDescent="0.2">
      <c r="A9" t="s">
        <v>96</v>
      </c>
      <c r="B9" t="s">
        <v>10</v>
      </c>
      <c r="C9">
        <v>1.01E-2</v>
      </c>
      <c r="D9">
        <v>0</v>
      </c>
    </row>
    <row r="10" spans="1:4" x14ac:dyDescent="0.2">
      <c r="A10" t="s">
        <v>33</v>
      </c>
      <c r="B10" t="s">
        <v>10</v>
      </c>
      <c r="C10">
        <v>0.12959999999999999</v>
      </c>
      <c r="D10">
        <v>0</v>
      </c>
    </row>
    <row r="11" spans="1:4" x14ac:dyDescent="0.2">
      <c r="A11" t="s">
        <v>45</v>
      </c>
      <c r="B11" t="s">
        <v>5</v>
      </c>
      <c r="C11">
        <v>9.4299999999999995E-2</v>
      </c>
      <c r="D11">
        <v>6.5</v>
      </c>
    </row>
    <row r="12" spans="1:4" x14ac:dyDescent="0.2">
      <c r="A12" t="s">
        <v>63</v>
      </c>
      <c r="B12" t="s">
        <v>10</v>
      </c>
      <c r="C12">
        <v>6.2300000000000001E-2</v>
      </c>
      <c r="D12">
        <v>1.3</v>
      </c>
    </row>
    <row r="13" spans="1:4" x14ac:dyDescent="0.2">
      <c r="A13" t="s">
        <v>57</v>
      </c>
      <c r="B13" t="s">
        <v>10</v>
      </c>
      <c r="C13">
        <v>7.4099999999999999E-2</v>
      </c>
      <c r="D13">
        <v>2.8</v>
      </c>
    </row>
    <row r="14" spans="1:4" x14ac:dyDescent="0.2">
      <c r="A14" t="s">
        <v>62</v>
      </c>
      <c r="B14" t="s">
        <v>12</v>
      </c>
      <c r="C14">
        <v>6.2300000000000001E-2</v>
      </c>
      <c r="D14">
        <v>5.8</v>
      </c>
    </row>
    <row r="15" spans="1:4" x14ac:dyDescent="0.2">
      <c r="A15" t="s">
        <v>32</v>
      </c>
      <c r="B15" t="s">
        <v>7</v>
      </c>
      <c r="C15">
        <v>0.12959999999999999</v>
      </c>
      <c r="D15">
        <v>13</v>
      </c>
    </row>
    <row r="16" spans="1:4" x14ac:dyDescent="0.2">
      <c r="A16" t="s">
        <v>117</v>
      </c>
      <c r="B16" t="s">
        <v>5</v>
      </c>
      <c r="C16">
        <v>1.6999999999999999E-3</v>
      </c>
      <c r="D16">
        <v>0</v>
      </c>
    </row>
    <row r="17" spans="1:4" x14ac:dyDescent="0.2">
      <c r="A17" t="s">
        <v>37</v>
      </c>
      <c r="B17" t="s">
        <v>12</v>
      </c>
      <c r="C17">
        <v>0.1212</v>
      </c>
      <c r="D17">
        <v>1.5</v>
      </c>
    </row>
    <row r="18" spans="1:4" x14ac:dyDescent="0.2">
      <c r="A18" t="s">
        <v>8</v>
      </c>
      <c r="B18" t="s">
        <v>5</v>
      </c>
      <c r="C18">
        <v>0.29630000000000001</v>
      </c>
      <c r="D18">
        <v>6.3</v>
      </c>
    </row>
    <row r="19" spans="1:4" x14ac:dyDescent="0.2">
      <c r="A19" t="s">
        <v>11</v>
      </c>
      <c r="B19" t="s">
        <v>12</v>
      </c>
      <c r="C19">
        <v>0.27100000000000002</v>
      </c>
      <c r="D19">
        <v>12.9</v>
      </c>
    </row>
    <row r="20" spans="1:4" x14ac:dyDescent="0.2">
      <c r="A20" t="s">
        <v>24</v>
      </c>
      <c r="B20" t="s">
        <v>12</v>
      </c>
      <c r="C20">
        <v>0.16669999999999999</v>
      </c>
      <c r="D20">
        <v>13.6</v>
      </c>
    </row>
    <row r="21" spans="1:4" x14ac:dyDescent="0.2">
      <c r="A21" t="s">
        <v>97</v>
      </c>
      <c r="B21" t="s">
        <v>10</v>
      </c>
      <c r="C21">
        <v>1.01E-2</v>
      </c>
      <c r="D21">
        <v>1.3</v>
      </c>
    </row>
    <row r="22" spans="1:4" x14ac:dyDescent="0.2">
      <c r="A22" t="s">
        <v>93</v>
      </c>
      <c r="B22" t="s">
        <v>12</v>
      </c>
      <c r="C22">
        <v>1.01E-2</v>
      </c>
      <c r="D22">
        <v>4.3</v>
      </c>
    </row>
    <row r="23" spans="1:4" x14ac:dyDescent="0.2">
      <c r="A23" t="s">
        <v>106</v>
      </c>
      <c r="B23" t="s">
        <v>7</v>
      </c>
      <c r="C23">
        <v>5.1000000000000004E-3</v>
      </c>
      <c r="D23">
        <v>0</v>
      </c>
    </row>
    <row r="24" spans="1:4" x14ac:dyDescent="0.2">
      <c r="A24" t="s">
        <v>34</v>
      </c>
      <c r="B24" t="s">
        <v>5</v>
      </c>
      <c r="C24">
        <v>0.1263</v>
      </c>
      <c r="D24">
        <v>15</v>
      </c>
    </row>
    <row r="25" spans="1:4" x14ac:dyDescent="0.2">
      <c r="A25" t="s">
        <v>19</v>
      </c>
      <c r="B25" t="s">
        <v>5</v>
      </c>
      <c r="C25">
        <v>0.20200000000000001</v>
      </c>
      <c r="D25">
        <v>12.1</v>
      </c>
    </row>
    <row r="26" spans="1:4" x14ac:dyDescent="0.2">
      <c r="A26" t="s">
        <v>67</v>
      </c>
      <c r="B26" t="s">
        <v>10</v>
      </c>
      <c r="C26">
        <v>5.2200000000000003E-2</v>
      </c>
      <c r="D26">
        <v>14.5</v>
      </c>
    </row>
    <row r="27" spans="1:4" x14ac:dyDescent="0.2">
      <c r="A27" t="s">
        <v>85</v>
      </c>
      <c r="B27" t="s">
        <v>7</v>
      </c>
      <c r="C27">
        <v>2.0199999999999999E-2</v>
      </c>
      <c r="D27">
        <v>11.5</v>
      </c>
    </row>
    <row r="28" spans="1:4" x14ac:dyDescent="0.2">
      <c r="A28" t="s">
        <v>84</v>
      </c>
      <c r="B28" t="s">
        <v>12</v>
      </c>
      <c r="C28">
        <v>2.3599999999999999E-2</v>
      </c>
      <c r="D28">
        <v>9.3000000000000007</v>
      </c>
    </row>
    <row r="29" spans="1:4" x14ac:dyDescent="0.2">
      <c r="A29" t="s">
        <v>14</v>
      </c>
      <c r="B29" t="s">
        <v>15</v>
      </c>
      <c r="C29">
        <v>0.23569999999999999</v>
      </c>
      <c r="D29">
        <v>4.2</v>
      </c>
    </row>
    <row r="30" spans="1:4" x14ac:dyDescent="0.2">
      <c r="A30" t="s">
        <v>18</v>
      </c>
      <c r="B30" t="s">
        <v>15</v>
      </c>
      <c r="C30">
        <v>0.21890000000000001</v>
      </c>
      <c r="D30">
        <v>8.8000000000000007</v>
      </c>
    </row>
    <row r="31" spans="1:4" x14ac:dyDescent="0.2">
      <c r="A31" t="s">
        <v>80</v>
      </c>
      <c r="B31" t="s">
        <v>12</v>
      </c>
      <c r="C31">
        <v>2.86E-2</v>
      </c>
      <c r="D31">
        <v>3</v>
      </c>
    </row>
    <row r="32" spans="1:4" x14ac:dyDescent="0.2">
      <c r="A32" t="s">
        <v>70</v>
      </c>
      <c r="B32" t="s">
        <v>10</v>
      </c>
      <c r="C32">
        <v>5.0500000000000003E-2</v>
      </c>
      <c r="D32">
        <v>1.5</v>
      </c>
    </row>
    <row r="33" spans="1:4" x14ac:dyDescent="0.2">
      <c r="A33" t="s">
        <v>73</v>
      </c>
      <c r="B33" t="s">
        <v>10</v>
      </c>
      <c r="C33">
        <v>4.5499999999999999E-2</v>
      </c>
      <c r="D33">
        <v>0</v>
      </c>
    </row>
    <row r="34" spans="1:4" x14ac:dyDescent="0.2">
      <c r="A34" t="s">
        <v>53</v>
      </c>
      <c r="B34" t="s">
        <v>10</v>
      </c>
      <c r="C34">
        <v>7.5800000000000006E-2</v>
      </c>
      <c r="D34">
        <v>6.5</v>
      </c>
    </row>
    <row r="35" spans="1:4" x14ac:dyDescent="0.2">
      <c r="A35" t="s">
        <v>31</v>
      </c>
      <c r="B35" t="s">
        <v>5</v>
      </c>
      <c r="C35">
        <v>0.13639999999999999</v>
      </c>
      <c r="D35">
        <v>1.5</v>
      </c>
    </row>
    <row r="36" spans="1:4" x14ac:dyDescent="0.2">
      <c r="A36" t="s">
        <v>100</v>
      </c>
      <c r="B36" t="s">
        <v>12</v>
      </c>
      <c r="C36">
        <v>8.3999999999999995E-3</v>
      </c>
      <c r="D36">
        <v>9.9</v>
      </c>
    </row>
    <row r="37" spans="1:4" x14ac:dyDescent="0.2">
      <c r="A37" t="s">
        <v>30</v>
      </c>
      <c r="B37" t="s">
        <v>15</v>
      </c>
      <c r="C37">
        <v>0.13639999999999999</v>
      </c>
      <c r="D37">
        <v>12.3</v>
      </c>
    </row>
    <row r="38" spans="1:4" x14ac:dyDescent="0.2">
      <c r="A38" t="s">
        <v>46</v>
      </c>
      <c r="B38" t="s">
        <v>10</v>
      </c>
      <c r="C38">
        <v>8.9200000000000002E-2</v>
      </c>
      <c r="D38">
        <v>14.5</v>
      </c>
    </row>
    <row r="39" spans="1:4" x14ac:dyDescent="0.2">
      <c r="A39" t="s">
        <v>75</v>
      </c>
      <c r="B39" t="s">
        <v>12</v>
      </c>
      <c r="C39">
        <v>4.0399999999999998E-2</v>
      </c>
      <c r="D39">
        <v>11.5</v>
      </c>
    </row>
    <row r="40" spans="1:4" x14ac:dyDescent="0.2">
      <c r="A40" t="s">
        <v>94</v>
      </c>
      <c r="B40" t="s">
        <v>7</v>
      </c>
      <c r="C40">
        <v>1.01E-2</v>
      </c>
      <c r="D40">
        <v>1.5</v>
      </c>
    </row>
    <row r="41" spans="1:4" x14ac:dyDescent="0.2">
      <c r="A41" t="s">
        <v>82</v>
      </c>
      <c r="B41" t="s">
        <v>10</v>
      </c>
      <c r="C41">
        <v>2.69E-2</v>
      </c>
      <c r="D41">
        <v>2.8</v>
      </c>
    </row>
    <row r="42" spans="1:4" x14ac:dyDescent="0.2">
      <c r="A42" t="s">
        <v>101</v>
      </c>
      <c r="B42" t="s">
        <v>10</v>
      </c>
      <c r="C42">
        <v>6.7000000000000002E-3</v>
      </c>
      <c r="D42">
        <v>1.5</v>
      </c>
    </row>
    <row r="43" spans="1:4" x14ac:dyDescent="0.2">
      <c r="A43" t="s">
        <v>77</v>
      </c>
      <c r="B43" t="s">
        <v>15</v>
      </c>
      <c r="C43">
        <v>3.6999999999999998E-2</v>
      </c>
      <c r="D43">
        <v>0</v>
      </c>
    </row>
    <row r="44" spans="1:4" x14ac:dyDescent="0.2">
      <c r="A44" t="s">
        <v>64</v>
      </c>
      <c r="B44" t="s">
        <v>12</v>
      </c>
      <c r="C44">
        <v>5.8900000000000001E-2</v>
      </c>
      <c r="D44">
        <v>7.3</v>
      </c>
    </row>
    <row r="45" spans="1:4" x14ac:dyDescent="0.2">
      <c r="A45" t="s">
        <v>27</v>
      </c>
      <c r="B45" t="s">
        <v>10</v>
      </c>
      <c r="C45">
        <v>0.14979999999999999</v>
      </c>
      <c r="D45">
        <v>6.5</v>
      </c>
    </row>
    <row r="46" spans="1:4" x14ac:dyDescent="0.2">
      <c r="A46" t="s">
        <v>87</v>
      </c>
      <c r="B46" t="s">
        <v>7</v>
      </c>
      <c r="C46">
        <v>1.6799999999999999E-2</v>
      </c>
      <c r="D46">
        <v>6.5</v>
      </c>
    </row>
    <row r="47" spans="1:4" x14ac:dyDescent="0.2">
      <c r="A47" t="s">
        <v>49</v>
      </c>
      <c r="B47" t="s">
        <v>12</v>
      </c>
      <c r="C47">
        <v>8.4199999999999997E-2</v>
      </c>
      <c r="D47">
        <v>9.1</v>
      </c>
    </row>
    <row r="48" spans="1:4" x14ac:dyDescent="0.2">
      <c r="A48" t="s">
        <v>59</v>
      </c>
      <c r="B48" t="s">
        <v>15</v>
      </c>
      <c r="C48">
        <v>6.7299999999999999E-2</v>
      </c>
      <c r="D48">
        <v>10.199999999999999</v>
      </c>
    </row>
    <row r="49" spans="1:4" x14ac:dyDescent="0.2">
      <c r="A49" t="s">
        <v>41</v>
      </c>
      <c r="B49" t="s">
        <v>7</v>
      </c>
      <c r="C49">
        <v>9.9299999999999999E-2</v>
      </c>
      <c r="D49">
        <v>9.5</v>
      </c>
    </row>
    <row r="50" spans="1:4" x14ac:dyDescent="0.2">
      <c r="A50" t="s">
        <v>66</v>
      </c>
      <c r="B50" t="s">
        <v>5</v>
      </c>
      <c r="C50">
        <v>5.3900000000000003E-2</v>
      </c>
      <c r="D50">
        <v>19.3</v>
      </c>
    </row>
    <row r="51" spans="1:4" x14ac:dyDescent="0.2">
      <c r="A51" t="s">
        <v>104</v>
      </c>
      <c r="B51" t="s">
        <v>15</v>
      </c>
      <c r="C51">
        <v>5.1000000000000004E-3</v>
      </c>
      <c r="D51">
        <v>0</v>
      </c>
    </row>
    <row r="52" spans="1:4" x14ac:dyDescent="0.2">
      <c r="A52" t="s">
        <v>113</v>
      </c>
      <c r="B52" t="s">
        <v>10</v>
      </c>
      <c r="C52">
        <v>1.6999999999999999E-3</v>
      </c>
      <c r="D52">
        <v>2.6</v>
      </c>
    </row>
    <row r="53" spans="1:4" x14ac:dyDescent="0.2">
      <c r="A53" t="s">
        <v>58</v>
      </c>
      <c r="B53" t="s">
        <v>7</v>
      </c>
      <c r="C53">
        <v>7.4099999999999999E-2</v>
      </c>
      <c r="D53">
        <v>1.5</v>
      </c>
    </row>
    <row r="54" spans="1:4" x14ac:dyDescent="0.2">
      <c r="A54" t="s">
        <v>114</v>
      </c>
      <c r="B54" t="s">
        <v>15</v>
      </c>
      <c r="C54">
        <v>1.6999999999999999E-3</v>
      </c>
      <c r="D54">
        <v>0</v>
      </c>
    </row>
    <row r="55" spans="1:4" x14ac:dyDescent="0.2">
      <c r="A55" t="s">
        <v>92</v>
      </c>
      <c r="B55" t="s">
        <v>12</v>
      </c>
      <c r="C55">
        <v>1.18E-2</v>
      </c>
      <c r="D55">
        <v>7.6</v>
      </c>
    </row>
    <row r="56" spans="1:4" x14ac:dyDescent="0.2">
      <c r="A56" t="s">
        <v>47</v>
      </c>
      <c r="B56" t="s">
        <v>12</v>
      </c>
      <c r="C56">
        <v>8.5900000000000004E-2</v>
      </c>
      <c r="D56">
        <v>1.5</v>
      </c>
    </row>
    <row r="57" spans="1:4" x14ac:dyDescent="0.2">
      <c r="A57" t="s">
        <v>71</v>
      </c>
      <c r="B57" t="s">
        <v>10</v>
      </c>
      <c r="C57">
        <v>4.8800000000000003E-2</v>
      </c>
      <c r="D57">
        <v>8</v>
      </c>
    </row>
    <row r="58" spans="1:4" x14ac:dyDescent="0.2">
      <c r="A58" t="s">
        <v>20</v>
      </c>
      <c r="B58" t="s">
        <v>10</v>
      </c>
      <c r="C58">
        <v>0.1852</v>
      </c>
      <c r="D58">
        <v>13</v>
      </c>
    </row>
    <row r="59" spans="1:4" x14ac:dyDescent="0.2">
      <c r="A59" t="s">
        <v>110</v>
      </c>
      <c r="B59" t="s">
        <v>15</v>
      </c>
      <c r="C59">
        <v>1.6999999999999999E-3</v>
      </c>
      <c r="D59">
        <v>0</v>
      </c>
    </row>
    <row r="60" spans="1:4" x14ac:dyDescent="0.2">
      <c r="A60" t="s">
        <v>16</v>
      </c>
      <c r="B60" t="s">
        <v>15</v>
      </c>
      <c r="C60">
        <v>0.22559999999999999</v>
      </c>
      <c r="D60">
        <v>2.1</v>
      </c>
    </row>
    <row r="61" spans="1:4" x14ac:dyDescent="0.2">
      <c r="A61" t="s">
        <v>9</v>
      </c>
      <c r="B61" t="s">
        <v>10</v>
      </c>
      <c r="C61">
        <v>0.28110000000000002</v>
      </c>
      <c r="D61">
        <v>0</v>
      </c>
    </row>
    <row r="62" spans="1:4" x14ac:dyDescent="0.2">
      <c r="A62" t="s">
        <v>23</v>
      </c>
      <c r="B62" t="s">
        <v>10</v>
      </c>
      <c r="C62">
        <v>0.17169999999999999</v>
      </c>
      <c r="D62">
        <v>1.5</v>
      </c>
    </row>
    <row r="63" spans="1:4" x14ac:dyDescent="0.2">
      <c r="A63" t="s">
        <v>28</v>
      </c>
      <c r="B63" t="s">
        <v>5</v>
      </c>
      <c r="C63">
        <v>0.1431</v>
      </c>
      <c r="D63">
        <v>25.9</v>
      </c>
    </row>
    <row r="64" spans="1:4" x14ac:dyDescent="0.2">
      <c r="A64" t="s">
        <v>89</v>
      </c>
      <c r="B64" t="s">
        <v>7</v>
      </c>
      <c r="C64">
        <v>1.6799999999999999E-2</v>
      </c>
      <c r="D64">
        <v>17.8</v>
      </c>
    </row>
    <row r="65" spans="1:4" x14ac:dyDescent="0.2">
      <c r="A65" t="s">
        <v>115</v>
      </c>
      <c r="B65" t="s">
        <v>10</v>
      </c>
      <c r="C65">
        <v>1.6999999999999999E-3</v>
      </c>
      <c r="D65">
        <v>0</v>
      </c>
    </row>
    <row r="66" spans="1:4" x14ac:dyDescent="0.2">
      <c r="A66" t="s">
        <v>83</v>
      </c>
      <c r="B66" t="s">
        <v>12</v>
      </c>
      <c r="C66">
        <v>2.3599999999999999E-2</v>
      </c>
      <c r="D66">
        <v>4.0999999999999996</v>
      </c>
    </row>
    <row r="67" spans="1:4" x14ac:dyDescent="0.2">
      <c r="A67" t="s">
        <v>39</v>
      </c>
      <c r="B67" t="s">
        <v>12</v>
      </c>
      <c r="C67">
        <v>0.1094</v>
      </c>
      <c r="D67">
        <v>16.399999999999999</v>
      </c>
    </row>
    <row r="68" spans="1:4" x14ac:dyDescent="0.2">
      <c r="A68" t="s">
        <v>36</v>
      </c>
      <c r="B68" t="s">
        <v>10</v>
      </c>
      <c r="C68">
        <v>0.1229</v>
      </c>
      <c r="D68">
        <v>7.1</v>
      </c>
    </row>
    <row r="69" spans="1:4" x14ac:dyDescent="0.2">
      <c r="A69" t="s">
        <v>102</v>
      </c>
      <c r="B69" t="s">
        <v>7</v>
      </c>
      <c r="C69">
        <v>6.7000000000000002E-3</v>
      </c>
      <c r="D69">
        <v>0</v>
      </c>
    </row>
    <row r="70" spans="1:4" x14ac:dyDescent="0.2">
      <c r="A70" t="s">
        <v>108</v>
      </c>
      <c r="B70" t="s">
        <v>10</v>
      </c>
      <c r="C70">
        <v>3.3999999999999998E-3</v>
      </c>
      <c r="D70">
        <v>0</v>
      </c>
    </row>
    <row r="71" spans="1:4" x14ac:dyDescent="0.2">
      <c r="A71" t="s">
        <v>109</v>
      </c>
      <c r="B71" t="s">
        <v>10</v>
      </c>
      <c r="C71">
        <v>3.3999999999999998E-3</v>
      </c>
      <c r="D71">
        <v>2.6</v>
      </c>
    </row>
    <row r="72" spans="1:4" x14ac:dyDescent="0.2">
      <c r="A72" t="s">
        <v>44</v>
      </c>
      <c r="B72" t="s">
        <v>5</v>
      </c>
      <c r="C72">
        <v>9.6000000000000002E-2</v>
      </c>
      <c r="D72">
        <v>11.5</v>
      </c>
    </row>
    <row r="73" spans="1:4" x14ac:dyDescent="0.2">
      <c r="A73" t="s">
        <v>119</v>
      </c>
      <c r="B73" t="s">
        <v>7</v>
      </c>
      <c r="C73">
        <v>1.6999999999999999E-3</v>
      </c>
      <c r="D73">
        <v>0</v>
      </c>
    </row>
    <row r="74" spans="1:4" x14ac:dyDescent="0.2">
      <c r="A74" t="s">
        <v>103</v>
      </c>
      <c r="B74" t="s">
        <v>10</v>
      </c>
      <c r="C74">
        <v>5.1000000000000004E-3</v>
      </c>
      <c r="D74">
        <v>1.3</v>
      </c>
    </row>
    <row r="75" spans="1:4" x14ac:dyDescent="0.2">
      <c r="A75" t="s">
        <v>4</v>
      </c>
      <c r="B75" t="s">
        <v>5</v>
      </c>
      <c r="C75">
        <v>0.50670000000000004</v>
      </c>
      <c r="D75">
        <v>2.8</v>
      </c>
    </row>
    <row r="76" spans="1:4" x14ac:dyDescent="0.2">
      <c r="A76" t="s">
        <v>95</v>
      </c>
      <c r="B76" t="s">
        <v>7</v>
      </c>
      <c r="C76">
        <v>1.01E-2</v>
      </c>
      <c r="D76">
        <v>5</v>
      </c>
    </row>
    <row r="77" spans="1:4" x14ac:dyDescent="0.2">
      <c r="A77" t="s">
        <v>55</v>
      </c>
      <c r="B77" t="s">
        <v>12</v>
      </c>
      <c r="C77">
        <v>7.5800000000000006E-2</v>
      </c>
      <c r="D77">
        <v>1.3</v>
      </c>
    </row>
    <row r="78" spans="1:4" x14ac:dyDescent="0.2">
      <c r="A78" t="s">
        <v>120</v>
      </c>
      <c r="B78" t="s">
        <v>10</v>
      </c>
      <c r="C78">
        <v>1.6999999999999999E-3</v>
      </c>
      <c r="D78">
        <v>1.3</v>
      </c>
    </row>
    <row r="79" spans="1:4" x14ac:dyDescent="0.2">
      <c r="A79" t="s">
        <v>72</v>
      </c>
      <c r="B79" t="s">
        <v>5</v>
      </c>
      <c r="C79">
        <v>4.5499999999999999E-2</v>
      </c>
      <c r="D79">
        <v>1.3</v>
      </c>
    </row>
    <row r="80" spans="1:4" x14ac:dyDescent="0.2">
      <c r="A80" t="s">
        <v>90</v>
      </c>
      <c r="B80" t="s">
        <v>5</v>
      </c>
      <c r="C80">
        <v>1.35E-2</v>
      </c>
      <c r="D80">
        <v>6.3</v>
      </c>
    </row>
    <row r="81" spans="1:4" x14ac:dyDescent="0.2">
      <c r="A81" t="s">
        <v>69</v>
      </c>
      <c r="B81" t="s">
        <v>10</v>
      </c>
      <c r="C81">
        <v>5.0500000000000003E-2</v>
      </c>
      <c r="D81">
        <v>17.8</v>
      </c>
    </row>
    <row r="82" spans="1:4" x14ac:dyDescent="0.2">
      <c r="A82" t="s">
        <v>17</v>
      </c>
      <c r="B82" t="s">
        <v>10</v>
      </c>
      <c r="C82">
        <v>0.2205</v>
      </c>
      <c r="D82">
        <v>4.3</v>
      </c>
    </row>
    <row r="83" spans="1:4" x14ac:dyDescent="0.2">
      <c r="A83" t="s">
        <v>78</v>
      </c>
      <c r="B83" t="s">
        <v>5</v>
      </c>
      <c r="C83">
        <v>3.2000000000000001E-2</v>
      </c>
      <c r="D83">
        <v>12.8</v>
      </c>
    </row>
    <row r="84" spans="1:4" x14ac:dyDescent="0.2">
      <c r="A84" t="s">
        <v>74</v>
      </c>
      <c r="B84" t="s">
        <v>12</v>
      </c>
      <c r="C84">
        <v>4.3799999999999999E-2</v>
      </c>
      <c r="D84">
        <v>0</v>
      </c>
    </row>
    <row r="85" spans="1:4" x14ac:dyDescent="0.2">
      <c r="A85" t="s">
        <v>38</v>
      </c>
      <c r="B85" t="s">
        <v>10</v>
      </c>
      <c r="C85">
        <v>0.1212</v>
      </c>
      <c r="D85">
        <v>10</v>
      </c>
    </row>
    <row r="86" spans="1:4" x14ac:dyDescent="0.2">
      <c r="A86" t="s">
        <v>99</v>
      </c>
      <c r="B86" t="s">
        <v>12</v>
      </c>
      <c r="C86">
        <v>8.3999999999999995E-3</v>
      </c>
      <c r="D86">
        <v>1.5</v>
      </c>
    </row>
    <row r="87" spans="1:4" x14ac:dyDescent="0.2">
      <c r="A87" t="s">
        <v>111</v>
      </c>
      <c r="B87" t="s">
        <v>7</v>
      </c>
      <c r="C87">
        <v>1.6999999999999999E-3</v>
      </c>
      <c r="D87">
        <v>1.5</v>
      </c>
    </row>
    <row r="88" spans="1:4" x14ac:dyDescent="0.2">
      <c r="A88" t="s">
        <v>35</v>
      </c>
      <c r="B88" t="s">
        <v>12</v>
      </c>
      <c r="C88">
        <v>0.1246</v>
      </c>
      <c r="D88">
        <v>4.3</v>
      </c>
    </row>
    <row r="89" spans="1:4" x14ac:dyDescent="0.2">
      <c r="A89" t="s">
        <v>112</v>
      </c>
      <c r="B89" t="s">
        <v>15</v>
      </c>
      <c r="C89">
        <v>1.6999999999999999E-3</v>
      </c>
      <c r="D89">
        <v>0</v>
      </c>
    </row>
    <row r="90" spans="1:4" x14ac:dyDescent="0.2">
      <c r="A90" t="s">
        <v>86</v>
      </c>
      <c r="B90" t="s">
        <v>12</v>
      </c>
      <c r="C90">
        <v>2.0199999999999999E-2</v>
      </c>
      <c r="D90">
        <v>0</v>
      </c>
    </row>
    <row r="91" spans="1:4" x14ac:dyDescent="0.2">
      <c r="A91" t="s">
        <v>98</v>
      </c>
      <c r="B91" t="s">
        <v>12</v>
      </c>
      <c r="C91">
        <v>8.3999999999999995E-3</v>
      </c>
      <c r="D91">
        <v>1.3</v>
      </c>
    </row>
    <row r="92" spans="1:4" x14ac:dyDescent="0.2">
      <c r="A92" t="s">
        <v>88</v>
      </c>
      <c r="B92" t="s">
        <v>7</v>
      </c>
      <c r="C92">
        <v>1.6799999999999999E-2</v>
      </c>
      <c r="D92">
        <v>0</v>
      </c>
    </row>
    <row r="93" spans="1:4" x14ac:dyDescent="0.2">
      <c r="A93" t="s">
        <v>107</v>
      </c>
      <c r="B93" t="s">
        <v>15</v>
      </c>
      <c r="C93">
        <v>3.3999999999999998E-3</v>
      </c>
      <c r="D93">
        <v>0</v>
      </c>
    </row>
    <row r="94" spans="1:4" x14ac:dyDescent="0.2">
      <c r="A94" t="s">
        <v>68</v>
      </c>
      <c r="B94" t="s">
        <v>5</v>
      </c>
      <c r="C94">
        <v>5.0500000000000003E-2</v>
      </c>
      <c r="D94">
        <v>4.3</v>
      </c>
    </row>
    <row r="95" spans="1:4" x14ac:dyDescent="0.2">
      <c r="A95" t="s">
        <v>51</v>
      </c>
      <c r="B95" t="s">
        <v>5</v>
      </c>
      <c r="C95">
        <v>7.7399999999999997E-2</v>
      </c>
      <c r="D95">
        <v>11.3</v>
      </c>
    </row>
    <row r="96" spans="1:4" x14ac:dyDescent="0.2">
      <c r="A96" t="s">
        <v>81</v>
      </c>
      <c r="B96" t="s">
        <v>7</v>
      </c>
      <c r="C96">
        <v>2.86E-2</v>
      </c>
      <c r="D96">
        <v>1.3</v>
      </c>
    </row>
    <row r="97" spans="1:4" x14ac:dyDescent="0.2">
      <c r="A97" t="s">
        <v>42</v>
      </c>
      <c r="B97" t="s">
        <v>10</v>
      </c>
      <c r="C97">
        <v>9.6000000000000002E-2</v>
      </c>
      <c r="D97">
        <v>24.5</v>
      </c>
    </row>
    <row r="98" spans="1:4" x14ac:dyDescent="0.2">
      <c r="A98" t="s">
        <v>61</v>
      </c>
      <c r="B98" t="s">
        <v>15</v>
      </c>
      <c r="C98">
        <v>6.5699999999999995E-2</v>
      </c>
      <c r="D98">
        <v>4.2</v>
      </c>
    </row>
    <row r="99" spans="1:4" x14ac:dyDescent="0.2">
      <c r="A99" t="s">
        <v>116</v>
      </c>
      <c r="B99" t="s">
        <v>10</v>
      </c>
      <c r="C99">
        <v>1.6999999999999999E-3</v>
      </c>
      <c r="D99">
        <v>0</v>
      </c>
    </row>
    <row r="100" spans="1:4" x14ac:dyDescent="0.2">
      <c r="A100" t="s">
        <v>54</v>
      </c>
      <c r="B100" t="s">
        <v>12</v>
      </c>
      <c r="C100">
        <v>7.5800000000000006E-2</v>
      </c>
      <c r="D100">
        <v>10.6</v>
      </c>
    </row>
    <row r="101" spans="1:4" x14ac:dyDescent="0.2">
      <c r="A101" t="s">
        <v>60</v>
      </c>
      <c r="B101" t="s">
        <v>7</v>
      </c>
      <c r="C101">
        <v>6.5699999999999995E-2</v>
      </c>
      <c r="D101">
        <v>18</v>
      </c>
    </row>
    <row r="102" spans="1:4" x14ac:dyDescent="0.2">
      <c r="A102" t="s">
        <v>22</v>
      </c>
      <c r="B102" t="s">
        <v>12</v>
      </c>
      <c r="C102">
        <v>0.1734</v>
      </c>
      <c r="D102">
        <v>9.5</v>
      </c>
    </row>
    <row r="103" spans="1:4" x14ac:dyDescent="0.2">
      <c r="A103" t="s">
        <v>21</v>
      </c>
      <c r="B103" t="s">
        <v>10</v>
      </c>
      <c r="C103">
        <v>0.18179999999999999</v>
      </c>
      <c r="D103">
        <v>37.299999999999997</v>
      </c>
    </row>
    <row r="104" spans="1:4" x14ac:dyDescent="0.2">
      <c r="A104" t="s">
        <v>48</v>
      </c>
      <c r="B104" t="s">
        <v>12</v>
      </c>
      <c r="C104">
        <v>8.4199999999999997E-2</v>
      </c>
      <c r="D104">
        <v>11.9</v>
      </c>
    </row>
    <row r="105" spans="1:4" x14ac:dyDescent="0.2">
      <c r="A105" t="s">
        <v>29</v>
      </c>
      <c r="B105" t="s">
        <v>10</v>
      </c>
      <c r="C105">
        <v>0.13969999999999999</v>
      </c>
      <c r="D105">
        <v>12</v>
      </c>
    </row>
    <row r="106" spans="1:4" x14ac:dyDescent="0.2">
      <c r="A106" t="s">
        <v>118</v>
      </c>
      <c r="B106" t="s">
        <v>12</v>
      </c>
      <c r="C106">
        <v>1.6999999999999999E-3</v>
      </c>
      <c r="D106">
        <v>7.8</v>
      </c>
    </row>
    <row r="107" spans="1:4" x14ac:dyDescent="0.2">
      <c r="A107" t="s">
        <v>56</v>
      </c>
      <c r="B107" t="s">
        <v>7</v>
      </c>
      <c r="C107">
        <v>7.5800000000000006E-2</v>
      </c>
      <c r="D107">
        <v>12.8</v>
      </c>
    </row>
    <row r="108" spans="1:4" x14ac:dyDescent="0.2">
      <c r="A108" t="s">
        <v>6</v>
      </c>
      <c r="B108" t="s">
        <v>7</v>
      </c>
      <c r="C108">
        <v>0.31990000000000002</v>
      </c>
      <c r="D108">
        <v>3</v>
      </c>
    </row>
    <row r="109" spans="1:4" x14ac:dyDescent="0.2">
      <c r="A109" t="s">
        <v>43</v>
      </c>
      <c r="B109" t="s">
        <v>5</v>
      </c>
      <c r="C109">
        <v>9.6000000000000002E-2</v>
      </c>
      <c r="D109">
        <v>1.3</v>
      </c>
    </row>
    <row r="110" spans="1:4" x14ac:dyDescent="0.2">
      <c r="A110" t="s">
        <v>76</v>
      </c>
      <c r="B110" t="s">
        <v>12</v>
      </c>
      <c r="C110">
        <v>3.6999999999999998E-2</v>
      </c>
      <c r="D110">
        <v>9.3000000000000007</v>
      </c>
    </row>
    <row r="111" spans="1:4" x14ac:dyDescent="0.2">
      <c r="A111" t="s">
        <v>91</v>
      </c>
      <c r="B111" t="s">
        <v>12</v>
      </c>
      <c r="C111">
        <v>1.18E-2</v>
      </c>
      <c r="D111">
        <v>7.6</v>
      </c>
    </row>
    <row r="112" spans="1:4" x14ac:dyDescent="0.2">
      <c r="A112" t="s">
        <v>65</v>
      </c>
      <c r="B112" t="s">
        <v>10</v>
      </c>
      <c r="C112">
        <v>5.5599999999999997E-2</v>
      </c>
      <c r="D112">
        <v>1.5</v>
      </c>
    </row>
    <row r="113" spans="1:4" x14ac:dyDescent="0.2">
      <c r="A113" t="s">
        <v>25</v>
      </c>
      <c r="B113" t="s">
        <v>12</v>
      </c>
      <c r="C113">
        <v>0.16159999999999999</v>
      </c>
      <c r="D113">
        <v>14.3</v>
      </c>
    </row>
  </sheetData>
  <autoFilter ref="A1:D595" xr:uid="{92EE0953-3E17-0141-9F16-67A63DC1798F}">
    <sortState xmlns:xlrd2="http://schemas.microsoft.com/office/spreadsheetml/2017/richdata2" ref="A2:D595">
      <sortCondition ref="A1:A5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1E51-055E-4C4A-9082-737631C8542B}">
  <dimension ref="A1:N108"/>
  <sheetViews>
    <sheetView tabSelected="1" workbookViewId="0">
      <selection activeCell="A109" sqref="A109:XFD114"/>
    </sheetView>
  </sheetViews>
  <sheetFormatPr baseColWidth="10" defaultRowHeight="16" x14ac:dyDescent="0.2"/>
  <cols>
    <col min="1" max="1" width="19.1640625" bestFit="1" customWidth="1"/>
    <col min="2" max="2" width="5.33203125" bestFit="1" customWidth="1"/>
    <col min="3" max="3" width="7.6640625" bestFit="1" customWidth="1"/>
    <col min="4" max="4" width="6.1640625" bestFit="1" customWidth="1"/>
    <col min="5" max="5" width="12.83203125" bestFit="1" customWidth="1"/>
    <col min="6" max="6" width="10.33203125" bestFit="1" customWidth="1"/>
    <col min="7" max="7" width="12.83203125" bestFit="1" customWidth="1"/>
    <col min="8" max="10" width="12.1640625" bestFit="1" customWidth="1"/>
    <col min="11" max="11" width="10.5" bestFit="1" customWidth="1"/>
    <col min="12" max="12" width="9.5" bestFit="1" customWidth="1"/>
    <col min="13" max="13" width="7.1640625" bestFit="1" customWidth="1"/>
    <col min="14" max="14" width="12.1640625" bestFit="1" customWidth="1"/>
  </cols>
  <sheetData>
    <row r="1" spans="1:14" x14ac:dyDescent="0.2">
      <c r="A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288</v>
      </c>
      <c r="M1" t="s">
        <v>289</v>
      </c>
      <c r="N1" t="s">
        <v>147</v>
      </c>
    </row>
    <row r="2" spans="1:14" x14ac:dyDescent="0.2">
      <c r="A2" t="s">
        <v>21</v>
      </c>
      <c r="B2" t="s">
        <v>163</v>
      </c>
      <c r="C2" t="s">
        <v>10</v>
      </c>
      <c r="D2">
        <v>5500</v>
      </c>
      <c r="E2">
        <v>12.0958866315527</v>
      </c>
      <c r="F2">
        <v>10.14</v>
      </c>
      <c r="G2">
        <v>1.9558866315527501</v>
      </c>
      <c r="H2">
        <v>2.1992521148277699</v>
      </c>
      <c r="I2">
        <v>3.0239716578881901</v>
      </c>
      <c r="J2">
        <v>35.239716578881897</v>
      </c>
      <c r="K2" t="s">
        <v>286</v>
      </c>
      <c r="L2">
        <f>IFERROR(VLOOKUP($A2,Actual!$A:$D,4,FALSE),IFERROR(VLOOKUP($A2,FC!$A:$AC,29,FALSE),"Not Found"))</f>
        <v>37.299999999999997</v>
      </c>
      <c r="M2">
        <f>IFERROR(VLOOKUP($A2,Actual!$A:$D,3,FALSE),"0")</f>
        <v>0.18179999999999999</v>
      </c>
      <c r="N2">
        <f>VLOOKUP(A2,NHT!B:F,5,FALSE)</f>
        <v>12.683333333333</v>
      </c>
    </row>
    <row r="3" spans="1:14" x14ac:dyDescent="0.2">
      <c r="A3" t="s">
        <v>28</v>
      </c>
      <c r="B3" t="s">
        <v>155</v>
      </c>
      <c r="C3" t="s">
        <v>5</v>
      </c>
      <c r="D3">
        <v>6500</v>
      </c>
      <c r="E3">
        <v>11.142732113366</v>
      </c>
      <c r="F3">
        <v>9.59</v>
      </c>
      <c r="G3">
        <v>1.5527321133660801</v>
      </c>
      <c r="H3">
        <v>1.71426647897939</v>
      </c>
      <c r="I3">
        <v>2.7856830283415199</v>
      </c>
      <c r="J3">
        <v>32.856830283415199</v>
      </c>
      <c r="K3" t="s">
        <v>286</v>
      </c>
      <c r="L3">
        <f>IFERROR(VLOOKUP($A3,Actual!$A:$D,4,FALSE),IFERROR(VLOOKUP($A3,FC!$A:$AC,29,FALSE),"Not Found"))</f>
        <v>25.9</v>
      </c>
      <c r="M3">
        <f>IFERROR(VLOOKUP($A3,Actual!$A:$D,3,FALSE),"0")</f>
        <v>0.1431</v>
      </c>
      <c r="N3">
        <f>VLOOKUP(A3,NHT!B:F,5,FALSE)</f>
        <v>13.983333333333</v>
      </c>
    </row>
    <row r="4" spans="1:14" x14ac:dyDescent="0.2">
      <c r="A4" t="s">
        <v>42</v>
      </c>
      <c r="B4" t="s">
        <v>155</v>
      </c>
      <c r="C4" t="s">
        <v>10</v>
      </c>
      <c r="D4">
        <v>3300</v>
      </c>
      <c r="E4">
        <v>7.1096112542599599</v>
      </c>
      <c r="F4">
        <v>6.22</v>
      </c>
      <c r="G4">
        <v>0.88961125425996601</v>
      </c>
      <c r="H4">
        <v>2.1544276528060502</v>
      </c>
      <c r="I4">
        <v>1.77740281356499</v>
      </c>
      <c r="J4">
        <v>22.7740281356499</v>
      </c>
      <c r="K4" t="s">
        <v>286</v>
      </c>
      <c r="L4">
        <f>IFERROR(VLOOKUP($A4,Actual!$A:$D,4,FALSE),IFERROR(VLOOKUP($A4,FC!$A:$AC,29,FALSE),"Not Found"))</f>
        <v>24.5</v>
      </c>
      <c r="M4">
        <f>IFERROR(VLOOKUP($A4,Actual!$A:$D,3,FALSE),"0")</f>
        <v>9.6000000000000002E-2</v>
      </c>
      <c r="N4">
        <f>VLOOKUP(A4,NHT!B:F,5,FALSE)</f>
        <v>12.183333333333</v>
      </c>
    </row>
    <row r="5" spans="1:14" x14ac:dyDescent="0.2">
      <c r="A5" t="s">
        <v>66</v>
      </c>
      <c r="B5" t="s">
        <v>155</v>
      </c>
      <c r="C5" t="s">
        <v>5</v>
      </c>
      <c r="D5">
        <v>3500</v>
      </c>
      <c r="E5">
        <v>6.6459421042389302</v>
      </c>
      <c r="F5">
        <v>6.36</v>
      </c>
      <c r="G5">
        <v>0.28594210423893701</v>
      </c>
      <c r="H5">
        <v>1.8988406012111201</v>
      </c>
      <c r="I5">
        <v>1.6614855260597301</v>
      </c>
      <c r="J5">
        <v>21.614855260597299</v>
      </c>
      <c r="K5" t="s">
        <v>286</v>
      </c>
      <c r="L5">
        <f>IFERROR(VLOOKUP($A5,Actual!$A:$D,4,FALSE),IFERROR(VLOOKUP($A5,FC!$A:$AC,29,FALSE),"Not Found"))</f>
        <v>19.3</v>
      </c>
      <c r="M5">
        <f>IFERROR(VLOOKUP($A5,Actual!$A:$D,3,FALSE),"0")</f>
        <v>5.3900000000000003E-2</v>
      </c>
      <c r="N5">
        <f>VLOOKUP(A5,NHT!B:F,5,FALSE)</f>
        <v>12.05</v>
      </c>
    </row>
    <row r="6" spans="1:14" x14ac:dyDescent="0.2">
      <c r="A6" t="s">
        <v>60</v>
      </c>
      <c r="B6" t="s">
        <v>160</v>
      </c>
      <c r="C6" t="s">
        <v>5</v>
      </c>
      <c r="D6">
        <v>6800</v>
      </c>
      <c r="E6">
        <v>12.785262612708999</v>
      </c>
      <c r="F6">
        <v>12.03</v>
      </c>
      <c r="G6">
        <v>0.75526261270907202</v>
      </c>
      <c r="H6">
        <v>1.8801856783395601</v>
      </c>
      <c r="I6">
        <v>3.1963156531772601</v>
      </c>
      <c r="J6">
        <v>36.963156531772597</v>
      </c>
      <c r="K6" t="s">
        <v>286</v>
      </c>
      <c r="L6">
        <f>IFERROR(VLOOKUP($A6,Actual!$A:$D,4,FALSE),IFERROR(VLOOKUP($A6,FC!$A:$AC,29,FALSE),"Not Found"))</f>
        <v>18</v>
      </c>
      <c r="M6">
        <f>IFERROR(VLOOKUP($A6,Actual!$A:$D,3,FALSE),"0")</f>
        <v>6.5699999999999995E-2</v>
      </c>
      <c r="N6">
        <f>VLOOKUP(A6,NHT!B:F,5,FALSE)</f>
        <v>13.283333333332999</v>
      </c>
    </row>
    <row r="7" spans="1:14" x14ac:dyDescent="0.2">
      <c r="A7" t="s">
        <v>89</v>
      </c>
      <c r="B7" t="s">
        <v>153</v>
      </c>
      <c r="C7" t="s">
        <v>10</v>
      </c>
      <c r="D7">
        <v>2800</v>
      </c>
      <c r="E7">
        <v>5.2594930084419902</v>
      </c>
      <c r="F7">
        <v>5.0199999999999996</v>
      </c>
      <c r="G7">
        <v>0.239493008441995</v>
      </c>
      <c r="H7">
        <v>1.87839036015785</v>
      </c>
      <c r="I7">
        <v>1.31487325211049</v>
      </c>
      <c r="J7">
        <v>18.1487325211049</v>
      </c>
      <c r="K7" t="s">
        <v>286</v>
      </c>
      <c r="L7">
        <f>IFERROR(VLOOKUP($A7,Actual!$A:$D,4,FALSE),IFERROR(VLOOKUP($A7,FC!$A:$AC,29,FALSE),"Not Found"))</f>
        <v>17.8</v>
      </c>
      <c r="M7">
        <f>IFERROR(VLOOKUP($A7,Actual!$A:$D,3,FALSE),"0")</f>
        <v>1.6799999999999999E-2</v>
      </c>
      <c r="N7">
        <f>VLOOKUP(A7,NHT!B:F,5,FALSE)</f>
        <v>11.883333333333001</v>
      </c>
    </row>
    <row r="8" spans="1:14" x14ac:dyDescent="0.2">
      <c r="A8" t="s">
        <v>39</v>
      </c>
      <c r="B8" t="s">
        <v>155</v>
      </c>
      <c r="C8" t="s">
        <v>12</v>
      </c>
      <c r="D8">
        <v>6000</v>
      </c>
      <c r="E8">
        <v>12.3379821919149</v>
      </c>
      <c r="F8">
        <v>10.06</v>
      </c>
      <c r="G8">
        <v>2.2779821919149601</v>
      </c>
      <c r="H8">
        <v>2.0563303653191598</v>
      </c>
      <c r="I8">
        <v>3.0844955479787401</v>
      </c>
      <c r="J8">
        <v>35.844955479787401</v>
      </c>
      <c r="K8" t="s">
        <v>286</v>
      </c>
      <c r="L8">
        <f>IFERROR(VLOOKUP($A8,Actual!$A:$D,4,FALSE),IFERROR(VLOOKUP($A8,FC!$A:$AC,29,FALSE),"Not Found"))</f>
        <v>16.399999999999999</v>
      </c>
      <c r="M8">
        <f>IFERROR(VLOOKUP($A8,Actual!$A:$D,3,FALSE),"0")</f>
        <v>0.1094</v>
      </c>
      <c r="N8">
        <f>VLOOKUP(A8,NHT!B:F,5,FALSE)</f>
        <v>20.333333333333002</v>
      </c>
    </row>
    <row r="9" spans="1:14" x14ac:dyDescent="0.2">
      <c r="A9" t="s">
        <v>34</v>
      </c>
      <c r="B9" t="s">
        <v>153</v>
      </c>
      <c r="C9" t="s">
        <v>5</v>
      </c>
      <c r="D9">
        <v>4100</v>
      </c>
      <c r="E9">
        <v>8.3930990823704903</v>
      </c>
      <c r="F9">
        <v>7.86</v>
      </c>
      <c r="G9">
        <v>0.53309908237049697</v>
      </c>
      <c r="H9">
        <v>2.0470973371635299</v>
      </c>
      <c r="I9">
        <v>2.0982747705926199</v>
      </c>
      <c r="J9">
        <v>25.982747705926201</v>
      </c>
      <c r="K9" t="s">
        <v>286</v>
      </c>
      <c r="L9">
        <f>IFERROR(VLOOKUP($A9,Actual!$A:$D,4,FALSE),IFERROR(VLOOKUP($A9,FC!$A:$AC,29,FALSE),"Not Found"))</f>
        <v>15</v>
      </c>
      <c r="M9">
        <f>IFERROR(VLOOKUP($A9,Actual!$A:$D,3,FALSE),"0")</f>
        <v>0.1263</v>
      </c>
      <c r="N9">
        <f>VLOOKUP(A9,NHT!B:F,5,FALSE)</f>
        <v>11.433333333333</v>
      </c>
    </row>
    <row r="10" spans="1:14" x14ac:dyDescent="0.2">
      <c r="A10" t="s">
        <v>46</v>
      </c>
      <c r="B10" t="s">
        <v>155</v>
      </c>
      <c r="C10" t="s">
        <v>10</v>
      </c>
      <c r="D10">
        <v>4200</v>
      </c>
      <c r="E10">
        <v>8.7952497654619499</v>
      </c>
      <c r="F10">
        <v>7.88</v>
      </c>
      <c r="G10">
        <v>0.91524976546195003</v>
      </c>
      <c r="H10">
        <v>2.0941070870147498</v>
      </c>
      <c r="I10">
        <v>2.1988124413654799</v>
      </c>
      <c r="J10">
        <v>26.988124413654798</v>
      </c>
      <c r="K10" t="s">
        <v>286</v>
      </c>
      <c r="L10">
        <f>IFERROR(VLOOKUP($A10,Actual!$A:$D,4,FALSE),IFERROR(VLOOKUP($A10,FC!$A:$AC,29,FALSE),"Not Found"))</f>
        <v>14.5</v>
      </c>
      <c r="M10">
        <f>IFERROR(VLOOKUP($A10,Actual!$A:$D,3,FALSE),"0")</f>
        <v>8.9200000000000002E-2</v>
      </c>
      <c r="N10">
        <f>VLOOKUP(A10,NHT!B:F,5,FALSE)</f>
        <v>13.15</v>
      </c>
    </row>
    <row r="11" spans="1:14" x14ac:dyDescent="0.2">
      <c r="A11" t="s">
        <v>67</v>
      </c>
      <c r="B11" t="s">
        <v>160</v>
      </c>
      <c r="C11" t="s">
        <v>10</v>
      </c>
      <c r="D11">
        <v>3500</v>
      </c>
      <c r="E11">
        <v>8.4397722181988897</v>
      </c>
      <c r="F11">
        <v>7.13</v>
      </c>
      <c r="G11">
        <v>1.30977221819889</v>
      </c>
      <c r="H11">
        <v>2.4113634909139599</v>
      </c>
      <c r="I11">
        <v>2.1099430545497202</v>
      </c>
      <c r="J11">
        <v>26.099430545497199</v>
      </c>
      <c r="K11" t="s">
        <v>286</v>
      </c>
      <c r="L11">
        <f>IFERROR(VLOOKUP($A11,Actual!$A:$D,4,FALSE),IFERROR(VLOOKUP($A11,FC!$A:$AC,29,FALSE),"Not Found"))</f>
        <v>14.5</v>
      </c>
      <c r="M11">
        <f>IFERROR(VLOOKUP($A11,Actual!$A:$D,3,FALSE),"0")</f>
        <v>5.2200000000000003E-2</v>
      </c>
      <c r="N11">
        <f>VLOOKUP(A11,NHT!B:F,5,FALSE)</f>
        <v>13.666666666667</v>
      </c>
    </row>
    <row r="12" spans="1:14" x14ac:dyDescent="0.2">
      <c r="A12" t="s">
        <v>25</v>
      </c>
      <c r="B12" t="s">
        <v>153</v>
      </c>
      <c r="C12" t="s">
        <v>12</v>
      </c>
      <c r="D12">
        <v>8500</v>
      </c>
      <c r="E12">
        <v>18.007785405601101</v>
      </c>
      <c r="F12">
        <v>16.079999999999998</v>
      </c>
      <c r="G12">
        <v>1.9277854056011501</v>
      </c>
      <c r="H12">
        <v>2.1185629888942499</v>
      </c>
      <c r="I12">
        <v>4.5019463514002798</v>
      </c>
      <c r="J12">
        <v>50.019463514002801</v>
      </c>
      <c r="K12" t="s">
        <v>286</v>
      </c>
      <c r="L12">
        <f>IFERROR(VLOOKUP($A12,Actual!$A:$D,4,FALSE),IFERROR(VLOOKUP($A12,FC!$A:$AC,29,FALSE),"Not Found"))</f>
        <v>14.3</v>
      </c>
      <c r="M12">
        <f>IFERROR(VLOOKUP($A12,Actual!$A:$D,3,FALSE),"0")</f>
        <v>0.16159999999999999</v>
      </c>
      <c r="N12">
        <f>VLOOKUP(A12,NHT!B:F,5,FALSE)</f>
        <v>16.033333333333001</v>
      </c>
    </row>
    <row r="13" spans="1:14" x14ac:dyDescent="0.2">
      <c r="A13" t="s">
        <v>177</v>
      </c>
      <c r="B13" t="s">
        <v>160</v>
      </c>
      <c r="C13" t="s">
        <v>5</v>
      </c>
      <c r="D13">
        <v>2500</v>
      </c>
      <c r="E13">
        <v>3.9640097244327701</v>
      </c>
      <c r="F13">
        <v>3.49</v>
      </c>
      <c r="G13">
        <v>0.474009724432776</v>
      </c>
      <c r="H13">
        <v>1.58560388977311</v>
      </c>
      <c r="I13">
        <v>0.99100243110819397</v>
      </c>
      <c r="J13">
        <v>14.9100243110819</v>
      </c>
      <c r="K13" t="s">
        <v>286</v>
      </c>
      <c r="L13">
        <f>IFERROR(VLOOKUP($A13,Actual!$A:$D,4,FALSE),IFERROR(VLOOKUP($A13,FC!$A:$AC,29,FALSE),"Not Found"))</f>
        <v>14.3</v>
      </c>
      <c r="M13" t="str">
        <f>IFERROR(VLOOKUP($A13,Actual!$A:$D,3,FALSE),"0")</f>
        <v>0</v>
      </c>
      <c r="N13">
        <f>VLOOKUP(A13,NHT!B:F,5,FALSE)</f>
        <v>16.716666666666999</v>
      </c>
    </row>
    <row r="14" spans="1:14" x14ac:dyDescent="0.2">
      <c r="A14" t="s">
        <v>24</v>
      </c>
      <c r="B14" t="s">
        <v>163</v>
      </c>
      <c r="C14" t="s">
        <v>12</v>
      </c>
      <c r="D14">
        <v>4000</v>
      </c>
      <c r="E14">
        <v>7.9276155807705502</v>
      </c>
      <c r="F14">
        <v>8.5299999999999994</v>
      </c>
      <c r="G14">
        <v>-0.60238441922944497</v>
      </c>
      <c r="H14">
        <v>1.98190389519263</v>
      </c>
      <c r="I14">
        <v>1.98190389519263</v>
      </c>
      <c r="J14">
        <v>24.819038951926299</v>
      </c>
      <c r="K14" t="s">
        <v>286</v>
      </c>
      <c r="L14">
        <f>IFERROR(VLOOKUP($A14,Actual!$A:$D,4,FALSE),IFERROR(VLOOKUP($A14,FC!$A:$AC,29,FALSE),"Not Found"))</f>
        <v>13.6</v>
      </c>
      <c r="M14">
        <f>IFERROR(VLOOKUP($A14,Actual!$A:$D,3,FALSE),"0")</f>
        <v>0.16669999999999999</v>
      </c>
      <c r="N14">
        <f>VLOOKUP(A14,NHT!B:F,5,FALSE)</f>
        <v>17.716666666666999</v>
      </c>
    </row>
    <row r="15" spans="1:14" x14ac:dyDescent="0.2">
      <c r="A15" t="s">
        <v>50</v>
      </c>
      <c r="B15" t="s">
        <v>155</v>
      </c>
      <c r="C15" t="s">
        <v>10</v>
      </c>
      <c r="D15">
        <v>4800</v>
      </c>
      <c r="E15">
        <v>10.006984428007501</v>
      </c>
      <c r="F15">
        <v>8.48</v>
      </c>
      <c r="G15">
        <v>1.5269844280075899</v>
      </c>
      <c r="H15">
        <v>2.08478842250158</v>
      </c>
      <c r="I15">
        <v>2.5017461070018898</v>
      </c>
      <c r="J15">
        <v>30.0174610700189</v>
      </c>
      <c r="K15" t="s">
        <v>286</v>
      </c>
      <c r="L15">
        <f>IFERROR(VLOOKUP($A15,Actual!$A:$D,4,FALSE),IFERROR(VLOOKUP($A15,FC!$A:$AC,29,FALSE),"Not Found"))</f>
        <v>13.1</v>
      </c>
      <c r="M15">
        <f>IFERROR(VLOOKUP($A15,Actual!$A:$D,3,FALSE),"0")</f>
        <v>8.0799999999999997E-2</v>
      </c>
      <c r="N15">
        <f>VLOOKUP(A15,NHT!B:F,5,FALSE)</f>
        <v>12.633333333333001</v>
      </c>
    </row>
    <row r="16" spans="1:14" x14ac:dyDescent="0.2">
      <c r="A16" t="s">
        <v>32</v>
      </c>
      <c r="B16" t="s">
        <v>160</v>
      </c>
      <c r="C16" t="s">
        <v>10</v>
      </c>
      <c r="D16">
        <v>7500</v>
      </c>
      <c r="E16">
        <v>15.1900749091122</v>
      </c>
      <c r="F16">
        <v>14.01</v>
      </c>
      <c r="G16">
        <v>1.18007490911225</v>
      </c>
      <c r="H16">
        <v>2.0253433212149599</v>
      </c>
      <c r="I16">
        <v>3.7975187272780602</v>
      </c>
      <c r="J16">
        <v>42.975187272780602</v>
      </c>
      <c r="K16" t="s">
        <v>286</v>
      </c>
      <c r="L16">
        <f>IFERROR(VLOOKUP($A16,Actual!$A:$D,4,FALSE),IFERROR(VLOOKUP($A16,FC!$A:$AC,29,FALSE),"Not Found"))</f>
        <v>13</v>
      </c>
      <c r="M16">
        <f>IFERROR(VLOOKUP($A16,Actual!$A:$D,3,FALSE),"0")</f>
        <v>0.12959999999999999</v>
      </c>
      <c r="N16">
        <f>VLOOKUP(A16,NHT!B:F,5,FALSE)</f>
        <v>11.45</v>
      </c>
    </row>
    <row r="17" spans="1:14" x14ac:dyDescent="0.2">
      <c r="A17" t="s">
        <v>20</v>
      </c>
      <c r="B17" t="s">
        <v>153</v>
      </c>
      <c r="C17" t="s">
        <v>10</v>
      </c>
      <c r="D17">
        <v>6700</v>
      </c>
      <c r="E17">
        <v>14.408059678962401</v>
      </c>
      <c r="F17">
        <v>12.37</v>
      </c>
      <c r="G17">
        <v>2.0380596789624099</v>
      </c>
      <c r="H17">
        <v>2.15045666850185</v>
      </c>
      <c r="I17">
        <v>3.6020149197406002</v>
      </c>
      <c r="J17">
        <v>41.020149197405999</v>
      </c>
      <c r="K17" t="s">
        <v>286</v>
      </c>
      <c r="L17">
        <f>IFERROR(VLOOKUP($A17,Actual!$A:$D,4,FALSE),IFERROR(VLOOKUP($A17,FC!$A:$AC,29,FALSE),"Not Found"))</f>
        <v>13</v>
      </c>
      <c r="M17">
        <f>IFERROR(VLOOKUP($A17,Actual!$A:$D,3,FALSE),"0")</f>
        <v>0.1852</v>
      </c>
      <c r="N17">
        <f>VLOOKUP(A17,NHT!B:F,5,FALSE)</f>
        <v>13.583333333333</v>
      </c>
    </row>
    <row r="18" spans="1:14" x14ac:dyDescent="0.2">
      <c r="A18" t="s">
        <v>11</v>
      </c>
      <c r="B18" t="s">
        <v>150</v>
      </c>
      <c r="C18" t="s">
        <v>12</v>
      </c>
      <c r="D18">
        <v>8000</v>
      </c>
      <c r="E18">
        <v>16.4508486645781</v>
      </c>
      <c r="F18">
        <v>14.26</v>
      </c>
      <c r="G18">
        <v>2.1908486645781502</v>
      </c>
      <c r="H18">
        <v>2.0563560830722598</v>
      </c>
      <c r="I18">
        <v>4.1127121661445303</v>
      </c>
      <c r="J18">
        <v>46.127121661445301</v>
      </c>
      <c r="K18" t="s">
        <v>286</v>
      </c>
      <c r="L18">
        <f>IFERROR(VLOOKUP($A18,Actual!$A:$D,4,FALSE),IFERROR(VLOOKUP($A18,FC!$A:$AC,29,FALSE),"Not Found"))</f>
        <v>12.9</v>
      </c>
      <c r="M18">
        <f>IFERROR(VLOOKUP($A18,Actual!$A:$D,3,FALSE),"0")</f>
        <v>0.27100000000000002</v>
      </c>
      <c r="N18">
        <f>VLOOKUP(A18,NHT!B:F,5,FALSE)</f>
        <v>22.366666666667001</v>
      </c>
    </row>
    <row r="19" spans="1:14" x14ac:dyDescent="0.2">
      <c r="A19" t="s">
        <v>56</v>
      </c>
      <c r="B19" t="s">
        <v>150</v>
      </c>
      <c r="C19" t="s">
        <v>10</v>
      </c>
      <c r="D19">
        <v>5100</v>
      </c>
      <c r="E19">
        <v>11.657479599387999</v>
      </c>
      <c r="F19">
        <v>8.9700000000000006</v>
      </c>
      <c r="G19">
        <v>2.6874795993880101</v>
      </c>
      <c r="H19">
        <v>2.2857803136054899</v>
      </c>
      <c r="I19">
        <v>2.9143698998469998</v>
      </c>
      <c r="J19">
        <v>34.143698998470001</v>
      </c>
      <c r="K19" t="s">
        <v>286</v>
      </c>
      <c r="L19">
        <f>IFERROR(VLOOKUP($A19,Actual!$A:$D,4,FALSE),IFERROR(VLOOKUP($A19,FC!$A:$AC,29,FALSE),"Not Found"))</f>
        <v>12.8</v>
      </c>
      <c r="M19">
        <f>IFERROR(VLOOKUP($A19,Actual!$A:$D,3,FALSE),"0")</f>
        <v>7.5800000000000006E-2</v>
      </c>
      <c r="N19">
        <f>VLOOKUP(A19,NHT!B:F,5,FALSE)</f>
        <v>12.9</v>
      </c>
    </row>
    <row r="20" spans="1:14" x14ac:dyDescent="0.2">
      <c r="A20" t="s">
        <v>78</v>
      </c>
      <c r="B20" t="s">
        <v>150</v>
      </c>
      <c r="C20" t="s">
        <v>5</v>
      </c>
      <c r="D20">
        <v>2700</v>
      </c>
      <c r="E20">
        <v>6.4453526479894601</v>
      </c>
      <c r="F20">
        <v>5.8</v>
      </c>
      <c r="G20">
        <v>0.64535264798946301</v>
      </c>
      <c r="H20">
        <v>2.3871676474035</v>
      </c>
      <c r="I20">
        <v>1.6113381619973599</v>
      </c>
      <c r="J20">
        <v>21.113381619973602</v>
      </c>
      <c r="K20" t="s">
        <v>286</v>
      </c>
      <c r="L20">
        <f>IFERROR(VLOOKUP($A20,Actual!$A:$D,4,FALSE),IFERROR(VLOOKUP($A20,FC!$A:$AC,29,FALSE),"Not Found"))</f>
        <v>12.8</v>
      </c>
      <c r="M20">
        <f>IFERROR(VLOOKUP($A20,Actual!$A:$D,3,FALSE),"0")</f>
        <v>3.2000000000000001E-2</v>
      </c>
      <c r="N20">
        <f>VLOOKUP(A20,NHT!B:F,5,FALSE)</f>
        <v>10.833333333333</v>
      </c>
    </row>
    <row r="21" spans="1:14" x14ac:dyDescent="0.2">
      <c r="A21" t="s">
        <v>79</v>
      </c>
      <c r="B21" t="s">
        <v>160</v>
      </c>
      <c r="C21" t="s">
        <v>12</v>
      </c>
      <c r="D21">
        <v>2900</v>
      </c>
      <c r="E21">
        <v>6.3988954778696101</v>
      </c>
      <c r="F21">
        <v>6.39</v>
      </c>
      <c r="G21">
        <v>8.8954778696193008E-3</v>
      </c>
      <c r="H21">
        <v>2.2065156820239999</v>
      </c>
      <c r="I21">
        <v>1.5997238694674001</v>
      </c>
      <c r="J21">
        <v>20.997238694674</v>
      </c>
      <c r="K21" t="s">
        <v>286</v>
      </c>
      <c r="L21">
        <f>IFERROR(VLOOKUP($A21,Actual!$A:$D,4,FALSE),IFERROR(VLOOKUP($A21,FC!$A:$AC,29,FALSE),"Not Found"))</f>
        <v>12.8</v>
      </c>
      <c r="M21">
        <f>IFERROR(VLOOKUP($A21,Actual!$A:$D,3,FALSE),"0")</f>
        <v>3.0300000000000001E-2</v>
      </c>
      <c r="N21">
        <f>VLOOKUP(A21,NHT!B:F,5,FALSE)</f>
        <v>19.583333333333002</v>
      </c>
    </row>
    <row r="22" spans="1:14" x14ac:dyDescent="0.2">
      <c r="A22" t="s">
        <v>30</v>
      </c>
      <c r="B22" t="s">
        <v>153</v>
      </c>
      <c r="C22" t="s">
        <v>15</v>
      </c>
      <c r="D22">
        <v>7900</v>
      </c>
      <c r="E22">
        <v>9.1466686438682192</v>
      </c>
      <c r="F22">
        <v>9.49</v>
      </c>
      <c r="G22">
        <v>-0.34333135613177701</v>
      </c>
      <c r="H22">
        <v>1.15780615745167</v>
      </c>
      <c r="I22">
        <v>1.82933372877364</v>
      </c>
      <c r="J22">
        <v>28.293337287736399</v>
      </c>
      <c r="K22" t="s">
        <v>287</v>
      </c>
      <c r="L22">
        <f>IFERROR(VLOOKUP($A22,Actual!$A:$D,4,FALSE),IFERROR(VLOOKUP($A22,FC!$A:$AC,29,FALSE),"Not Found"))</f>
        <v>12.3</v>
      </c>
      <c r="M22">
        <f>IFERROR(VLOOKUP($A22,Actual!$A:$D,3,FALSE),"0")</f>
        <v>0.13639999999999999</v>
      </c>
      <c r="N22">
        <f>VLOOKUP(A22,NHT!B:F,5,FALSE)</f>
        <v>45.116666666667001</v>
      </c>
    </row>
    <row r="23" spans="1:14" x14ac:dyDescent="0.2">
      <c r="A23" t="s">
        <v>19</v>
      </c>
      <c r="B23" t="s">
        <v>163</v>
      </c>
      <c r="C23" t="s">
        <v>5</v>
      </c>
      <c r="D23">
        <v>4500</v>
      </c>
      <c r="E23">
        <v>9.2913887317547292</v>
      </c>
      <c r="F23">
        <v>8.2799999999999994</v>
      </c>
      <c r="G23">
        <v>1.0113887317547301</v>
      </c>
      <c r="H23">
        <v>2.0647530515010502</v>
      </c>
      <c r="I23">
        <v>2.3228471829386801</v>
      </c>
      <c r="J23">
        <v>28.228471829386802</v>
      </c>
      <c r="K23" t="s">
        <v>286</v>
      </c>
      <c r="L23">
        <f>IFERROR(VLOOKUP($A23,Actual!$A:$D,4,FALSE),IFERROR(VLOOKUP($A23,FC!$A:$AC,29,FALSE),"Not Found"))</f>
        <v>12.1</v>
      </c>
      <c r="M23">
        <f>IFERROR(VLOOKUP($A23,Actual!$A:$D,3,FALSE),"0")</f>
        <v>0.20200000000000001</v>
      </c>
      <c r="N23">
        <f>VLOOKUP(A23,NHT!B:F,5,FALSE)</f>
        <v>13.85</v>
      </c>
    </row>
    <row r="24" spans="1:14" x14ac:dyDescent="0.2">
      <c r="A24" t="s">
        <v>29</v>
      </c>
      <c r="B24" t="s">
        <v>163</v>
      </c>
      <c r="C24" t="s">
        <v>5</v>
      </c>
      <c r="D24">
        <v>5300</v>
      </c>
      <c r="E24">
        <v>11.5723272080499</v>
      </c>
      <c r="F24">
        <v>10.08</v>
      </c>
      <c r="G24">
        <v>1.4923272080499099</v>
      </c>
      <c r="H24">
        <v>2.1834579637829998</v>
      </c>
      <c r="I24">
        <v>2.8930818020124698</v>
      </c>
      <c r="J24">
        <v>33.930818020124697</v>
      </c>
      <c r="K24" t="s">
        <v>286</v>
      </c>
      <c r="L24">
        <f>IFERROR(VLOOKUP($A24,Actual!$A:$D,4,FALSE),IFERROR(VLOOKUP($A24,FC!$A:$AC,29,FALSE),"Not Found"))</f>
        <v>12</v>
      </c>
      <c r="M24">
        <f>IFERROR(VLOOKUP($A24,Actual!$A:$D,3,FALSE),"0")</f>
        <v>0.13969999999999999</v>
      </c>
      <c r="N24">
        <f>VLOOKUP(A24,NHT!B:F,5,FALSE)</f>
        <v>14.566666666667</v>
      </c>
    </row>
    <row r="25" spans="1:14" x14ac:dyDescent="0.2">
      <c r="A25" t="s">
        <v>48</v>
      </c>
      <c r="B25" t="s">
        <v>163</v>
      </c>
      <c r="C25" t="s">
        <v>12</v>
      </c>
      <c r="D25">
        <v>3500</v>
      </c>
      <c r="E25">
        <v>7.5266915135867798</v>
      </c>
      <c r="F25">
        <v>7.59</v>
      </c>
      <c r="G25">
        <v>-6.3308486413213794E-2</v>
      </c>
      <c r="H25">
        <v>2.1504832895962198</v>
      </c>
      <c r="I25">
        <v>1.8816728783966901</v>
      </c>
      <c r="J25">
        <v>23.816728783966902</v>
      </c>
      <c r="K25" t="s">
        <v>286</v>
      </c>
      <c r="L25">
        <f>IFERROR(VLOOKUP($A25,Actual!$A:$D,4,FALSE),IFERROR(VLOOKUP($A25,FC!$A:$AC,29,FALSE),"Not Found"))</f>
        <v>11.9</v>
      </c>
      <c r="M25">
        <f>IFERROR(VLOOKUP($A25,Actual!$A:$D,3,FALSE),"0")</f>
        <v>8.4199999999999997E-2</v>
      </c>
      <c r="N25">
        <f>VLOOKUP(A25,NHT!B:F,5,FALSE)</f>
        <v>20.566666666667</v>
      </c>
    </row>
    <row r="26" spans="1:14" x14ac:dyDescent="0.2">
      <c r="A26" t="s">
        <v>44</v>
      </c>
      <c r="B26" t="s">
        <v>157</v>
      </c>
      <c r="C26" t="s">
        <v>5</v>
      </c>
      <c r="D26">
        <v>6600</v>
      </c>
      <c r="E26">
        <v>13.810553246908899</v>
      </c>
      <c r="F26">
        <v>12.1</v>
      </c>
      <c r="G26">
        <v>1.71055324690894</v>
      </c>
      <c r="H26">
        <v>2.09250806771347</v>
      </c>
      <c r="I26">
        <v>3.4526383117272301</v>
      </c>
      <c r="J26">
        <v>39.526383117272303</v>
      </c>
      <c r="K26" t="s">
        <v>286</v>
      </c>
      <c r="L26">
        <f>IFERROR(VLOOKUP($A26,Actual!$A:$D,4,FALSE),IFERROR(VLOOKUP($A26,FC!$A:$AC,29,FALSE),"Not Found"))</f>
        <v>11.5</v>
      </c>
      <c r="M26">
        <f>IFERROR(VLOOKUP($A26,Actual!$A:$D,3,FALSE),"0")</f>
        <v>9.6000000000000002E-2</v>
      </c>
      <c r="N26">
        <f>VLOOKUP(A26,NHT!B:F,5,FALSE)</f>
        <v>16.100000000000001</v>
      </c>
    </row>
    <row r="27" spans="1:14" x14ac:dyDescent="0.2">
      <c r="A27" t="s">
        <v>85</v>
      </c>
      <c r="B27" t="s">
        <v>153</v>
      </c>
      <c r="C27" t="s">
        <v>5</v>
      </c>
      <c r="D27">
        <v>3000</v>
      </c>
      <c r="E27">
        <v>6.9676234142228202</v>
      </c>
      <c r="F27">
        <v>6.2</v>
      </c>
      <c r="G27">
        <v>0.76762341422282199</v>
      </c>
      <c r="H27">
        <v>2.32254113807427</v>
      </c>
      <c r="I27">
        <v>1.7419058535556999</v>
      </c>
      <c r="J27">
        <v>22.419058535556999</v>
      </c>
      <c r="K27" t="s">
        <v>286</v>
      </c>
      <c r="L27">
        <f>IFERROR(VLOOKUP($A27,Actual!$A:$D,4,FALSE),IFERROR(VLOOKUP($A27,FC!$A:$AC,29,FALSE),"Not Found"))</f>
        <v>11.5</v>
      </c>
      <c r="M27">
        <f>IFERROR(VLOOKUP($A27,Actual!$A:$D,3,FALSE),"0")</f>
        <v>2.0199999999999999E-2</v>
      </c>
      <c r="N27">
        <f>VLOOKUP(A27,NHT!B:F,5,FALSE)</f>
        <v>11.7</v>
      </c>
    </row>
    <row r="28" spans="1:14" x14ac:dyDescent="0.2">
      <c r="A28" t="s">
        <v>75</v>
      </c>
      <c r="B28" t="s">
        <v>153</v>
      </c>
      <c r="C28" t="s">
        <v>12</v>
      </c>
      <c r="D28">
        <v>2800</v>
      </c>
      <c r="E28">
        <v>5.4724504767553803</v>
      </c>
      <c r="F28">
        <v>5.16</v>
      </c>
      <c r="G28">
        <v>0.31245047675538901</v>
      </c>
      <c r="H28">
        <v>1.9544465988412101</v>
      </c>
      <c r="I28">
        <v>1.36811261918884</v>
      </c>
      <c r="J28">
        <v>18.681126191888399</v>
      </c>
      <c r="K28" t="s">
        <v>286</v>
      </c>
      <c r="L28">
        <f>IFERROR(VLOOKUP($A28,Actual!$A:$D,4,FALSE),IFERROR(VLOOKUP($A28,FC!$A:$AC,29,FALSE),"Not Found"))</f>
        <v>11.5</v>
      </c>
      <c r="M28">
        <f>IFERROR(VLOOKUP($A28,Actual!$A:$D,3,FALSE),"0")</f>
        <v>4.0399999999999998E-2</v>
      </c>
      <c r="N28">
        <f>VLOOKUP(A28,NHT!B:F,5,FALSE)</f>
        <v>13.45</v>
      </c>
    </row>
    <row r="29" spans="1:14" x14ac:dyDescent="0.2">
      <c r="A29" t="s">
        <v>51</v>
      </c>
      <c r="B29" t="s">
        <v>153</v>
      </c>
      <c r="C29" t="s">
        <v>5</v>
      </c>
      <c r="D29">
        <v>3600</v>
      </c>
      <c r="E29">
        <v>7.3433152851479502</v>
      </c>
      <c r="F29">
        <v>6.5</v>
      </c>
      <c r="G29">
        <v>0.84331528514795895</v>
      </c>
      <c r="H29">
        <v>2.0398098014299801</v>
      </c>
      <c r="I29">
        <v>1.83582882128698</v>
      </c>
      <c r="J29">
        <v>23.358288212869802</v>
      </c>
      <c r="K29" t="s">
        <v>286</v>
      </c>
      <c r="L29">
        <f>IFERROR(VLOOKUP($A29,Actual!$A:$D,4,FALSE),IFERROR(VLOOKUP($A29,FC!$A:$AC,29,FALSE),"Not Found"))</f>
        <v>11.3</v>
      </c>
      <c r="M29">
        <f>IFERROR(VLOOKUP($A29,Actual!$A:$D,3,FALSE),"0")</f>
        <v>7.7399999999999997E-2</v>
      </c>
      <c r="N29">
        <f>VLOOKUP(A29,NHT!B:F,5,FALSE)</f>
        <v>12.566666666667</v>
      </c>
    </row>
    <row r="30" spans="1:14" x14ac:dyDescent="0.2">
      <c r="A30" t="s">
        <v>26</v>
      </c>
      <c r="B30" t="s">
        <v>153</v>
      </c>
      <c r="C30" t="s">
        <v>5</v>
      </c>
      <c r="D30">
        <v>6100</v>
      </c>
      <c r="E30">
        <v>10.978774908055</v>
      </c>
      <c r="F30">
        <v>9.76</v>
      </c>
      <c r="G30">
        <v>1.2187749080550101</v>
      </c>
      <c r="H30">
        <v>1.7997991652549199</v>
      </c>
      <c r="I30">
        <v>2.7446937270137499</v>
      </c>
      <c r="J30">
        <v>32.446937270137497</v>
      </c>
      <c r="K30" t="s">
        <v>286</v>
      </c>
      <c r="L30">
        <f>IFERROR(VLOOKUP($A30,Actual!$A:$D,4,FALSE),IFERROR(VLOOKUP($A30,FC!$A:$AC,29,FALSE),"Not Found"))</f>
        <v>11</v>
      </c>
      <c r="M30">
        <f>IFERROR(VLOOKUP($A30,Actual!$A:$D,3,FALSE),"0")</f>
        <v>0.15659999999999999</v>
      </c>
      <c r="N30">
        <f>VLOOKUP(A30,NHT!B:F,5,FALSE)</f>
        <v>13.2</v>
      </c>
    </row>
    <row r="31" spans="1:14" x14ac:dyDescent="0.2">
      <c r="A31" t="s">
        <v>54</v>
      </c>
      <c r="B31" t="s">
        <v>160</v>
      </c>
      <c r="C31" t="s">
        <v>12</v>
      </c>
      <c r="D31">
        <v>4700</v>
      </c>
      <c r="E31">
        <v>8.9264153582745909</v>
      </c>
      <c r="F31">
        <v>9.5299999999999994</v>
      </c>
      <c r="G31">
        <v>-0.60358464172540105</v>
      </c>
      <c r="H31">
        <v>1.8992373102711899</v>
      </c>
      <c r="I31">
        <v>2.2316038395686402</v>
      </c>
      <c r="J31">
        <v>27.316038395686402</v>
      </c>
      <c r="K31" t="s">
        <v>286</v>
      </c>
      <c r="L31">
        <f>IFERROR(VLOOKUP($A31,Actual!$A:$D,4,FALSE),IFERROR(VLOOKUP($A31,FC!$A:$AC,29,FALSE),"Not Found"))</f>
        <v>10.6</v>
      </c>
      <c r="M31">
        <f>IFERROR(VLOOKUP($A31,Actual!$A:$D,3,FALSE),"0")</f>
        <v>7.5800000000000006E-2</v>
      </c>
      <c r="N31">
        <f>VLOOKUP(A31,NHT!B:F,5,FALSE)</f>
        <v>17.466666666666999</v>
      </c>
    </row>
    <row r="32" spans="1:14" x14ac:dyDescent="0.2">
      <c r="A32" t="s">
        <v>59</v>
      </c>
      <c r="B32" t="s">
        <v>160</v>
      </c>
      <c r="C32" t="s">
        <v>15</v>
      </c>
      <c r="D32">
        <v>7100</v>
      </c>
      <c r="E32">
        <v>6.2317986427818601</v>
      </c>
      <c r="F32">
        <v>6.02</v>
      </c>
      <c r="G32">
        <v>0.211798642781866</v>
      </c>
      <c r="H32">
        <v>0.87771811870167105</v>
      </c>
      <c r="I32">
        <v>1.2463597285563699</v>
      </c>
      <c r="J32">
        <v>22.463597285563701</v>
      </c>
      <c r="K32" t="s">
        <v>287</v>
      </c>
      <c r="L32">
        <f>IFERROR(VLOOKUP($A32,Actual!$A:$D,4,FALSE),IFERROR(VLOOKUP($A32,FC!$A:$AC,29,FALSE),"Not Found"))</f>
        <v>10.199999999999999</v>
      </c>
      <c r="M32">
        <f>IFERROR(VLOOKUP($A32,Actual!$A:$D,3,FALSE),"0")</f>
        <v>6.7299999999999999E-2</v>
      </c>
      <c r="N32">
        <f>VLOOKUP(A32,NHT!B:F,5,FALSE)</f>
        <v>51.683333333333003</v>
      </c>
    </row>
    <row r="33" spans="1:14" x14ac:dyDescent="0.2">
      <c r="A33" t="s">
        <v>38</v>
      </c>
      <c r="B33" t="s">
        <v>160</v>
      </c>
      <c r="C33" t="s">
        <v>5</v>
      </c>
      <c r="D33">
        <v>3100</v>
      </c>
      <c r="E33">
        <v>7.4547761304619096</v>
      </c>
      <c r="F33">
        <v>7.07</v>
      </c>
      <c r="G33">
        <v>0.384776130461919</v>
      </c>
      <c r="H33">
        <v>2.40476649369739</v>
      </c>
      <c r="I33">
        <v>1.8636940326154701</v>
      </c>
      <c r="J33">
        <v>23.6369403261548</v>
      </c>
      <c r="K33" t="s">
        <v>286</v>
      </c>
      <c r="L33">
        <f>IFERROR(VLOOKUP($A33,Actual!$A:$D,4,FALSE),IFERROR(VLOOKUP($A33,FC!$A:$AC,29,FALSE),"Not Found"))</f>
        <v>10</v>
      </c>
      <c r="M33">
        <f>IFERROR(VLOOKUP($A33,Actual!$A:$D,3,FALSE),"0")</f>
        <v>0.1212</v>
      </c>
      <c r="N33">
        <f>VLOOKUP(A33,NHT!B:F,5,FALSE)</f>
        <v>14.583333333333</v>
      </c>
    </row>
    <row r="34" spans="1:14" x14ac:dyDescent="0.2">
      <c r="A34" t="s">
        <v>170</v>
      </c>
      <c r="B34" t="s">
        <v>157</v>
      </c>
      <c r="C34" t="s">
        <v>10</v>
      </c>
      <c r="D34">
        <v>2500</v>
      </c>
      <c r="E34">
        <v>4.4008541296668202</v>
      </c>
      <c r="F34">
        <v>3.79</v>
      </c>
      <c r="G34">
        <v>0.61085412966682495</v>
      </c>
      <c r="H34">
        <v>1.7603416518667301</v>
      </c>
      <c r="I34">
        <v>1.1002135324166999</v>
      </c>
      <c r="J34">
        <v>16.002135324167</v>
      </c>
      <c r="K34" t="s">
        <v>286</v>
      </c>
      <c r="L34">
        <f>IFERROR(VLOOKUP($A34,Actual!$A:$D,4,FALSE),IFERROR(VLOOKUP($A34,FC!$A:$AC,29,FALSE),"Not Found"))</f>
        <v>10</v>
      </c>
      <c r="M34" t="str">
        <f>IFERROR(VLOOKUP($A34,Actual!$A:$D,3,FALSE),"0")</f>
        <v>0</v>
      </c>
      <c r="N34">
        <f>VLOOKUP(A34,NHT!B:F,5,FALSE)</f>
        <v>13.15</v>
      </c>
    </row>
    <row r="35" spans="1:14" x14ac:dyDescent="0.2">
      <c r="A35" t="s">
        <v>22</v>
      </c>
      <c r="B35" t="s">
        <v>155</v>
      </c>
      <c r="C35" t="s">
        <v>12</v>
      </c>
      <c r="D35">
        <v>4500</v>
      </c>
      <c r="E35">
        <v>9.2194327794398507</v>
      </c>
      <c r="F35">
        <v>7</v>
      </c>
      <c r="G35">
        <v>2.2194327794398498</v>
      </c>
      <c r="H35">
        <v>2.0487628398755202</v>
      </c>
      <c r="I35">
        <v>2.30485819485996</v>
      </c>
      <c r="J35">
        <v>28.048581948599601</v>
      </c>
      <c r="K35" t="s">
        <v>286</v>
      </c>
      <c r="L35">
        <f>IFERROR(VLOOKUP($A35,Actual!$A:$D,4,FALSE),IFERROR(VLOOKUP($A35,FC!$A:$AC,29,FALSE),"Not Found"))</f>
        <v>9.5</v>
      </c>
      <c r="M35">
        <f>IFERROR(VLOOKUP($A35,Actual!$A:$D,3,FALSE),"0")</f>
        <v>0.1734</v>
      </c>
      <c r="N35">
        <f>VLOOKUP(A35,NHT!B:F,5,FALSE)</f>
        <v>17.483333333333</v>
      </c>
    </row>
    <row r="36" spans="1:14" x14ac:dyDescent="0.2">
      <c r="A36" t="s">
        <v>41</v>
      </c>
      <c r="B36" t="s">
        <v>163</v>
      </c>
      <c r="C36" t="s">
        <v>12</v>
      </c>
      <c r="D36">
        <v>3400</v>
      </c>
      <c r="E36">
        <v>7.0559832996361003</v>
      </c>
      <c r="F36">
        <v>5.8</v>
      </c>
      <c r="G36">
        <v>1.2559832996361</v>
      </c>
      <c r="H36">
        <v>2.0752892057753201</v>
      </c>
      <c r="I36">
        <v>1.76399582490902</v>
      </c>
      <c r="J36">
        <v>22.639958249090199</v>
      </c>
      <c r="K36" t="s">
        <v>286</v>
      </c>
      <c r="L36">
        <f>IFERROR(VLOOKUP($A36,Actual!$A:$D,4,FALSE),IFERROR(VLOOKUP($A36,FC!$A:$AC,29,FALSE),"Not Found"))</f>
        <v>9.5</v>
      </c>
      <c r="M36">
        <f>IFERROR(VLOOKUP($A36,Actual!$A:$D,3,FALSE),"0")</f>
        <v>9.9299999999999999E-2</v>
      </c>
      <c r="N36">
        <f>VLOOKUP(A36,NHT!B:F,5,FALSE)</f>
        <v>19.083333333333002</v>
      </c>
    </row>
    <row r="37" spans="1:14" x14ac:dyDescent="0.2">
      <c r="A37" t="s">
        <v>76</v>
      </c>
      <c r="B37" t="s">
        <v>157</v>
      </c>
      <c r="C37" t="s">
        <v>12</v>
      </c>
      <c r="D37">
        <v>4200</v>
      </c>
      <c r="E37">
        <v>7.8129119057263399</v>
      </c>
      <c r="F37">
        <v>7.06</v>
      </c>
      <c r="G37">
        <v>0.75291190572634203</v>
      </c>
      <c r="H37">
        <v>1.86021712041103</v>
      </c>
      <c r="I37">
        <v>1.9532279764315801</v>
      </c>
      <c r="J37">
        <v>24.532279764315799</v>
      </c>
      <c r="K37" t="s">
        <v>286</v>
      </c>
      <c r="L37">
        <f>IFERROR(VLOOKUP($A37,Actual!$A:$D,4,FALSE),IFERROR(VLOOKUP($A37,FC!$A:$AC,29,FALSE),"Not Found"))</f>
        <v>9.3000000000000007</v>
      </c>
      <c r="M37">
        <f>IFERROR(VLOOKUP($A37,Actual!$A:$D,3,FALSE),"0")</f>
        <v>3.6999999999999998E-2</v>
      </c>
      <c r="N37">
        <f>VLOOKUP(A37,NHT!B:F,5,FALSE)</f>
        <v>20.083333333333002</v>
      </c>
    </row>
    <row r="38" spans="1:14" x14ac:dyDescent="0.2">
      <c r="A38" t="s">
        <v>84</v>
      </c>
      <c r="B38" t="s">
        <v>153</v>
      </c>
      <c r="C38" t="s">
        <v>12</v>
      </c>
      <c r="D38">
        <v>3300</v>
      </c>
      <c r="E38">
        <v>7.1546622731453002</v>
      </c>
      <c r="F38">
        <v>6.01</v>
      </c>
      <c r="G38">
        <v>1.1446622731453</v>
      </c>
      <c r="H38">
        <v>2.1680794767106901</v>
      </c>
      <c r="I38">
        <v>1.78866556828632</v>
      </c>
      <c r="J38">
        <v>22.8866556828632</v>
      </c>
      <c r="K38" t="s">
        <v>286</v>
      </c>
      <c r="L38">
        <f>IFERROR(VLOOKUP($A38,Actual!$A:$D,4,FALSE),IFERROR(VLOOKUP($A38,FC!$A:$AC,29,FALSE),"Not Found"))</f>
        <v>9.3000000000000007</v>
      </c>
      <c r="M38">
        <f>IFERROR(VLOOKUP($A38,Actual!$A:$D,3,FALSE),"0")</f>
        <v>2.3599999999999999E-2</v>
      </c>
      <c r="N38">
        <f>VLOOKUP(A38,NHT!B:F,5,FALSE)</f>
        <v>17.350000000000001</v>
      </c>
    </row>
    <row r="39" spans="1:14" x14ac:dyDescent="0.2">
      <c r="A39" t="s">
        <v>52</v>
      </c>
      <c r="B39" t="s">
        <v>155</v>
      </c>
      <c r="C39" t="s">
        <v>12</v>
      </c>
      <c r="D39">
        <v>3100</v>
      </c>
      <c r="E39">
        <v>6.5592560272553504</v>
      </c>
      <c r="F39">
        <v>6.49</v>
      </c>
      <c r="G39">
        <v>6.9256027255352806E-2</v>
      </c>
      <c r="H39">
        <v>2.1158890410501101</v>
      </c>
      <c r="I39">
        <v>1.63981400681383</v>
      </c>
      <c r="J39">
        <v>21.3981400681383</v>
      </c>
      <c r="K39" t="s">
        <v>286</v>
      </c>
      <c r="L39">
        <f>IFERROR(VLOOKUP($A39,Actual!$A:$D,4,FALSE),IFERROR(VLOOKUP($A39,FC!$A:$AC,29,FALSE),"Not Found"))</f>
        <v>9.3000000000000007</v>
      </c>
      <c r="M39">
        <f>IFERROR(VLOOKUP($A39,Actual!$A:$D,3,FALSE),"0")</f>
        <v>7.5800000000000006E-2</v>
      </c>
      <c r="N39">
        <f>VLOOKUP(A39,NHT!B:F,5,FALSE)</f>
        <v>15.733333333333</v>
      </c>
    </row>
    <row r="40" spans="1:14" x14ac:dyDescent="0.2">
      <c r="A40" t="s">
        <v>49</v>
      </c>
      <c r="B40" t="s">
        <v>160</v>
      </c>
      <c r="C40" t="s">
        <v>12</v>
      </c>
      <c r="D40">
        <v>6300</v>
      </c>
      <c r="E40">
        <v>11.233831319514801</v>
      </c>
      <c r="F40">
        <v>11.6</v>
      </c>
      <c r="G40">
        <v>-0.366168680485147</v>
      </c>
      <c r="H40">
        <v>1.78314782849442</v>
      </c>
      <c r="I40">
        <v>2.80845782987871</v>
      </c>
      <c r="J40">
        <v>33.0845782987871</v>
      </c>
      <c r="K40" t="s">
        <v>286</v>
      </c>
      <c r="L40">
        <f>IFERROR(VLOOKUP($A40,Actual!$A:$D,4,FALSE),IFERROR(VLOOKUP($A40,FC!$A:$AC,29,FALSE),"Not Found"))</f>
        <v>9.1</v>
      </c>
      <c r="M40">
        <f>IFERROR(VLOOKUP($A40,Actual!$A:$D,3,FALSE),"0")</f>
        <v>8.4199999999999997E-2</v>
      </c>
      <c r="N40">
        <f>VLOOKUP(A40,NHT!B:F,5,FALSE)</f>
        <v>20.333333333333002</v>
      </c>
    </row>
    <row r="41" spans="1:14" x14ac:dyDescent="0.2">
      <c r="A41" t="s">
        <v>18</v>
      </c>
      <c r="B41" t="s">
        <v>155</v>
      </c>
      <c r="C41" t="s">
        <v>15</v>
      </c>
      <c r="D41">
        <v>8100</v>
      </c>
      <c r="E41">
        <v>13.0043546536586</v>
      </c>
      <c r="F41">
        <v>11.41</v>
      </c>
      <c r="G41">
        <v>1.5943546536586799</v>
      </c>
      <c r="H41">
        <v>1.60547588316773</v>
      </c>
      <c r="I41">
        <v>2.6008709307317299</v>
      </c>
      <c r="J41">
        <v>36.008709307317297</v>
      </c>
      <c r="K41" t="s">
        <v>287</v>
      </c>
      <c r="L41">
        <f>IFERROR(VLOOKUP($A41,Actual!$A:$D,4,FALSE),IFERROR(VLOOKUP($A41,FC!$A:$AC,29,FALSE),"Not Found"))</f>
        <v>8.8000000000000007</v>
      </c>
      <c r="M41">
        <f>IFERROR(VLOOKUP($A41,Actual!$A:$D,3,FALSE),"0")</f>
        <v>0.21890000000000001</v>
      </c>
      <c r="N41">
        <f>VLOOKUP(A41,NHT!B:F,5,FALSE)</f>
        <v>49.9</v>
      </c>
    </row>
    <row r="42" spans="1:14" x14ac:dyDescent="0.2">
      <c r="A42" t="s">
        <v>71</v>
      </c>
      <c r="B42" t="s">
        <v>153</v>
      </c>
      <c r="C42" t="s">
        <v>5</v>
      </c>
      <c r="D42">
        <v>3700</v>
      </c>
      <c r="E42">
        <v>5.63899673835608</v>
      </c>
      <c r="F42">
        <v>4.9800000000000004</v>
      </c>
      <c r="G42">
        <v>0.65899673835608097</v>
      </c>
      <c r="H42">
        <v>1.5240531725286699</v>
      </c>
      <c r="I42">
        <v>1.40974918458902</v>
      </c>
      <c r="J42">
        <v>19.0974918458902</v>
      </c>
      <c r="K42" t="s">
        <v>286</v>
      </c>
      <c r="L42">
        <f>IFERROR(VLOOKUP($A42,Actual!$A:$D,4,FALSE),IFERROR(VLOOKUP($A42,FC!$A:$AC,29,FALSE),"Not Found"))</f>
        <v>8</v>
      </c>
      <c r="M42">
        <f>IFERROR(VLOOKUP($A42,Actual!$A:$D,3,FALSE),"0")</f>
        <v>4.8800000000000003E-2</v>
      </c>
      <c r="N42">
        <f>VLOOKUP(A42,NHT!B:F,5,FALSE)</f>
        <v>11.6</v>
      </c>
    </row>
    <row r="43" spans="1:14" x14ac:dyDescent="0.2">
      <c r="A43" t="s">
        <v>118</v>
      </c>
      <c r="B43" t="s">
        <v>160</v>
      </c>
      <c r="C43" t="s">
        <v>12</v>
      </c>
      <c r="D43">
        <v>2500</v>
      </c>
      <c r="E43">
        <v>5.5178768583194202</v>
      </c>
      <c r="F43">
        <v>5.19</v>
      </c>
      <c r="G43">
        <v>0.32787685831942798</v>
      </c>
      <c r="H43">
        <v>2.2071507433277699</v>
      </c>
      <c r="I43">
        <v>1.3794692145798499</v>
      </c>
      <c r="J43">
        <v>18.7946921457985</v>
      </c>
      <c r="K43" t="s">
        <v>286</v>
      </c>
      <c r="L43">
        <f>IFERROR(VLOOKUP($A43,Actual!$A:$D,4,FALSE),IFERROR(VLOOKUP($A43,FC!$A:$AC,29,FALSE),"Not Found"))</f>
        <v>7.8</v>
      </c>
      <c r="M43">
        <f>IFERROR(VLOOKUP($A43,Actual!$A:$D,3,FALSE),"0")</f>
        <v>1.6999999999999999E-3</v>
      </c>
      <c r="N43">
        <f>VLOOKUP(A43,NHT!B:F,5,FALSE)</f>
        <v>13.983333333333</v>
      </c>
    </row>
    <row r="44" spans="1:14" x14ac:dyDescent="0.2">
      <c r="A44" t="s">
        <v>169</v>
      </c>
      <c r="B44" t="s">
        <v>155</v>
      </c>
      <c r="C44" t="s">
        <v>5</v>
      </c>
      <c r="D44">
        <v>2500</v>
      </c>
      <c r="E44">
        <v>3.9104947464745998</v>
      </c>
      <c r="F44">
        <v>3.59</v>
      </c>
      <c r="G44">
        <v>0.32049474647460702</v>
      </c>
      <c r="H44">
        <v>1.5641978985898399</v>
      </c>
      <c r="I44">
        <v>0.97762368661865096</v>
      </c>
      <c r="J44">
        <v>14.776236866186499</v>
      </c>
      <c r="K44" t="s">
        <v>286</v>
      </c>
      <c r="L44">
        <f>IFERROR(VLOOKUP($A44,Actual!$A:$D,4,FALSE),IFERROR(VLOOKUP($A44,FC!$A:$AC,29,FALSE),"Not Found"))</f>
        <v>7.8</v>
      </c>
      <c r="M44" t="str">
        <f>IFERROR(VLOOKUP($A44,Actual!$A:$D,3,FALSE),"0")</f>
        <v>0</v>
      </c>
      <c r="N44">
        <f>VLOOKUP(A44,NHT!B:F,5,FALSE)</f>
        <v>10.416666666667</v>
      </c>
    </row>
    <row r="45" spans="1:14" x14ac:dyDescent="0.2">
      <c r="A45" t="s">
        <v>92</v>
      </c>
      <c r="B45" t="s">
        <v>160</v>
      </c>
      <c r="C45" t="s">
        <v>12</v>
      </c>
      <c r="D45">
        <v>2800</v>
      </c>
      <c r="E45">
        <v>7.1134957354874304</v>
      </c>
      <c r="F45">
        <v>5.33</v>
      </c>
      <c r="G45">
        <v>1.7834957354874299</v>
      </c>
      <c r="H45">
        <v>2.5405341912455102</v>
      </c>
      <c r="I45">
        <v>1.7783739338718501</v>
      </c>
      <c r="J45">
        <v>22.783739338718501</v>
      </c>
      <c r="K45" t="s">
        <v>286</v>
      </c>
      <c r="L45">
        <f>IFERROR(VLOOKUP($A45,Actual!$A:$D,4,FALSE),IFERROR(VLOOKUP($A45,FC!$A:$AC,29,FALSE),"Not Found"))</f>
        <v>7.6</v>
      </c>
      <c r="M45">
        <f>IFERROR(VLOOKUP($A45,Actual!$A:$D,3,FALSE),"0")</f>
        <v>1.18E-2</v>
      </c>
      <c r="N45">
        <f>VLOOKUP(A45,NHT!B:F,5,FALSE)</f>
        <v>15.1</v>
      </c>
    </row>
    <row r="46" spans="1:14" x14ac:dyDescent="0.2">
      <c r="A46" t="s">
        <v>91</v>
      </c>
      <c r="B46" t="s">
        <v>157</v>
      </c>
      <c r="C46" t="s">
        <v>12</v>
      </c>
      <c r="D46">
        <v>2500</v>
      </c>
      <c r="E46">
        <v>5.3243435855868197</v>
      </c>
      <c r="F46">
        <v>4.6399999999999997</v>
      </c>
      <c r="G46">
        <v>0.68434358558682895</v>
      </c>
      <c r="H46">
        <v>2.1297374342347299</v>
      </c>
      <c r="I46">
        <v>1.3310858963967001</v>
      </c>
      <c r="J46">
        <v>18.310858963967</v>
      </c>
      <c r="K46" t="s">
        <v>286</v>
      </c>
      <c r="L46">
        <f>IFERROR(VLOOKUP($A46,Actual!$A:$D,4,FALSE),IFERROR(VLOOKUP($A46,FC!$A:$AC,29,FALSE),"Not Found"))</f>
        <v>7.6</v>
      </c>
      <c r="M46">
        <f>IFERROR(VLOOKUP($A46,Actual!$A:$D,3,FALSE),"0")</f>
        <v>1.18E-2</v>
      </c>
      <c r="N46">
        <f>VLOOKUP(A46,NHT!B:F,5,FALSE)</f>
        <v>16.783333333333001</v>
      </c>
    </row>
    <row r="47" spans="1:14" x14ac:dyDescent="0.2">
      <c r="A47" t="s">
        <v>64</v>
      </c>
      <c r="B47" t="s">
        <v>153</v>
      </c>
      <c r="C47" t="s">
        <v>12</v>
      </c>
      <c r="D47">
        <v>3900</v>
      </c>
      <c r="E47">
        <v>8.7778307078700095</v>
      </c>
      <c r="F47">
        <v>8.32</v>
      </c>
      <c r="G47">
        <v>0.45783070787001801</v>
      </c>
      <c r="H47">
        <v>2.2507258225307698</v>
      </c>
      <c r="I47">
        <v>2.1944576769675002</v>
      </c>
      <c r="J47">
        <v>26.944576769674999</v>
      </c>
      <c r="K47" t="s">
        <v>286</v>
      </c>
      <c r="L47">
        <f>IFERROR(VLOOKUP($A47,Actual!$A:$D,4,FALSE),IFERROR(VLOOKUP($A47,FC!$A:$AC,29,FALSE),"Not Found"))</f>
        <v>7.3</v>
      </c>
      <c r="M47">
        <f>IFERROR(VLOOKUP($A47,Actual!$A:$D,3,FALSE),"0")</f>
        <v>5.8900000000000001E-2</v>
      </c>
      <c r="N47">
        <f>VLOOKUP(A47,NHT!B:F,5,FALSE)</f>
        <v>15.083333333333</v>
      </c>
    </row>
    <row r="48" spans="1:14" x14ac:dyDescent="0.2">
      <c r="A48" t="s">
        <v>36</v>
      </c>
      <c r="B48" t="s">
        <v>163</v>
      </c>
      <c r="C48" t="s">
        <v>10</v>
      </c>
      <c r="D48">
        <v>3900</v>
      </c>
      <c r="E48">
        <v>9.2741937727719801</v>
      </c>
      <c r="F48">
        <v>7.45</v>
      </c>
      <c r="G48">
        <v>1.8241937727719799</v>
      </c>
      <c r="H48">
        <v>2.37799840327486</v>
      </c>
      <c r="I48">
        <v>2.3185484431929901</v>
      </c>
      <c r="J48">
        <v>28.1854844319299</v>
      </c>
      <c r="K48" t="s">
        <v>286</v>
      </c>
      <c r="L48">
        <f>IFERROR(VLOOKUP($A48,Actual!$A:$D,4,FALSE),IFERROR(VLOOKUP($A48,FC!$A:$AC,29,FALSE),"Not Found"))</f>
        <v>7.1</v>
      </c>
      <c r="M48">
        <f>IFERROR(VLOOKUP($A48,Actual!$A:$D,3,FALSE),"0")</f>
        <v>0.1229</v>
      </c>
      <c r="N48">
        <f>VLOOKUP(A48,NHT!B:F,5,FALSE)</f>
        <v>11.083333333333</v>
      </c>
    </row>
    <row r="49" spans="1:14" x14ac:dyDescent="0.2">
      <c r="A49" t="s">
        <v>45</v>
      </c>
      <c r="B49" t="s">
        <v>155</v>
      </c>
      <c r="C49" t="s">
        <v>5</v>
      </c>
      <c r="D49">
        <v>7600</v>
      </c>
      <c r="E49">
        <v>15.370973214734899</v>
      </c>
      <c r="F49">
        <v>13.26</v>
      </c>
      <c r="G49">
        <v>2.1109732147349298</v>
      </c>
      <c r="H49">
        <v>2.0224964756230102</v>
      </c>
      <c r="I49">
        <v>3.8427433036837302</v>
      </c>
      <c r="J49">
        <v>43.4274330368373</v>
      </c>
      <c r="K49" t="s">
        <v>286</v>
      </c>
      <c r="L49">
        <f>IFERROR(VLOOKUP($A49,Actual!$A:$D,4,FALSE),IFERROR(VLOOKUP($A49,FC!$A:$AC,29,FALSE),"Not Found"))</f>
        <v>6.5</v>
      </c>
      <c r="M49">
        <f>IFERROR(VLOOKUP($A49,Actual!$A:$D,3,FALSE),"0")</f>
        <v>9.4299999999999995E-2</v>
      </c>
      <c r="N49">
        <f>VLOOKUP(A49,NHT!B:F,5,FALSE)</f>
        <v>13.183333333333</v>
      </c>
    </row>
    <row r="50" spans="1:14" x14ac:dyDescent="0.2">
      <c r="A50" t="s">
        <v>53</v>
      </c>
      <c r="B50" t="s">
        <v>160</v>
      </c>
      <c r="C50" t="s">
        <v>10</v>
      </c>
      <c r="D50">
        <v>5000</v>
      </c>
      <c r="E50">
        <v>11.570515672989901</v>
      </c>
      <c r="F50">
        <v>9.8800000000000008</v>
      </c>
      <c r="G50">
        <v>1.69051567298997</v>
      </c>
      <c r="H50">
        <v>2.3141031345979899</v>
      </c>
      <c r="I50">
        <v>2.8926289182474898</v>
      </c>
      <c r="J50">
        <v>33.926289182474903</v>
      </c>
      <c r="K50" t="s">
        <v>286</v>
      </c>
      <c r="L50">
        <f>IFERROR(VLOOKUP($A50,Actual!$A:$D,4,FALSE),IFERROR(VLOOKUP($A50,FC!$A:$AC,29,FALSE),"Not Found"))</f>
        <v>6.5</v>
      </c>
      <c r="M50">
        <f>IFERROR(VLOOKUP($A50,Actual!$A:$D,3,FALSE),"0")</f>
        <v>7.5800000000000006E-2</v>
      </c>
      <c r="N50">
        <f>VLOOKUP(A50,NHT!B:F,5,FALSE)</f>
        <v>13.516666666667</v>
      </c>
    </row>
    <row r="51" spans="1:14" x14ac:dyDescent="0.2">
      <c r="A51" t="s">
        <v>27</v>
      </c>
      <c r="B51" t="s">
        <v>157</v>
      </c>
      <c r="C51" t="s">
        <v>5</v>
      </c>
      <c r="D51">
        <v>5800</v>
      </c>
      <c r="E51">
        <v>11.122964299382399</v>
      </c>
      <c r="F51">
        <v>9.2200000000000006</v>
      </c>
      <c r="G51">
        <v>1.90296429938249</v>
      </c>
      <c r="H51">
        <v>1.91775246541077</v>
      </c>
      <c r="I51">
        <v>2.7807410748456198</v>
      </c>
      <c r="J51">
        <v>32.807410748456199</v>
      </c>
      <c r="K51" t="s">
        <v>286</v>
      </c>
      <c r="L51">
        <f>IFERROR(VLOOKUP($A51,Actual!$A:$D,4,FALSE),IFERROR(VLOOKUP($A51,FC!$A:$AC,29,FALSE),"Not Found"))</f>
        <v>6.5</v>
      </c>
      <c r="M51">
        <f>IFERROR(VLOOKUP($A51,Actual!$A:$D,3,FALSE),"0")</f>
        <v>0.14979999999999999</v>
      </c>
      <c r="N51">
        <f>VLOOKUP(A51,NHT!B:F,5,FALSE)</f>
        <v>16.066666666667</v>
      </c>
    </row>
    <row r="52" spans="1:14" x14ac:dyDescent="0.2">
      <c r="A52" t="s">
        <v>87</v>
      </c>
      <c r="B52" t="s">
        <v>150</v>
      </c>
      <c r="C52" t="s">
        <v>5</v>
      </c>
      <c r="D52">
        <v>2800</v>
      </c>
      <c r="E52">
        <v>5.64069571074692</v>
      </c>
      <c r="F52">
        <v>5.17</v>
      </c>
      <c r="G52">
        <v>0.47069571074692002</v>
      </c>
      <c r="H52">
        <v>2.0145341824096099</v>
      </c>
      <c r="I52">
        <v>1.41017392768673</v>
      </c>
      <c r="J52">
        <v>19.101739276867299</v>
      </c>
      <c r="K52" t="s">
        <v>286</v>
      </c>
      <c r="L52">
        <f>IFERROR(VLOOKUP($A52,Actual!$A:$D,4,FALSE),IFERROR(VLOOKUP($A52,FC!$A:$AC,29,FALSE),"Not Found"))</f>
        <v>6.5</v>
      </c>
      <c r="M52">
        <f>IFERROR(VLOOKUP($A52,Actual!$A:$D,3,FALSE),"0")</f>
        <v>1.6799999999999999E-2</v>
      </c>
      <c r="N52">
        <f>VLOOKUP(A52,NHT!B:F,5,FALSE)</f>
        <v>13.35</v>
      </c>
    </row>
    <row r="53" spans="1:14" x14ac:dyDescent="0.2">
      <c r="A53" t="s">
        <v>8</v>
      </c>
      <c r="B53" t="s">
        <v>150</v>
      </c>
      <c r="C53" t="s">
        <v>5</v>
      </c>
      <c r="D53">
        <v>6900</v>
      </c>
      <c r="E53">
        <v>13.368883679136999</v>
      </c>
      <c r="F53">
        <v>11.69</v>
      </c>
      <c r="G53">
        <v>1.67888367913707</v>
      </c>
      <c r="H53">
        <v>1.9375193737879799</v>
      </c>
      <c r="I53">
        <v>3.3422209197842698</v>
      </c>
      <c r="J53">
        <v>38.422209197842697</v>
      </c>
      <c r="K53" t="s">
        <v>286</v>
      </c>
      <c r="L53">
        <f>IFERROR(VLOOKUP($A53,Actual!$A:$D,4,FALSE),IFERROR(VLOOKUP($A53,FC!$A:$AC,29,FALSE),"Not Found"))</f>
        <v>6.3</v>
      </c>
      <c r="M53">
        <f>IFERROR(VLOOKUP($A53,Actual!$A:$D,3,FALSE),"0")</f>
        <v>0.29630000000000001</v>
      </c>
      <c r="N53">
        <f>VLOOKUP(A53,NHT!B:F,5,FALSE)</f>
        <v>18.283333333333001</v>
      </c>
    </row>
    <row r="54" spans="1:14" x14ac:dyDescent="0.2">
      <c r="A54" t="s">
        <v>90</v>
      </c>
      <c r="B54" t="s">
        <v>157</v>
      </c>
      <c r="C54" t="s">
        <v>5</v>
      </c>
      <c r="D54">
        <v>2600</v>
      </c>
      <c r="E54">
        <v>4.8541033110859901</v>
      </c>
      <c r="F54">
        <v>4.5199999999999996</v>
      </c>
      <c r="G54">
        <v>0.334103311085999</v>
      </c>
      <c r="H54">
        <v>1.8669628119561501</v>
      </c>
      <c r="I54">
        <v>1.21352582777149</v>
      </c>
      <c r="J54">
        <v>17.1352582777149</v>
      </c>
      <c r="K54" t="s">
        <v>286</v>
      </c>
      <c r="L54">
        <f>IFERROR(VLOOKUP($A54,Actual!$A:$D,4,FALSE),IFERROR(VLOOKUP($A54,FC!$A:$AC,29,FALSE),"Not Found"))</f>
        <v>6.3</v>
      </c>
      <c r="M54">
        <f>IFERROR(VLOOKUP($A54,Actual!$A:$D,3,FALSE),"0")</f>
        <v>1.35E-2</v>
      </c>
      <c r="N54">
        <f>VLOOKUP(A54,NHT!B:F,5,FALSE)</f>
        <v>13.15</v>
      </c>
    </row>
    <row r="55" spans="1:14" x14ac:dyDescent="0.2">
      <c r="A55" t="s">
        <v>172</v>
      </c>
      <c r="B55" t="s">
        <v>163</v>
      </c>
      <c r="C55" t="s">
        <v>12</v>
      </c>
      <c r="D55">
        <v>2500</v>
      </c>
      <c r="E55">
        <v>4.7284517019770496</v>
      </c>
      <c r="F55">
        <v>3.33</v>
      </c>
      <c r="G55">
        <v>1.3984517019770499</v>
      </c>
      <c r="H55">
        <v>1.89138068079082</v>
      </c>
      <c r="I55">
        <v>1.1821129254942599</v>
      </c>
      <c r="J55">
        <v>16.821129254942601</v>
      </c>
      <c r="K55" t="s">
        <v>286</v>
      </c>
      <c r="L55">
        <f>IFERROR(VLOOKUP($A55,Actual!$A:$D,4,FALSE),IFERROR(VLOOKUP($A55,FC!$A:$AC,29,FALSE),"Not Found"))</f>
        <v>6.3</v>
      </c>
      <c r="M55" t="str">
        <f>IFERROR(VLOOKUP($A55,Actual!$A:$D,3,FALSE),"0")</f>
        <v>0</v>
      </c>
      <c r="N55">
        <f>VLOOKUP(A55,NHT!B:F,5,FALSE)</f>
        <v>13.55</v>
      </c>
    </row>
    <row r="56" spans="1:14" x14ac:dyDescent="0.2">
      <c r="A56" t="s">
        <v>171</v>
      </c>
      <c r="B56" t="s">
        <v>155</v>
      </c>
      <c r="C56" t="s">
        <v>5</v>
      </c>
      <c r="D56">
        <v>2500</v>
      </c>
      <c r="E56">
        <v>3.2018451220640798</v>
      </c>
      <c r="F56">
        <v>2.46</v>
      </c>
      <c r="G56">
        <v>0.74184512206408604</v>
      </c>
      <c r="H56">
        <v>1.2807380488256299</v>
      </c>
      <c r="I56">
        <v>0.80046128051602095</v>
      </c>
      <c r="J56">
        <v>13.0046128051602</v>
      </c>
      <c r="K56" t="s">
        <v>286</v>
      </c>
      <c r="L56">
        <f>IFERROR(VLOOKUP($A56,Actual!$A:$D,4,FALSE),IFERROR(VLOOKUP($A56,FC!$A:$AC,29,FALSE),"Not Found"))</f>
        <v>6.3</v>
      </c>
      <c r="M56" t="str">
        <f>IFERROR(VLOOKUP($A56,Actual!$A:$D,3,FALSE),"0")</f>
        <v>0</v>
      </c>
      <c r="N56">
        <f>VLOOKUP(A56,NHT!B:F,5,FALSE)</f>
        <v>11.566666666667</v>
      </c>
    </row>
    <row r="57" spans="1:14" x14ac:dyDescent="0.2">
      <c r="A57" t="s">
        <v>62</v>
      </c>
      <c r="B57" t="s">
        <v>157</v>
      </c>
      <c r="C57" t="s">
        <v>12</v>
      </c>
      <c r="D57">
        <v>3000</v>
      </c>
      <c r="E57">
        <v>6.1176619085335</v>
      </c>
      <c r="F57">
        <v>5.87</v>
      </c>
      <c r="G57">
        <v>0.247661908533505</v>
      </c>
      <c r="H57">
        <v>2.0392206361778298</v>
      </c>
      <c r="I57">
        <v>1.5294154771333699</v>
      </c>
      <c r="J57">
        <v>20.294154771333702</v>
      </c>
      <c r="K57" t="s">
        <v>286</v>
      </c>
      <c r="L57">
        <f>IFERROR(VLOOKUP($A57,Actual!$A:$D,4,FALSE),IFERROR(VLOOKUP($A57,FC!$A:$AC,29,FALSE),"Not Found"))</f>
        <v>5.8</v>
      </c>
      <c r="M57">
        <f>IFERROR(VLOOKUP($A57,Actual!$A:$D,3,FALSE),"0")</f>
        <v>6.2300000000000001E-2</v>
      </c>
      <c r="N57">
        <f>VLOOKUP(A57,NHT!B:F,5,FALSE)</f>
        <v>19.916666666666998</v>
      </c>
    </row>
    <row r="58" spans="1:14" x14ac:dyDescent="0.2">
      <c r="A58" t="s">
        <v>95</v>
      </c>
      <c r="B58" t="s">
        <v>160</v>
      </c>
      <c r="C58" t="s">
        <v>12</v>
      </c>
      <c r="D58">
        <v>2600</v>
      </c>
      <c r="E58">
        <v>5.3046507726751901</v>
      </c>
      <c r="F58">
        <v>4.41</v>
      </c>
      <c r="G58">
        <v>0.89465077267519699</v>
      </c>
      <c r="H58">
        <v>2.0402502971827601</v>
      </c>
      <c r="I58">
        <v>1.32616269316879</v>
      </c>
      <c r="J58">
        <v>18.2616269316879</v>
      </c>
      <c r="K58" t="s">
        <v>286</v>
      </c>
      <c r="L58">
        <f>IFERROR(VLOOKUP($A58,Actual!$A:$D,4,FALSE),IFERROR(VLOOKUP($A58,FC!$A:$AC,29,FALSE),"Not Found"))</f>
        <v>5</v>
      </c>
      <c r="M58">
        <f>IFERROR(VLOOKUP($A58,Actual!$A:$D,3,FALSE),"0")</f>
        <v>1.01E-2</v>
      </c>
      <c r="N58">
        <f>VLOOKUP(A58,NHT!B:F,5,FALSE)</f>
        <v>16.983333333333</v>
      </c>
    </row>
    <row r="59" spans="1:14" x14ac:dyDescent="0.2">
      <c r="A59" t="s">
        <v>17</v>
      </c>
      <c r="B59" t="s">
        <v>163</v>
      </c>
      <c r="C59" t="s">
        <v>10</v>
      </c>
      <c r="D59">
        <v>4900</v>
      </c>
      <c r="E59">
        <v>11.481861972146699</v>
      </c>
      <c r="F59">
        <v>9.74</v>
      </c>
      <c r="G59">
        <v>1.7418619721467701</v>
      </c>
      <c r="H59">
        <v>2.3432371371728098</v>
      </c>
      <c r="I59">
        <v>2.87046549303669</v>
      </c>
      <c r="J59">
        <v>33.7046549303669</v>
      </c>
      <c r="K59" t="s">
        <v>286</v>
      </c>
      <c r="L59">
        <f>IFERROR(VLOOKUP($A59,Actual!$A:$D,4,FALSE),IFERROR(VLOOKUP($A59,FC!$A:$AC,29,FALSE),"Not Found"))</f>
        <v>4.3</v>
      </c>
      <c r="M59">
        <f>IFERROR(VLOOKUP($A59,Actual!$A:$D,3,FALSE),"0")</f>
        <v>0.2205</v>
      </c>
      <c r="N59">
        <f>VLOOKUP(A59,NHT!B:F,5,FALSE)</f>
        <v>11.916666666667</v>
      </c>
    </row>
    <row r="60" spans="1:14" x14ac:dyDescent="0.2">
      <c r="A60" t="s">
        <v>35</v>
      </c>
      <c r="B60" t="s">
        <v>150</v>
      </c>
      <c r="C60" t="s">
        <v>12</v>
      </c>
      <c r="D60">
        <v>4100</v>
      </c>
      <c r="E60">
        <v>9.6861227398508305</v>
      </c>
      <c r="F60">
        <v>7.67</v>
      </c>
      <c r="G60">
        <v>2.0161227398508301</v>
      </c>
      <c r="H60">
        <v>2.36246896093922</v>
      </c>
      <c r="I60">
        <v>2.4215306849627001</v>
      </c>
      <c r="J60">
        <v>29.215306849627002</v>
      </c>
      <c r="K60" t="s">
        <v>286</v>
      </c>
      <c r="L60">
        <f>IFERROR(VLOOKUP($A60,Actual!$A:$D,4,FALSE),IFERROR(VLOOKUP($A60,FC!$A:$AC,29,FALSE),"Not Found"))</f>
        <v>4.3</v>
      </c>
      <c r="M60">
        <f>IFERROR(VLOOKUP($A60,Actual!$A:$D,3,FALSE),"0")</f>
        <v>0.1246</v>
      </c>
      <c r="N60">
        <f>VLOOKUP(A60,NHT!B:F,5,FALSE)</f>
        <v>20.266666666667</v>
      </c>
    </row>
    <row r="61" spans="1:14" x14ac:dyDescent="0.2">
      <c r="A61" t="s">
        <v>68</v>
      </c>
      <c r="B61" t="s">
        <v>163</v>
      </c>
      <c r="C61" t="s">
        <v>5</v>
      </c>
      <c r="D61">
        <v>3400</v>
      </c>
      <c r="E61">
        <v>6.9152246584365402</v>
      </c>
      <c r="F61">
        <v>6.31</v>
      </c>
      <c r="G61">
        <v>0.60522465843654405</v>
      </c>
      <c r="H61">
        <v>2.0338896054225102</v>
      </c>
      <c r="I61">
        <v>1.7288061646091299</v>
      </c>
      <c r="J61">
        <v>22.2880616460913</v>
      </c>
      <c r="K61" t="s">
        <v>286</v>
      </c>
      <c r="L61">
        <f>IFERROR(VLOOKUP($A61,Actual!$A:$D,4,FALSE),IFERROR(VLOOKUP($A61,FC!$A:$AC,29,FALSE),"Not Found"))</f>
        <v>4.3</v>
      </c>
      <c r="M61">
        <f>IFERROR(VLOOKUP($A61,Actual!$A:$D,3,FALSE),"0")</f>
        <v>5.0500000000000003E-2</v>
      </c>
      <c r="N61">
        <f>VLOOKUP(A61,NHT!B:F,5,FALSE)</f>
        <v>12.983333333333</v>
      </c>
    </row>
    <row r="62" spans="1:14" x14ac:dyDescent="0.2">
      <c r="A62" t="s">
        <v>93</v>
      </c>
      <c r="B62" t="s">
        <v>157</v>
      </c>
      <c r="C62" t="s">
        <v>12</v>
      </c>
      <c r="D62">
        <v>2500</v>
      </c>
      <c r="E62">
        <v>5.3659106269039896</v>
      </c>
      <c r="F62">
        <v>4.95</v>
      </c>
      <c r="G62">
        <v>0.415910626903993</v>
      </c>
      <c r="H62">
        <v>2.1463642507615899</v>
      </c>
      <c r="I62">
        <v>1.3414776567259901</v>
      </c>
      <c r="J62">
        <v>18.414776567259899</v>
      </c>
      <c r="K62" t="s">
        <v>286</v>
      </c>
      <c r="L62">
        <f>IFERROR(VLOOKUP($A62,Actual!$A:$D,4,FALSE),IFERROR(VLOOKUP($A62,FC!$A:$AC,29,FALSE),"Not Found"))</f>
        <v>4.3</v>
      </c>
      <c r="M62">
        <f>IFERROR(VLOOKUP($A62,Actual!$A:$D,3,FALSE),"0")</f>
        <v>1.01E-2</v>
      </c>
      <c r="N62">
        <f>VLOOKUP(A62,NHT!B:F,5,FALSE)</f>
        <v>14.7</v>
      </c>
    </row>
    <row r="63" spans="1:14" x14ac:dyDescent="0.2">
      <c r="A63" t="s">
        <v>14</v>
      </c>
      <c r="B63" t="s">
        <v>163</v>
      </c>
      <c r="C63" t="s">
        <v>15</v>
      </c>
      <c r="D63">
        <v>7300</v>
      </c>
      <c r="E63">
        <v>12.7884262228617</v>
      </c>
      <c r="F63">
        <v>11.31</v>
      </c>
      <c r="G63">
        <v>1.47842622286173</v>
      </c>
      <c r="H63">
        <v>1.75183920861119</v>
      </c>
      <c r="I63">
        <v>2.5576852445723399</v>
      </c>
      <c r="J63">
        <v>35.576852445723397</v>
      </c>
      <c r="K63" t="s">
        <v>287</v>
      </c>
      <c r="L63">
        <f>IFERROR(VLOOKUP($A63,Actual!$A:$D,4,FALSE),IFERROR(VLOOKUP($A63,FC!$A:$AC,29,FALSE),"Not Found"))</f>
        <v>4.2</v>
      </c>
      <c r="M63">
        <f>IFERROR(VLOOKUP($A63,Actual!$A:$D,3,FALSE),"0")</f>
        <v>0.23569999999999999</v>
      </c>
      <c r="N63">
        <f>VLOOKUP(A63,NHT!B:F,5,FALSE)</f>
        <v>45.116666666667001</v>
      </c>
    </row>
    <row r="64" spans="1:14" x14ac:dyDescent="0.2">
      <c r="A64" t="s">
        <v>61</v>
      </c>
      <c r="B64" t="s">
        <v>157</v>
      </c>
      <c r="C64" t="s">
        <v>15</v>
      </c>
      <c r="D64">
        <v>7300</v>
      </c>
      <c r="E64">
        <v>7.3769683647019697</v>
      </c>
      <c r="F64">
        <v>4.1399999999999997</v>
      </c>
      <c r="G64">
        <v>3.23696836470197</v>
      </c>
      <c r="H64">
        <v>1.01054361160301</v>
      </c>
      <c r="I64">
        <v>1.47539367294039</v>
      </c>
      <c r="J64">
        <v>24.7539367294039</v>
      </c>
      <c r="K64" t="s">
        <v>287</v>
      </c>
      <c r="L64">
        <f>IFERROR(VLOOKUP($A64,Actual!$A:$D,4,FALSE),IFERROR(VLOOKUP($A64,FC!$A:$AC,29,FALSE),"Not Found"))</f>
        <v>4.2</v>
      </c>
      <c r="M64">
        <f>IFERROR(VLOOKUP($A64,Actual!$A:$D,3,FALSE),"0")</f>
        <v>6.5699999999999995E-2</v>
      </c>
      <c r="N64">
        <f>VLOOKUP(A64,NHT!B:F,5,FALSE)</f>
        <v>49.9</v>
      </c>
    </row>
    <row r="65" spans="1:14" x14ac:dyDescent="0.2">
      <c r="A65" t="s">
        <v>83</v>
      </c>
      <c r="B65" t="s">
        <v>157</v>
      </c>
      <c r="C65" t="s">
        <v>12</v>
      </c>
      <c r="D65">
        <v>2700</v>
      </c>
      <c r="E65">
        <v>6.1706344683746597</v>
      </c>
      <c r="F65">
        <v>4.91</v>
      </c>
      <c r="G65">
        <v>1.26063446837466</v>
      </c>
      <c r="H65">
        <v>2.2854201734720898</v>
      </c>
      <c r="I65">
        <v>1.54265861709366</v>
      </c>
      <c r="J65">
        <v>20.426586170936599</v>
      </c>
      <c r="K65" t="s">
        <v>286</v>
      </c>
      <c r="L65">
        <f>IFERROR(VLOOKUP($A65,Actual!$A:$D,4,FALSE),IFERROR(VLOOKUP($A65,FC!$A:$AC,29,FALSE),"Not Found"))</f>
        <v>4.0999999999999996</v>
      </c>
      <c r="M65">
        <f>IFERROR(VLOOKUP($A65,Actual!$A:$D,3,FALSE),"0")</f>
        <v>2.3599999999999999E-2</v>
      </c>
      <c r="N65">
        <f>VLOOKUP(A65,NHT!B:F,5,FALSE)</f>
        <v>18.8</v>
      </c>
    </row>
    <row r="66" spans="1:14" x14ac:dyDescent="0.2">
      <c r="A66" t="s">
        <v>40</v>
      </c>
      <c r="B66" t="s">
        <v>157</v>
      </c>
      <c r="C66" t="s">
        <v>10</v>
      </c>
      <c r="D66">
        <v>3600</v>
      </c>
      <c r="E66">
        <v>8.33403602549261</v>
      </c>
      <c r="F66">
        <v>7.32</v>
      </c>
      <c r="G66">
        <v>1.0140360254926</v>
      </c>
      <c r="H66">
        <v>2.31501000708128</v>
      </c>
      <c r="I66">
        <v>2.0835090063731498</v>
      </c>
      <c r="J66">
        <v>25.835090063731499</v>
      </c>
      <c r="K66" t="s">
        <v>286</v>
      </c>
      <c r="L66">
        <f>IFERROR(VLOOKUP($A66,Actual!$A:$D,4,FALSE),IFERROR(VLOOKUP($A66,FC!$A:$AC,29,FALSE),"Not Found"))</f>
        <v>3</v>
      </c>
      <c r="M66">
        <f>IFERROR(VLOOKUP($A66,Actual!$A:$D,3,FALSE),"0")</f>
        <v>0.1027</v>
      </c>
      <c r="N66">
        <f>VLOOKUP(A66,NHT!B:F,5,FALSE)</f>
        <v>11.5</v>
      </c>
    </row>
    <row r="67" spans="1:14" x14ac:dyDescent="0.2">
      <c r="A67" t="s">
        <v>6</v>
      </c>
      <c r="B67" t="s">
        <v>150</v>
      </c>
      <c r="C67" t="s">
        <v>10</v>
      </c>
      <c r="D67">
        <v>4300</v>
      </c>
      <c r="E67">
        <v>8.30454505392904</v>
      </c>
      <c r="F67">
        <v>6.65</v>
      </c>
      <c r="G67">
        <v>1.6545450539290401</v>
      </c>
      <c r="H67">
        <v>1.93128954742535</v>
      </c>
      <c r="I67">
        <v>2.07613626348226</v>
      </c>
      <c r="J67">
        <v>25.7613626348226</v>
      </c>
      <c r="K67" t="s">
        <v>286</v>
      </c>
      <c r="L67">
        <f>IFERROR(VLOOKUP($A67,Actual!$A:$D,4,FALSE),IFERROR(VLOOKUP($A67,FC!$A:$AC,29,FALSE),"Not Found"))</f>
        <v>3</v>
      </c>
      <c r="M67">
        <f>IFERROR(VLOOKUP($A67,Actual!$A:$D,3,FALSE),"0")</f>
        <v>0.31990000000000002</v>
      </c>
      <c r="N67">
        <f>VLOOKUP(A67,NHT!B:F,5,FALSE)</f>
        <v>13.566666666667</v>
      </c>
    </row>
    <row r="68" spans="1:14" x14ac:dyDescent="0.2">
      <c r="A68" t="s">
        <v>80</v>
      </c>
      <c r="B68" t="s">
        <v>153</v>
      </c>
      <c r="C68" t="s">
        <v>12</v>
      </c>
      <c r="D68">
        <v>3600</v>
      </c>
      <c r="E68">
        <v>7.9051494733122398</v>
      </c>
      <c r="F68">
        <v>7.2</v>
      </c>
      <c r="G68">
        <v>0.70514947331224198</v>
      </c>
      <c r="H68">
        <v>2.1958748536978399</v>
      </c>
      <c r="I68">
        <v>1.97628736832806</v>
      </c>
      <c r="J68">
        <v>24.762873683280599</v>
      </c>
      <c r="K68" t="s">
        <v>286</v>
      </c>
      <c r="L68">
        <f>IFERROR(VLOOKUP($A68,Actual!$A:$D,4,FALSE),IFERROR(VLOOKUP($A68,FC!$A:$AC,29,FALSE),"Not Found"))</f>
        <v>3</v>
      </c>
      <c r="M68">
        <f>IFERROR(VLOOKUP($A68,Actual!$A:$D,3,FALSE),"0")</f>
        <v>2.86E-2</v>
      </c>
      <c r="N68">
        <f>VLOOKUP(A68,NHT!B:F,5,FALSE)</f>
        <v>14.75</v>
      </c>
    </row>
    <row r="69" spans="1:14" x14ac:dyDescent="0.2">
      <c r="A69" t="s">
        <v>4</v>
      </c>
      <c r="B69" t="s">
        <v>150</v>
      </c>
      <c r="C69" t="s">
        <v>5</v>
      </c>
      <c r="D69">
        <v>10000</v>
      </c>
      <c r="E69">
        <v>25.0540758313788</v>
      </c>
      <c r="F69">
        <v>21.35</v>
      </c>
      <c r="G69">
        <v>3.7040758313788298</v>
      </c>
      <c r="H69">
        <v>2.5054075831378801</v>
      </c>
      <c r="I69">
        <v>6.2635189578446999</v>
      </c>
      <c r="J69">
        <v>67.635189578447097</v>
      </c>
      <c r="K69" t="s">
        <v>286</v>
      </c>
      <c r="L69">
        <f>IFERROR(VLOOKUP($A69,Actual!$A:$D,4,FALSE),IFERROR(VLOOKUP($A69,FC!$A:$AC,29,FALSE),"Not Found"))</f>
        <v>2.8</v>
      </c>
      <c r="M69">
        <f>IFERROR(VLOOKUP($A69,Actual!$A:$D,3,FALSE),"0")</f>
        <v>0.50670000000000004</v>
      </c>
      <c r="N69">
        <f>VLOOKUP(A69,NHT!B:F,5,FALSE)</f>
        <v>21.166666666666998</v>
      </c>
    </row>
    <row r="70" spans="1:14" x14ac:dyDescent="0.2">
      <c r="A70" t="s">
        <v>57</v>
      </c>
      <c r="B70" t="s">
        <v>153</v>
      </c>
      <c r="C70" t="s">
        <v>5</v>
      </c>
      <c r="D70">
        <v>4400</v>
      </c>
      <c r="E70">
        <v>9.8621728388918903</v>
      </c>
      <c r="F70">
        <v>9.06</v>
      </c>
      <c r="G70">
        <v>0.80217283889189595</v>
      </c>
      <c r="H70">
        <v>2.2414029179299702</v>
      </c>
      <c r="I70">
        <v>2.4655432097229699</v>
      </c>
      <c r="J70">
        <v>29.655432097229699</v>
      </c>
      <c r="K70" t="s">
        <v>286</v>
      </c>
      <c r="L70">
        <f>IFERROR(VLOOKUP($A70,Actual!$A:$D,4,FALSE),IFERROR(VLOOKUP($A70,FC!$A:$AC,29,FALSE),"Not Found"))</f>
        <v>2.8</v>
      </c>
      <c r="M70">
        <f>IFERROR(VLOOKUP($A70,Actual!$A:$D,3,FALSE),"0")</f>
        <v>7.4099999999999999E-2</v>
      </c>
      <c r="N70">
        <f>VLOOKUP(A70,NHT!B:F,5,FALSE)</f>
        <v>13.1</v>
      </c>
    </row>
    <row r="71" spans="1:14" x14ac:dyDescent="0.2">
      <c r="A71" t="s">
        <v>13</v>
      </c>
      <c r="B71" t="s">
        <v>155</v>
      </c>
      <c r="C71" t="s">
        <v>10</v>
      </c>
      <c r="D71">
        <v>3800</v>
      </c>
      <c r="E71">
        <v>7.1563389703950104</v>
      </c>
      <c r="F71">
        <v>6.52</v>
      </c>
      <c r="G71">
        <v>0.63633897039501797</v>
      </c>
      <c r="H71">
        <v>1.8832470974723701</v>
      </c>
      <c r="I71">
        <v>1.7890847425987499</v>
      </c>
      <c r="J71">
        <v>22.890847425987499</v>
      </c>
      <c r="K71" t="s">
        <v>286</v>
      </c>
      <c r="L71">
        <f>IFERROR(VLOOKUP($A71,Actual!$A:$D,4,FALSE),IFERROR(VLOOKUP($A71,FC!$A:$AC,29,FALSE),"Not Found"))</f>
        <v>2.8</v>
      </c>
      <c r="M71">
        <f>IFERROR(VLOOKUP($A71,Actual!$A:$D,3,FALSE),"0")</f>
        <v>0.26939999999999997</v>
      </c>
      <c r="N71">
        <f>VLOOKUP(A71,NHT!B:F,5,FALSE)</f>
        <v>13.95</v>
      </c>
    </row>
    <row r="72" spans="1:14" x14ac:dyDescent="0.2">
      <c r="A72" t="s">
        <v>82</v>
      </c>
      <c r="B72" t="s">
        <v>157</v>
      </c>
      <c r="C72" t="s">
        <v>10</v>
      </c>
      <c r="D72">
        <v>3100</v>
      </c>
      <c r="E72">
        <v>5.98862467315623</v>
      </c>
      <c r="F72">
        <v>5.0199999999999996</v>
      </c>
      <c r="G72">
        <v>0.96862467315623302</v>
      </c>
      <c r="H72">
        <v>1.9318144106955499</v>
      </c>
      <c r="I72">
        <v>1.49715616828905</v>
      </c>
      <c r="J72">
        <v>19.971561682890499</v>
      </c>
      <c r="K72" t="s">
        <v>286</v>
      </c>
      <c r="L72">
        <f>IFERROR(VLOOKUP($A72,Actual!$A:$D,4,FALSE),IFERROR(VLOOKUP($A72,FC!$A:$AC,29,FALSE),"Not Found"))</f>
        <v>2.8</v>
      </c>
      <c r="M72">
        <f>IFERROR(VLOOKUP($A72,Actual!$A:$D,3,FALSE),"0")</f>
        <v>2.69E-2</v>
      </c>
      <c r="N72">
        <f>VLOOKUP(A72,NHT!B:F,5,FALSE)</f>
        <v>15.466666666667001</v>
      </c>
    </row>
    <row r="73" spans="1:14" x14ac:dyDescent="0.2">
      <c r="A73" t="s">
        <v>166</v>
      </c>
      <c r="B73" t="s">
        <v>157</v>
      </c>
      <c r="C73" t="s">
        <v>12</v>
      </c>
      <c r="D73">
        <v>2500</v>
      </c>
      <c r="E73">
        <v>4.7593530364890198</v>
      </c>
      <c r="F73">
        <v>2.86</v>
      </c>
      <c r="G73">
        <v>1.8993530364890201</v>
      </c>
      <c r="H73">
        <v>1.9037412145956101</v>
      </c>
      <c r="I73">
        <v>1.1898382591222501</v>
      </c>
      <c r="J73">
        <v>16.8983825912225</v>
      </c>
      <c r="K73" t="s">
        <v>286</v>
      </c>
      <c r="L73">
        <f>IFERROR(VLOOKUP($A73,Actual!$A:$D,4,FALSE),IFERROR(VLOOKUP($A73,FC!$A:$AC,29,FALSE),"Not Found"))</f>
        <v>2.8</v>
      </c>
      <c r="M73" t="str">
        <f>IFERROR(VLOOKUP($A73,Actual!$A:$D,3,FALSE),"0")</f>
        <v>0</v>
      </c>
      <c r="N73">
        <f>VLOOKUP(A73,NHT!B:F,5,FALSE)</f>
        <v>11.933333333333</v>
      </c>
    </row>
    <row r="74" spans="1:14" x14ac:dyDescent="0.2">
      <c r="A74" t="s">
        <v>109</v>
      </c>
      <c r="B74" t="s">
        <v>160</v>
      </c>
      <c r="C74" t="s">
        <v>10</v>
      </c>
      <c r="D74">
        <v>2500</v>
      </c>
      <c r="E74">
        <v>5.4540048559498198</v>
      </c>
      <c r="F74">
        <v>4.8499999999999996</v>
      </c>
      <c r="G74">
        <v>0.60400485594982001</v>
      </c>
      <c r="H74">
        <v>2.18160194237992</v>
      </c>
      <c r="I74">
        <v>1.3635012139874501</v>
      </c>
      <c r="J74">
        <v>18.635012139874501</v>
      </c>
      <c r="K74" t="s">
        <v>286</v>
      </c>
      <c r="L74">
        <f>IFERROR(VLOOKUP($A74,Actual!$A:$D,4,FALSE),IFERROR(VLOOKUP($A74,FC!$A:$AC,29,FALSE),"Not Found"))</f>
        <v>2.6</v>
      </c>
      <c r="M74">
        <f>IFERROR(VLOOKUP($A74,Actual!$A:$D,3,FALSE),"0")</f>
        <v>3.3999999999999998E-3</v>
      </c>
      <c r="N74">
        <f>VLOOKUP(A74,NHT!B:F,5,FALSE)</f>
        <v>18.416666666666998</v>
      </c>
    </row>
    <row r="75" spans="1:14" x14ac:dyDescent="0.2">
      <c r="A75" t="s">
        <v>113</v>
      </c>
      <c r="B75" t="s">
        <v>150</v>
      </c>
      <c r="C75" t="s">
        <v>10</v>
      </c>
      <c r="D75">
        <v>2500</v>
      </c>
      <c r="E75">
        <v>3.6465740236226498</v>
      </c>
      <c r="F75">
        <v>2.63</v>
      </c>
      <c r="G75">
        <v>1.0165740236226499</v>
      </c>
      <c r="H75">
        <v>1.4586296094490601</v>
      </c>
      <c r="I75">
        <v>0.91164350590566301</v>
      </c>
      <c r="J75">
        <v>14.116435059056601</v>
      </c>
      <c r="K75" t="s">
        <v>286</v>
      </c>
      <c r="L75">
        <f>IFERROR(VLOOKUP($A75,Actual!$A:$D,4,FALSE),IFERROR(VLOOKUP($A75,FC!$A:$AC,29,FALSE),"Not Found"))</f>
        <v>2.6</v>
      </c>
      <c r="M75">
        <f>IFERROR(VLOOKUP($A75,Actual!$A:$D,3,FALSE),"0")</f>
        <v>1.6999999999999999E-3</v>
      </c>
      <c r="N75">
        <f>VLOOKUP(A75,NHT!B:F,5,FALSE)</f>
        <v>9.8833333333333009</v>
      </c>
    </row>
    <row r="76" spans="1:14" x14ac:dyDescent="0.2">
      <c r="A76" t="s">
        <v>274</v>
      </c>
      <c r="B76" t="s">
        <v>150</v>
      </c>
      <c r="C76" t="s">
        <v>15</v>
      </c>
      <c r="D76">
        <v>8300</v>
      </c>
      <c r="E76">
        <v>15.607569092337</v>
      </c>
      <c r="F76">
        <v>13.6</v>
      </c>
      <c r="G76">
        <v>2.0075690923370302</v>
      </c>
      <c r="H76">
        <v>1.8804300111249399</v>
      </c>
      <c r="I76">
        <v>3.1215138184673998</v>
      </c>
      <c r="J76">
        <v>41.215138184673997</v>
      </c>
      <c r="K76" t="s">
        <v>287</v>
      </c>
      <c r="L76">
        <f>IFERROR(VLOOKUP($A76,Actual!$A:$D,4,FALSE),IFERROR(VLOOKUP($A76,FC!$A:$AC,29,FALSE),"Not Found"))</f>
        <v>2.1</v>
      </c>
      <c r="M76">
        <f>IFERROR(VLOOKUP($A76,Actual!$A:$D,3,FALSE),"0")</f>
        <v>0.22559999999999999</v>
      </c>
      <c r="N76">
        <f>VLOOKUP(A76,NHT!B:F,5,FALSE)</f>
        <v>51.683333333333003</v>
      </c>
    </row>
    <row r="77" spans="1:14" x14ac:dyDescent="0.2">
      <c r="A77" t="s">
        <v>37</v>
      </c>
      <c r="B77" t="s">
        <v>150</v>
      </c>
      <c r="C77" t="s">
        <v>12</v>
      </c>
      <c r="D77">
        <v>4300</v>
      </c>
      <c r="E77">
        <v>10.827080927309799</v>
      </c>
      <c r="F77">
        <v>8.35</v>
      </c>
      <c r="G77">
        <v>2.4770809273098799</v>
      </c>
      <c r="H77">
        <v>2.51792579704881</v>
      </c>
      <c r="I77">
        <v>2.7067702318274698</v>
      </c>
      <c r="J77">
        <v>32.067702318274698</v>
      </c>
      <c r="K77" t="s">
        <v>286</v>
      </c>
      <c r="L77">
        <f>IFERROR(VLOOKUP($A77,Actual!$A:$D,4,FALSE),IFERROR(VLOOKUP($A77,FC!$A:$AC,29,FALSE),"Not Found"))</f>
        <v>1.5</v>
      </c>
      <c r="M77">
        <f>IFERROR(VLOOKUP($A77,Actual!$A:$D,3,FALSE),"0")</f>
        <v>0.1212</v>
      </c>
      <c r="N77">
        <f>VLOOKUP(A77,NHT!B:F,5,FALSE)</f>
        <v>18.45</v>
      </c>
    </row>
    <row r="78" spans="1:14" x14ac:dyDescent="0.2">
      <c r="A78" t="s">
        <v>31</v>
      </c>
      <c r="B78" t="s">
        <v>160</v>
      </c>
      <c r="C78" t="s">
        <v>5</v>
      </c>
      <c r="D78">
        <v>5200</v>
      </c>
      <c r="E78">
        <v>10.7278352460566</v>
      </c>
      <c r="F78">
        <v>9.6</v>
      </c>
      <c r="G78">
        <v>1.1278352460566201</v>
      </c>
      <c r="H78">
        <v>2.0630452396262702</v>
      </c>
      <c r="I78">
        <v>2.6819588115141499</v>
      </c>
      <c r="J78">
        <v>31.819588115141499</v>
      </c>
      <c r="K78" t="s">
        <v>286</v>
      </c>
      <c r="L78">
        <f>IFERROR(VLOOKUP($A78,Actual!$A:$D,4,FALSE),IFERROR(VLOOKUP($A78,FC!$A:$AC,29,FALSE),"Not Found"))</f>
        <v>1.5</v>
      </c>
      <c r="M78">
        <f>IFERROR(VLOOKUP($A78,Actual!$A:$D,3,FALSE),"0")</f>
        <v>0.13639999999999999</v>
      </c>
      <c r="N78">
        <f>VLOOKUP(A78,NHT!B:F,5,FALSE)</f>
        <v>11.95</v>
      </c>
    </row>
    <row r="79" spans="1:14" x14ac:dyDescent="0.2">
      <c r="A79" t="s">
        <v>47</v>
      </c>
      <c r="B79" t="s">
        <v>150</v>
      </c>
      <c r="C79" t="s">
        <v>12</v>
      </c>
      <c r="D79">
        <v>3800</v>
      </c>
      <c r="E79">
        <v>8.52835907901766</v>
      </c>
      <c r="F79">
        <v>7.28</v>
      </c>
      <c r="G79">
        <v>1.24835907901766</v>
      </c>
      <c r="H79">
        <v>2.24430502079412</v>
      </c>
      <c r="I79">
        <v>2.1320897697544101</v>
      </c>
      <c r="J79">
        <v>26.320897697544101</v>
      </c>
      <c r="K79" t="s">
        <v>286</v>
      </c>
      <c r="L79">
        <f>IFERROR(VLOOKUP($A79,Actual!$A:$D,4,FALSE),IFERROR(VLOOKUP($A79,FC!$A:$AC,29,FALSE),"Not Found"))</f>
        <v>1.5</v>
      </c>
      <c r="M79">
        <f>IFERROR(VLOOKUP($A79,Actual!$A:$D,3,FALSE),"0")</f>
        <v>8.5900000000000004E-2</v>
      </c>
      <c r="N79">
        <f>VLOOKUP(A79,NHT!B:F,5,FALSE)</f>
        <v>17.899999999999999</v>
      </c>
    </row>
    <row r="80" spans="1:14" x14ac:dyDescent="0.2">
      <c r="A80" t="s">
        <v>65</v>
      </c>
      <c r="B80" t="s">
        <v>157</v>
      </c>
      <c r="C80" t="s">
        <v>10</v>
      </c>
      <c r="D80">
        <v>4000</v>
      </c>
      <c r="E80">
        <v>8.2821515118551705</v>
      </c>
      <c r="F80">
        <v>7.99</v>
      </c>
      <c r="G80">
        <v>0.29215151185517502</v>
      </c>
      <c r="H80">
        <v>2.07053787796379</v>
      </c>
      <c r="I80">
        <v>2.07053787796379</v>
      </c>
      <c r="J80">
        <v>25.705378779637901</v>
      </c>
      <c r="K80" t="s">
        <v>286</v>
      </c>
      <c r="L80">
        <f>IFERROR(VLOOKUP($A80,Actual!$A:$D,4,FALSE),IFERROR(VLOOKUP($A80,FC!$A:$AC,29,FALSE),"Not Found"))</f>
        <v>1.5</v>
      </c>
      <c r="M80">
        <f>IFERROR(VLOOKUP($A80,Actual!$A:$D,3,FALSE),"0")</f>
        <v>5.5599999999999997E-2</v>
      </c>
      <c r="N80">
        <f>VLOOKUP(A80,NHT!B:F,5,FALSE)</f>
        <v>11.433333333333</v>
      </c>
    </row>
    <row r="81" spans="1:14" x14ac:dyDescent="0.2">
      <c r="A81" t="s">
        <v>99</v>
      </c>
      <c r="B81" t="s">
        <v>155</v>
      </c>
      <c r="C81" t="s">
        <v>12</v>
      </c>
      <c r="D81">
        <v>3700</v>
      </c>
      <c r="E81">
        <v>7.5237605841633304</v>
      </c>
      <c r="F81">
        <v>7.28</v>
      </c>
      <c r="G81">
        <v>0.24376058416333701</v>
      </c>
      <c r="H81">
        <v>2.0334488065306302</v>
      </c>
      <c r="I81">
        <v>1.8809401460408299</v>
      </c>
      <c r="J81">
        <v>23.809401460408299</v>
      </c>
      <c r="K81" t="s">
        <v>286</v>
      </c>
      <c r="L81">
        <f>IFERROR(VLOOKUP($A81,Actual!$A:$D,4,FALSE),IFERROR(VLOOKUP($A81,FC!$A:$AC,29,FALSE),"Not Found"))</f>
        <v>1.5</v>
      </c>
      <c r="M81">
        <f>IFERROR(VLOOKUP($A81,Actual!$A:$D,3,FALSE),"0")</f>
        <v>8.3999999999999995E-3</v>
      </c>
      <c r="N81">
        <f>VLOOKUP(A81,NHT!B:F,5,FALSE)</f>
        <v>16.95</v>
      </c>
    </row>
    <row r="82" spans="1:14" x14ac:dyDescent="0.2">
      <c r="A82" t="s">
        <v>94</v>
      </c>
      <c r="B82" t="s">
        <v>160</v>
      </c>
      <c r="C82" t="s">
        <v>10</v>
      </c>
      <c r="D82">
        <v>3200</v>
      </c>
      <c r="E82">
        <v>6.9306159447285003</v>
      </c>
      <c r="F82">
        <v>6.38</v>
      </c>
      <c r="G82">
        <v>0.55061594472850905</v>
      </c>
      <c r="H82">
        <v>2.16581748272765</v>
      </c>
      <c r="I82">
        <v>1.73265398618212</v>
      </c>
      <c r="J82">
        <v>22.3265398618212</v>
      </c>
      <c r="K82" t="s">
        <v>286</v>
      </c>
      <c r="L82">
        <f>IFERROR(VLOOKUP($A82,Actual!$A:$D,4,FALSE),IFERROR(VLOOKUP($A82,FC!$A:$AC,29,FALSE),"Not Found"))</f>
        <v>1.5</v>
      </c>
      <c r="M82">
        <f>IFERROR(VLOOKUP($A82,Actual!$A:$D,3,FALSE),"0")</f>
        <v>1.01E-2</v>
      </c>
      <c r="N82">
        <f>VLOOKUP(A82,NHT!B:F,5,FALSE)</f>
        <v>8.9833333333333005</v>
      </c>
    </row>
    <row r="83" spans="1:14" x14ac:dyDescent="0.2">
      <c r="A83" t="s">
        <v>58</v>
      </c>
      <c r="B83" t="s">
        <v>155</v>
      </c>
      <c r="C83" t="s">
        <v>10</v>
      </c>
      <c r="D83">
        <v>3300</v>
      </c>
      <c r="E83">
        <v>6.2809134572511001</v>
      </c>
      <c r="F83">
        <v>5.19</v>
      </c>
      <c r="G83">
        <v>1.0909134572510899</v>
      </c>
      <c r="H83">
        <v>1.9033071082579001</v>
      </c>
      <c r="I83">
        <v>1.5702283643127699</v>
      </c>
      <c r="J83">
        <v>20.7022836431277</v>
      </c>
      <c r="K83" t="s">
        <v>286</v>
      </c>
      <c r="L83">
        <f>IFERROR(VLOOKUP($A83,Actual!$A:$D,4,FALSE),IFERROR(VLOOKUP($A83,FC!$A:$AC,29,FALSE),"Not Found"))</f>
        <v>1.5</v>
      </c>
      <c r="M83">
        <f>IFERROR(VLOOKUP($A83,Actual!$A:$D,3,FALSE),"0")</f>
        <v>7.4099999999999999E-2</v>
      </c>
      <c r="N83">
        <f>VLOOKUP(A83,NHT!B:F,5,FALSE)</f>
        <v>14.083333333333</v>
      </c>
    </row>
    <row r="84" spans="1:14" x14ac:dyDescent="0.2">
      <c r="A84" t="s">
        <v>70</v>
      </c>
      <c r="B84" t="s">
        <v>163</v>
      </c>
      <c r="C84" t="s">
        <v>5</v>
      </c>
      <c r="D84">
        <v>2900</v>
      </c>
      <c r="E84">
        <v>5.9446247005029598</v>
      </c>
      <c r="F84">
        <v>5.29</v>
      </c>
      <c r="G84">
        <v>0.65462470050295896</v>
      </c>
      <c r="H84">
        <v>2.0498705863803299</v>
      </c>
      <c r="I84">
        <v>1.4861561751257399</v>
      </c>
      <c r="J84">
        <v>19.861561751257302</v>
      </c>
      <c r="K84" t="s">
        <v>286</v>
      </c>
      <c r="L84">
        <f>IFERROR(VLOOKUP($A84,Actual!$A:$D,4,FALSE),IFERROR(VLOOKUP($A84,FC!$A:$AC,29,FALSE),"Not Found"))</f>
        <v>1.5</v>
      </c>
      <c r="M84">
        <f>IFERROR(VLOOKUP($A84,Actual!$A:$D,3,FALSE),"0")</f>
        <v>5.0500000000000003E-2</v>
      </c>
      <c r="N84">
        <f>VLOOKUP(A84,NHT!B:F,5,FALSE)</f>
        <v>11.283333333332999</v>
      </c>
    </row>
    <row r="85" spans="1:14" x14ac:dyDescent="0.2">
      <c r="A85" t="s">
        <v>101</v>
      </c>
      <c r="B85" t="s">
        <v>150</v>
      </c>
      <c r="C85" t="s">
        <v>5</v>
      </c>
      <c r="D85">
        <v>2600</v>
      </c>
      <c r="E85">
        <v>5.4054899790214197</v>
      </c>
      <c r="F85">
        <v>4.13</v>
      </c>
      <c r="G85">
        <v>1.27548997902142</v>
      </c>
      <c r="H85">
        <v>2.07903460731593</v>
      </c>
      <c r="I85">
        <v>1.35137249475535</v>
      </c>
      <c r="J85">
        <v>18.513724947553499</v>
      </c>
      <c r="K85" t="s">
        <v>286</v>
      </c>
      <c r="L85">
        <f>IFERROR(VLOOKUP($A85,Actual!$A:$D,4,FALSE),IFERROR(VLOOKUP($A85,FC!$A:$AC,29,FALSE),"Not Found"))</f>
        <v>1.5</v>
      </c>
      <c r="M85">
        <f>IFERROR(VLOOKUP($A85,Actual!$A:$D,3,FALSE),"0")</f>
        <v>6.7000000000000002E-3</v>
      </c>
      <c r="N85">
        <f>VLOOKUP(A85,NHT!B:F,5,FALSE)</f>
        <v>8.7166666666667005</v>
      </c>
    </row>
    <row r="86" spans="1:14" x14ac:dyDescent="0.2">
      <c r="A86" t="s">
        <v>111</v>
      </c>
      <c r="B86" t="s">
        <v>157</v>
      </c>
      <c r="C86" t="s">
        <v>5</v>
      </c>
      <c r="D86">
        <v>2500</v>
      </c>
      <c r="E86">
        <v>3.8907344683315901</v>
      </c>
      <c r="F86">
        <v>3.34</v>
      </c>
      <c r="G86">
        <v>0.550734468331598</v>
      </c>
      <c r="H86">
        <v>1.5562937873326299</v>
      </c>
      <c r="I86">
        <v>0.97268361708289897</v>
      </c>
      <c r="J86">
        <v>14.7268361708289</v>
      </c>
      <c r="K86" t="s">
        <v>286</v>
      </c>
      <c r="L86">
        <f>IFERROR(VLOOKUP($A86,Actual!$A:$D,4,FALSE),IFERROR(VLOOKUP($A86,FC!$A:$AC,29,FALSE),"Not Found"))</f>
        <v>1.5</v>
      </c>
      <c r="M86">
        <f>IFERROR(VLOOKUP($A86,Actual!$A:$D,3,FALSE),"0")</f>
        <v>1.6999999999999999E-3</v>
      </c>
      <c r="N86">
        <f>VLOOKUP(A86,NHT!B:F,5,FALSE)</f>
        <v>9.1999999999999993</v>
      </c>
    </row>
    <row r="87" spans="1:14" x14ac:dyDescent="0.2">
      <c r="A87" t="s">
        <v>179</v>
      </c>
      <c r="B87" t="s">
        <v>160</v>
      </c>
      <c r="C87" t="s">
        <v>5</v>
      </c>
      <c r="D87">
        <v>2500</v>
      </c>
      <c r="E87">
        <v>3.7030650125222002</v>
      </c>
      <c r="F87">
        <v>3.5</v>
      </c>
      <c r="G87">
        <v>0.20306501252220699</v>
      </c>
      <c r="H87">
        <v>1.4812260050088799</v>
      </c>
      <c r="I87">
        <v>0.92576625313055105</v>
      </c>
      <c r="J87">
        <v>14.257662531305501</v>
      </c>
      <c r="K87" t="s">
        <v>286</v>
      </c>
      <c r="L87">
        <f>IFERROR(VLOOKUP($A87,Actual!$A:$D,4,FALSE),IFERROR(VLOOKUP($A87,FC!$A:$AC,29,FALSE),"Not Found"))</f>
        <v>1.5</v>
      </c>
      <c r="M87" t="str">
        <f>IFERROR(VLOOKUP($A87,Actual!$A:$D,3,FALSE),"0")</f>
        <v>0</v>
      </c>
      <c r="N87">
        <f>VLOOKUP(A87,NHT!B:F,5,FALSE)</f>
        <v>8.2333333333333005</v>
      </c>
    </row>
    <row r="88" spans="1:14" x14ac:dyDescent="0.2">
      <c r="A88" t="s">
        <v>178</v>
      </c>
      <c r="B88" t="s">
        <v>150</v>
      </c>
      <c r="C88" t="s">
        <v>5</v>
      </c>
      <c r="D88">
        <v>2500</v>
      </c>
      <c r="E88">
        <v>3.45781363319302</v>
      </c>
      <c r="F88">
        <v>2.88</v>
      </c>
      <c r="G88">
        <v>0.57781363319302703</v>
      </c>
      <c r="H88">
        <v>1.3831254532772099</v>
      </c>
      <c r="I88">
        <v>0.86445340829825601</v>
      </c>
      <c r="J88">
        <v>13.644534082982499</v>
      </c>
      <c r="K88" t="s">
        <v>286</v>
      </c>
      <c r="L88">
        <f>IFERROR(VLOOKUP($A88,Actual!$A:$D,4,FALSE),IFERROR(VLOOKUP($A88,FC!$A:$AC,29,FALSE),"Not Found"))</f>
        <v>1.5</v>
      </c>
      <c r="M88" t="str">
        <f>IFERROR(VLOOKUP($A88,Actual!$A:$D,3,FALSE),"0")</f>
        <v>0</v>
      </c>
      <c r="N88">
        <f>VLOOKUP(A88,NHT!B:F,5,FALSE)</f>
        <v>4.7</v>
      </c>
    </row>
    <row r="89" spans="1:14" x14ac:dyDescent="0.2">
      <c r="A89" t="s">
        <v>43</v>
      </c>
      <c r="B89" t="s">
        <v>157</v>
      </c>
      <c r="C89" t="s">
        <v>5</v>
      </c>
      <c r="D89">
        <v>5600</v>
      </c>
      <c r="E89">
        <v>10.7368649085127</v>
      </c>
      <c r="F89">
        <v>9.5500000000000007</v>
      </c>
      <c r="G89">
        <v>1.18686490851277</v>
      </c>
      <c r="H89">
        <v>1.91729730509156</v>
      </c>
      <c r="I89">
        <v>2.6842162271281902</v>
      </c>
      <c r="J89">
        <v>31.8421622712819</v>
      </c>
      <c r="K89" t="s">
        <v>286</v>
      </c>
      <c r="L89">
        <f>IFERROR(VLOOKUP($A89,Actual!$A:$D,4,FALSE),IFERROR(VLOOKUP($A89,FC!$A:$AC,29,FALSE),"Not Found"))</f>
        <v>1.3</v>
      </c>
      <c r="M89">
        <f>IFERROR(VLOOKUP($A89,Actual!$A:$D,3,FALSE),"0")</f>
        <v>9.6000000000000002E-2</v>
      </c>
      <c r="N89">
        <f>VLOOKUP(A89,NHT!B:F,5,FALSE)</f>
        <v>11.916666666667</v>
      </c>
    </row>
    <row r="90" spans="1:14" x14ac:dyDescent="0.2">
      <c r="A90" t="s">
        <v>81</v>
      </c>
      <c r="B90" t="s">
        <v>160</v>
      </c>
      <c r="C90" t="s">
        <v>5</v>
      </c>
      <c r="D90">
        <v>4200</v>
      </c>
      <c r="E90">
        <v>9.5268180148206998</v>
      </c>
      <c r="F90">
        <v>8.6999999999999993</v>
      </c>
      <c r="G90">
        <v>0.82681801482070005</v>
      </c>
      <c r="H90">
        <v>2.2682900035287301</v>
      </c>
      <c r="I90">
        <v>2.3817045037051701</v>
      </c>
      <c r="J90">
        <v>28.817045037051699</v>
      </c>
      <c r="K90" t="s">
        <v>286</v>
      </c>
      <c r="L90">
        <f>IFERROR(VLOOKUP($A90,Actual!$A:$D,4,FALSE),IFERROR(VLOOKUP($A90,FC!$A:$AC,29,FALSE),"Not Found"))</f>
        <v>1.3</v>
      </c>
      <c r="M90">
        <f>IFERROR(VLOOKUP($A90,Actual!$A:$D,3,FALSE),"0")</f>
        <v>2.86E-2</v>
      </c>
      <c r="N90">
        <f>VLOOKUP(A90,NHT!B:F,5,FALSE)</f>
        <v>18.966666666666999</v>
      </c>
    </row>
    <row r="91" spans="1:14" x14ac:dyDescent="0.2">
      <c r="A91" t="s">
        <v>63</v>
      </c>
      <c r="B91" t="s">
        <v>163</v>
      </c>
      <c r="C91" t="s">
        <v>10</v>
      </c>
      <c r="D91">
        <v>3400</v>
      </c>
      <c r="E91">
        <v>8.17145080782897</v>
      </c>
      <c r="F91">
        <v>6.87</v>
      </c>
      <c r="G91">
        <v>1.3014508078289699</v>
      </c>
      <c r="H91">
        <v>2.4033678846555802</v>
      </c>
      <c r="I91">
        <v>2.0428627019572398</v>
      </c>
      <c r="J91">
        <v>25.428627019572399</v>
      </c>
      <c r="K91" t="s">
        <v>286</v>
      </c>
      <c r="L91">
        <f>IFERROR(VLOOKUP($A91,Actual!$A:$D,4,FALSE),IFERROR(VLOOKUP($A91,FC!$A:$AC,29,FALSE),"Not Found"))</f>
        <v>1.3</v>
      </c>
      <c r="M91">
        <f>IFERROR(VLOOKUP($A91,Actual!$A:$D,3,FALSE),"0")</f>
        <v>6.2300000000000001E-2</v>
      </c>
      <c r="N91">
        <f>VLOOKUP(A91,NHT!B:F,5,FALSE)</f>
        <v>10.966666666667001</v>
      </c>
    </row>
    <row r="92" spans="1:14" x14ac:dyDescent="0.2">
      <c r="A92" t="s">
        <v>72</v>
      </c>
      <c r="B92" t="s">
        <v>163</v>
      </c>
      <c r="C92" t="s">
        <v>10</v>
      </c>
      <c r="D92">
        <v>3300</v>
      </c>
      <c r="E92">
        <v>7.3406310335023797</v>
      </c>
      <c r="F92">
        <v>6.8</v>
      </c>
      <c r="G92">
        <v>0.54063103350238495</v>
      </c>
      <c r="H92">
        <v>2.2244336465158701</v>
      </c>
      <c r="I92">
        <v>1.83515775837559</v>
      </c>
      <c r="J92">
        <v>23.351577583755901</v>
      </c>
      <c r="K92" t="s">
        <v>286</v>
      </c>
      <c r="L92">
        <f>IFERROR(VLOOKUP($A92,Actual!$A:$D,4,FALSE),IFERROR(VLOOKUP($A92,FC!$A:$AC,29,FALSE),"Not Found"))</f>
        <v>1.3</v>
      </c>
      <c r="M92">
        <f>IFERROR(VLOOKUP($A92,Actual!$A:$D,3,FALSE),"0")</f>
        <v>4.5499999999999999E-2</v>
      </c>
      <c r="N92">
        <f>VLOOKUP(A92,NHT!B:F,5,FALSE)</f>
        <v>11.15</v>
      </c>
    </row>
    <row r="93" spans="1:14" x14ac:dyDescent="0.2">
      <c r="A93" t="s">
        <v>103</v>
      </c>
      <c r="B93" t="s">
        <v>153</v>
      </c>
      <c r="C93" t="s">
        <v>10</v>
      </c>
      <c r="D93">
        <v>2500</v>
      </c>
      <c r="E93">
        <v>6.8382595292234196</v>
      </c>
      <c r="F93">
        <v>5.53</v>
      </c>
      <c r="G93">
        <v>1.30825952922342</v>
      </c>
      <c r="H93">
        <v>2.7353038116893602</v>
      </c>
      <c r="I93">
        <v>1.70956488230585</v>
      </c>
      <c r="J93">
        <v>22.0956488230585</v>
      </c>
      <c r="K93" t="s">
        <v>286</v>
      </c>
      <c r="L93">
        <f>IFERROR(VLOOKUP($A93,Actual!$A:$D,4,FALSE),IFERROR(VLOOKUP($A93,FC!$A:$AC,29,FALSE),"Not Found"))</f>
        <v>1.3</v>
      </c>
      <c r="M93">
        <f>IFERROR(VLOOKUP($A93,Actual!$A:$D,3,FALSE),"0")</f>
        <v>5.1000000000000004E-3</v>
      </c>
      <c r="N93">
        <f>VLOOKUP(A93,NHT!B:F,5,FALSE)</f>
        <v>7.5</v>
      </c>
    </row>
    <row r="94" spans="1:14" x14ac:dyDescent="0.2">
      <c r="A94" t="s">
        <v>97</v>
      </c>
      <c r="B94" t="s">
        <v>163</v>
      </c>
      <c r="C94" t="s">
        <v>10</v>
      </c>
      <c r="D94">
        <v>2700</v>
      </c>
      <c r="E94">
        <v>6.4055480129198399</v>
      </c>
      <c r="F94">
        <v>5.66</v>
      </c>
      <c r="G94">
        <v>0.74554801291984796</v>
      </c>
      <c r="H94">
        <v>2.3724251899703099</v>
      </c>
      <c r="I94">
        <v>1.60138700322996</v>
      </c>
      <c r="J94">
        <v>21.0138700322996</v>
      </c>
      <c r="K94" t="s">
        <v>286</v>
      </c>
      <c r="L94">
        <f>IFERROR(VLOOKUP($A94,Actual!$A:$D,4,FALSE),IFERROR(VLOOKUP($A94,FC!$A:$AC,29,FALSE),"Not Found"))</f>
        <v>1.3</v>
      </c>
      <c r="M94">
        <f>IFERROR(VLOOKUP($A94,Actual!$A:$D,3,FALSE),"0")</f>
        <v>1.01E-2</v>
      </c>
      <c r="N94">
        <f>VLOOKUP(A94,NHT!B:F,5,FALSE)</f>
        <v>8.8666666666666991</v>
      </c>
    </row>
    <row r="95" spans="1:14" x14ac:dyDescent="0.2">
      <c r="A95" t="s">
        <v>55</v>
      </c>
      <c r="B95" t="s">
        <v>163</v>
      </c>
      <c r="C95" t="s">
        <v>12</v>
      </c>
      <c r="D95">
        <v>3000</v>
      </c>
      <c r="E95">
        <v>5.7017356042822804</v>
      </c>
      <c r="F95">
        <v>6.24</v>
      </c>
      <c r="G95">
        <v>-0.53826439571771501</v>
      </c>
      <c r="H95">
        <v>1.90057853476076</v>
      </c>
      <c r="I95">
        <v>1.4254339010705701</v>
      </c>
      <c r="J95">
        <v>19.254339010705699</v>
      </c>
      <c r="K95" t="s">
        <v>286</v>
      </c>
      <c r="L95">
        <f>IFERROR(VLOOKUP($A95,Actual!$A:$D,4,FALSE),IFERROR(VLOOKUP($A95,FC!$A:$AC,29,FALSE),"Not Found"))</f>
        <v>1.3</v>
      </c>
      <c r="M95">
        <f>IFERROR(VLOOKUP($A95,Actual!$A:$D,3,FALSE),"0")</f>
        <v>7.5800000000000006E-2</v>
      </c>
      <c r="N95">
        <f>VLOOKUP(A95,NHT!B:F,5,FALSE)</f>
        <v>17.683333333333</v>
      </c>
    </row>
    <row r="96" spans="1:14" x14ac:dyDescent="0.2">
      <c r="A96" t="s">
        <v>98</v>
      </c>
      <c r="B96" t="s">
        <v>155</v>
      </c>
      <c r="C96" t="s">
        <v>12</v>
      </c>
      <c r="D96">
        <v>2500</v>
      </c>
      <c r="E96">
        <v>5.1449810014109501</v>
      </c>
      <c r="F96">
        <v>4.03</v>
      </c>
      <c r="G96">
        <v>1.11498100141095</v>
      </c>
      <c r="H96">
        <v>2.0579924005643799</v>
      </c>
      <c r="I96">
        <v>1.28624525035273</v>
      </c>
      <c r="J96">
        <v>17.862452503527301</v>
      </c>
      <c r="K96" t="s">
        <v>286</v>
      </c>
      <c r="L96">
        <f>IFERROR(VLOOKUP($A96,Actual!$A:$D,4,FALSE),IFERROR(VLOOKUP($A96,FC!$A:$AC,29,FALSE),"Not Found"))</f>
        <v>1.3</v>
      </c>
      <c r="M96">
        <f>IFERROR(VLOOKUP($A96,Actual!$A:$D,3,FALSE),"0")</f>
        <v>8.3999999999999995E-3</v>
      </c>
      <c r="N96">
        <f>VLOOKUP(A96,NHT!B:F,5,FALSE)</f>
        <v>14.75</v>
      </c>
    </row>
    <row r="97" spans="1:14" x14ac:dyDescent="0.2">
      <c r="A97" t="s">
        <v>167</v>
      </c>
      <c r="B97" t="s">
        <v>157</v>
      </c>
      <c r="C97" t="s">
        <v>5</v>
      </c>
      <c r="D97">
        <v>2500</v>
      </c>
      <c r="E97">
        <v>4.5801806623263897</v>
      </c>
      <c r="F97">
        <v>3.92</v>
      </c>
      <c r="G97">
        <v>0.66018066232639505</v>
      </c>
      <c r="H97">
        <v>1.8320722649305501</v>
      </c>
      <c r="I97">
        <v>1.1450451655815901</v>
      </c>
      <c r="J97">
        <v>16.4504516558159</v>
      </c>
      <c r="K97" t="s">
        <v>286</v>
      </c>
      <c r="L97">
        <f>IFERROR(VLOOKUP($A97,Actual!$A:$D,4,FALSE),IFERROR(VLOOKUP($A97,FC!$A:$AC,29,FALSE),"Not Found"))</f>
        <v>1.3</v>
      </c>
      <c r="M97" t="str">
        <f>IFERROR(VLOOKUP($A97,Actual!$A:$D,3,FALSE),"0")</f>
        <v>0</v>
      </c>
      <c r="N97">
        <f>VLOOKUP(A97,NHT!B:F,5,FALSE)</f>
        <v>9.5333333333332995</v>
      </c>
    </row>
    <row r="98" spans="1:14" x14ac:dyDescent="0.2">
      <c r="A98" t="s">
        <v>120</v>
      </c>
      <c r="B98" t="s">
        <v>163</v>
      </c>
      <c r="C98" t="s">
        <v>10</v>
      </c>
      <c r="D98">
        <v>2500</v>
      </c>
      <c r="E98">
        <v>3.7639222632943898</v>
      </c>
      <c r="F98">
        <v>2.8</v>
      </c>
      <c r="G98">
        <v>0.96392226329439801</v>
      </c>
      <c r="H98">
        <v>1.5055689053177499</v>
      </c>
      <c r="I98">
        <v>0.94098056582359901</v>
      </c>
      <c r="J98">
        <v>14.4098056582359</v>
      </c>
      <c r="K98" t="s">
        <v>286</v>
      </c>
      <c r="L98">
        <f>IFERROR(VLOOKUP($A98,Actual!$A:$D,4,FALSE),IFERROR(VLOOKUP($A98,FC!$A:$AC,29,FALSE),"Not Found"))</f>
        <v>1.3</v>
      </c>
      <c r="M98">
        <f>IFERROR(VLOOKUP($A98,Actual!$A:$D,3,FALSE),"0")</f>
        <v>1.6999999999999999E-3</v>
      </c>
      <c r="N98">
        <f>VLOOKUP(A98,NHT!B:F,5,FALSE)</f>
        <v>9.9166666666666998</v>
      </c>
    </row>
    <row r="99" spans="1:14" x14ac:dyDescent="0.2">
      <c r="A99" t="s">
        <v>9</v>
      </c>
      <c r="B99" t="s">
        <v>150</v>
      </c>
      <c r="C99" t="s">
        <v>5</v>
      </c>
      <c r="D99">
        <v>7000</v>
      </c>
      <c r="E99">
        <v>15.4610555394512</v>
      </c>
      <c r="F99">
        <v>12.58</v>
      </c>
      <c r="G99">
        <v>2.88105553945128</v>
      </c>
      <c r="H99">
        <v>2.2087222199216101</v>
      </c>
      <c r="I99">
        <v>3.86526388486282</v>
      </c>
      <c r="J99">
        <v>43.6526388486282</v>
      </c>
      <c r="K99" t="s">
        <v>286</v>
      </c>
      <c r="L99">
        <f>IFERROR(VLOOKUP($A99,Actual!$A:$D,4,FALSE),IFERROR(VLOOKUP($A99,FC!$A:$AC,29,FALSE),"Not Found"))</f>
        <v>0</v>
      </c>
      <c r="M99">
        <f>IFERROR(VLOOKUP($A99,Actual!$A:$D,3,FALSE),"0")</f>
        <v>0.28110000000000002</v>
      </c>
      <c r="N99">
        <f>VLOOKUP(A99,NHT!B:F,5,FALSE)</f>
        <v>20.633333333332999</v>
      </c>
    </row>
    <row r="100" spans="1:14" x14ac:dyDescent="0.2">
      <c r="A100" t="s">
        <v>33</v>
      </c>
      <c r="B100" t="s">
        <v>150</v>
      </c>
      <c r="C100" t="s">
        <v>10</v>
      </c>
      <c r="D100">
        <v>5400</v>
      </c>
      <c r="E100">
        <v>11.854643332388701</v>
      </c>
      <c r="F100">
        <v>9.57</v>
      </c>
      <c r="G100">
        <v>2.2846433323887099</v>
      </c>
      <c r="H100">
        <v>2.1953043208127201</v>
      </c>
      <c r="I100">
        <v>2.9636608330971699</v>
      </c>
      <c r="J100">
        <v>34.636608330971796</v>
      </c>
      <c r="K100" t="s">
        <v>286</v>
      </c>
      <c r="L100">
        <f>IFERROR(VLOOKUP($A100,Actual!$A:$D,4,FALSE),IFERROR(VLOOKUP($A100,FC!$A:$AC,29,FALSE),"Not Found"))</f>
        <v>0</v>
      </c>
      <c r="M100">
        <f>IFERROR(VLOOKUP($A100,Actual!$A:$D,3,FALSE),"0")</f>
        <v>0.12959999999999999</v>
      </c>
      <c r="N100">
        <f>VLOOKUP(A100,NHT!B:F,5,FALSE)</f>
        <v>15.45</v>
      </c>
    </row>
    <row r="101" spans="1:14" x14ac:dyDescent="0.2">
      <c r="A101" t="s">
        <v>73</v>
      </c>
      <c r="B101" t="s">
        <v>153</v>
      </c>
      <c r="C101" t="s">
        <v>10</v>
      </c>
      <c r="D101">
        <v>3200</v>
      </c>
      <c r="E101">
        <v>9.23376755656383</v>
      </c>
      <c r="F101">
        <v>8.0299999999999994</v>
      </c>
      <c r="G101">
        <v>1.2037675565638299</v>
      </c>
      <c r="H101">
        <v>2.88555236142619</v>
      </c>
      <c r="I101">
        <v>2.3084418891409499</v>
      </c>
      <c r="J101">
        <v>28.084418891409499</v>
      </c>
      <c r="K101" t="s">
        <v>286</v>
      </c>
      <c r="L101">
        <f>IFERROR(VLOOKUP($A101,Actual!$A:$D,4,FALSE),IFERROR(VLOOKUP($A101,FC!$A:$AC,29,FALSE),"Not Found"))</f>
        <v>0</v>
      </c>
      <c r="M101">
        <f>IFERROR(VLOOKUP($A101,Actual!$A:$D,3,FALSE),"0")</f>
        <v>4.5499999999999999E-2</v>
      </c>
      <c r="N101">
        <f>VLOOKUP(A101,NHT!B:F,5,FALSE)</f>
        <v>7.6833333333332998</v>
      </c>
    </row>
    <row r="102" spans="1:14" x14ac:dyDescent="0.2">
      <c r="A102" t="s">
        <v>74</v>
      </c>
      <c r="B102" t="s">
        <v>163</v>
      </c>
      <c r="C102" t="s">
        <v>12</v>
      </c>
      <c r="D102">
        <v>3200</v>
      </c>
      <c r="E102">
        <v>7.0182215028288804</v>
      </c>
      <c r="F102">
        <v>6.75</v>
      </c>
      <c r="G102">
        <v>0.26822150282888102</v>
      </c>
      <c r="H102">
        <v>2.1931942196340199</v>
      </c>
      <c r="I102">
        <v>1.7545553757072201</v>
      </c>
      <c r="J102">
        <v>22.545553757072199</v>
      </c>
      <c r="K102" t="s">
        <v>286</v>
      </c>
      <c r="L102">
        <f>IFERROR(VLOOKUP($A102,Actual!$A:$D,4,FALSE),IFERROR(VLOOKUP($A102,FC!$A:$AC,29,FALSE),"Not Found"))</f>
        <v>0</v>
      </c>
      <c r="M102">
        <f>IFERROR(VLOOKUP($A102,Actual!$A:$D,3,FALSE),"0")</f>
        <v>4.3799999999999999E-2</v>
      </c>
      <c r="N102">
        <f>VLOOKUP(A102,NHT!B:F,5,FALSE)</f>
        <v>1.0166666666666999</v>
      </c>
    </row>
    <row r="103" spans="1:14" x14ac:dyDescent="0.2">
      <c r="A103" t="s">
        <v>86</v>
      </c>
      <c r="B103" t="s">
        <v>150</v>
      </c>
      <c r="C103" t="s">
        <v>12</v>
      </c>
      <c r="D103">
        <v>2600</v>
      </c>
      <c r="E103">
        <v>6.3298709682657597</v>
      </c>
      <c r="F103">
        <v>4.5199999999999996</v>
      </c>
      <c r="G103">
        <v>1.8098709682657601</v>
      </c>
      <c r="H103">
        <v>2.4345657570252901</v>
      </c>
      <c r="I103">
        <v>1.5824677420664399</v>
      </c>
      <c r="J103">
        <v>20.824677420664401</v>
      </c>
      <c r="K103" t="s">
        <v>286</v>
      </c>
      <c r="L103">
        <f>IFERROR(VLOOKUP($A103,Actual!$A:$D,4,FALSE),IFERROR(VLOOKUP($A103,FC!$A:$AC,29,FALSE),"Not Found"))</f>
        <v>0</v>
      </c>
      <c r="M103">
        <f>IFERROR(VLOOKUP($A103,Actual!$A:$D,3,FALSE),"0")</f>
        <v>2.0199999999999999E-2</v>
      </c>
      <c r="N103">
        <f>VLOOKUP(A103,NHT!B:F,5,FALSE)</f>
        <v>14.733333333333</v>
      </c>
    </row>
    <row r="104" spans="1:14" x14ac:dyDescent="0.2">
      <c r="A104" t="s">
        <v>88</v>
      </c>
      <c r="B104" t="s">
        <v>157</v>
      </c>
      <c r="C104" t="s">
        <v>12</v>
      </c>
      <c r="D104">
        <v>2700</v>
      </c>
      <c r="E104">
        <v>5.5318637676577698</v>
      </c>
      <c r="F104">
        <v>4.4000000000000004</v>
      </c>
      <c r="G104">
        <v>1.1318637676577701</v>
      </c>
      <c r="H104">
        <v>2.04883843246584</v>
      </c>
      <c r="I104">
        <v>1.38296594191444</v>
      </c>
      <c r="J104">
        <v>18.829659419144399</v>
      </c>
      <c r="K104" t="s">
        <v>286</v>
      </c>
      <c r="L104">
        <f>IFERROR(VLOOKUP($A104,Actual!$A:$D,4,FALSE),IFERROR(VLOOKUP($A104,FC!$A:$AC,29,FALSE),"Not Found"))</f>
        <v>0</v>
      </c>
      <c r="M104">
        <f>IFERROR(VLOOKUP($A104,Actual!$A:$D,3,FALSE),"0")</f>
        <v>1.6799999999999999E-2</v>
      </c>
      <c r="N104">
        <f>VLOOKUP(A104,NHT!B:F,5,FALSE)</f>
        <v>12.433333333333</v>
      </c>
    </row>
    <row r="105" spans="1:14" x14ac:dyDescent="0.2">
      <c r="A105" t="s">
        <v>106</v>
      </c>
      <c r="B105" t="s">
        <v>155</v>
      </c>
      <c r="C105" t="s">
        <v>5</v>
      </c>
      <c r="D105">
        <v>2500</v>
      </c>
      <c r="E105">
        <v>4.34781041639945</v>
      </c>
      <c r="F105">
        <v>4.08</v>
      </c>
      <c r="G105">
        <v>0.26781041639945702</v>
      </c>
      <c r="H105">
        <v>1.7391241665597801</v>
      </c>
      <c r="I105">
        <v>1.0869526040998601</v>
      </c>
      <c r="J105">
        <v>15.869526040998601</v>
      </c>
      <c r="K105" t="s">
        <v>286</v>
      </c>
      <c r="L105">
        <f>IFERROR(VLOOKUP($A105,Actual!$A:$D,4,FALSE),IFERROR(VLOOKUP($A105,FC!$A:$AC,29,FALSE),"Not Found"))</f>
        <v>0</v>
      </c>
      <c r="M105">
        <f>IFERROR(VLOOKUP($A105,Actual!$A:$D,3,FALSE),"0")</f>
        <v>5.1000000000000004E-3</v>
      </c>
      <c r="N105">
        <f>VLOOKUP(A105,NHT!B:F,5,FALSE)</f>
        <v>10.933333333333</v>
      </c>
    </row>
    <row r="106" spans="1:14" x14ac:dyDescent="0.2">
      <c r="A106" t="s">
        <v>168</v>
      </c>
      <c r="B106" t="s">
        <v>157</v>
      </c>
      <c r="C106" t="s">
        <v>10</v>
      </c>
      <c r="D106">
        <v>2500</v>
      </c>
      <c r="E106">
        <v>3.2218078313557599</v>
      </c>
      <c r="F106">
        <v>2.74</v>
      </c>
      <c r="G106">
        <v>0.48180783135576299</v>
      </c>
      <c r="H106">
        <v>1.2887231325423001</v>
      </c>
      <c r="I106">
        <v>0.80545195783893997</v>
      </c>
      <c r="J106">
        <v>13.054519578389399</v>
      </c>
      <c r="K106" t="s">
        <v>286</v>
      </c>
      <c r="L106">
        <f>IFERROR(VLOOKUP($A106,Actual!$A:$D,4,FALSE),IFERROR(VLOOKUP($A106,FC!$A:$AC,29,FALSE),"Not Found"))</f>
        <v>0</v>
      </c>
      <c r="M106" t="str">
        <f>IFERROR(VLOOKUP($A106,Actual!$A:$D,3,FALSE),"0")</f>
        <v>0</v>
      </c>
      <c r="N106">
        <f>VLOOKUP(A106,NHT!B:F,5,FALSE)</f>
        <v>12.983333333333</v>
      </c>
    </row>
    <row r="107" spans="1:14" x14ac:dyDescent="0.2">
      <c r="A107" t="s">
        <v>115</v>
      </c>
      <c r="B107" t="s">
        <v>157</v>
      </c>
      <c r="C107" t="s">
        <v>5</v>
      </c>
      <c r="D107">
        <v>2500</v>
      </c>
      <c r="E107">
        <v>2.5152988181693701</v>
      </c>
      <c r="F107">
        <v>1.7</v>
      </c>
      <c r="G107">
        <v>0.815298818169371</v>
      </c>
      <c r="H107">
        <v>1.0061195272677399</v>
      </c>
      <c r="I107">
        <v>0.62882470454234196</v>
      </c>
      <c r="J107">
        <v>11.2882470454234</v>
      </c>
      <c r="K107" t="s">
        <v>286</v>
      </c>
      <c r="L107">
        <f>IFERROR(VLOOKUP($A107,Actual!$A:$D,4,FALSE),IFERROR(VLOOKUP($A107,FC!$A:$AC,29,FALSE),"Not Found"))</f>
        <v>0</v>
      </c>
      <c r="M107">
        <f>IFERROR(VLOOKUP($A107,Actual!$A:$D,3,FALSE),"0")</f>
        <v>1.6999999999999999E-3</v>
      </c>
      <c r="N107">
        <f>VLOOKUP(A107,NHT!B:F,5,FALSE)</f>
        <v>9.0500000000000007</v>
      </c>
    </row>
    <row r="108" spans="1:14" x14ac:dyDescent="0.2">
      <c r="A108" t="s">
        <v>116</v>
      </c>
      <c r="B108" t="s">
        <v>150</v>
      </c>
      <c r="C108" t="s">
        <v>10</v>
      </c>
      <c r="D108">
        <v>2500</v>
      </c>
      <c r="E108">
        <v>2.45529903478876</v>
      </c>
      <c r="F108">
        <v>1.48</v>
      </c>
      <c r="G108">
        <v>0.97529903478876201</v>
      </c>
      <c r="H108">
        <v>0.98211961391550495</v>
      </c>
      <c r="I108">
        <v>0.61382475869719</v>
      </c>
      <c r="J108">
        <v>11.1382475869719</v>
      </c>
      <c r="K108" t="s">
        <v>286</v>
      </c>
      <c r="L108">
        <f>IFERROR(VLOOKUP($A108,Actual!$A:$D,4,FALSE),IFERROR(VLOOKUP($A108,FC!$A:$AC,29,FALSE),"Not Found"))</f>
        <v>0</v>
      </c>
      <c r="M108">
        <f>IFERROR(VLOOKUP($A108,Actual!$A:$D,3,FALSE),"0")</f>
        <v>1.6999999999999999E-3</v>
      </c>
      <c r="N108">
        <f>VLOOKUP(A108,NHT!B:F,5,FALSE)</f>
        <v>5.5</v>
      </c>
    </row>
  </sheetData>
  <autoFilter ref="A1:N108" xr:uid="{9E081E51-055E-4C4A-9082-737631C8542B}">
    <sortState xmlns:xlrd2="http://schemas.microsoft.com/office/spreadsheetml/2017/richdata2" ref="A2:N108">
      <sortCondition descending="1" ref="L1:L10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8023-71B0-0F4F-AA9E-9E3379B017B9}">
  <dimension ref="A1:AI115"/>
  <sheetViews>
    <sheetView workbookViewId="0">
      <selection activeCell="B4" sqref="B4"/>
    </sheetView>
  </sheetViews>
  <sheetFormatPr baseColWidth="10" defaultRowHeight="16" x14ac:dyDescent="0.2"/>
  <cols>
    <col min="1" max="1" width="4.1640625" bestFit="1" customWidth="1"/>
    <col min="2" max="2" width="17.83203125" bestFit="1" customWidth="1"/>
    <col min="3" max="3" width="5.5" bestFit="1" customWidth="1"/>
    <col min="4" max="4" width="7.6640625" bestFit="1" customWidth="1"/>
    <col min="5" max="5" width="3.5" bestFit="1" customWidth="1"/>
    <col min="6" max="6" width="12.1640625" bestFit="1" customWidth="1"/>
    <col min="7" max="7" width="5.83203125" bestFit="1" customWidth="1"/>
    <col min="8" max="8" width="11" bestFit="1" customWidth="1"/>
    <col min="9" max="9" width="10.6640625" bestFit="1" customWidth="1"/>
    <col min="10" max="10" width="13" bestFit="1" customWidth="1"/>
    <col min="11" max="11" width="10.5" bestFit="1" customWidth="1"/>
    <col min="12" max="12" width="6.1640625" bestFit="1" customWidth="1"/>
    <col min="13" max="13" width="5.6640625" bestFit="1" customWidth="1"/>
    <col min="14" max="14" width="6.1640625" bestFit="1" customWidth="1"/>
    <col min="15" max="15" width="5.1640625" bestFit="1" customWidth="1"/>
    <col min="16" max="16" width="4" bestFit="1" customWidth="1"/>
    <col min="17" max="17" width="3.6640625" bestFit="1" customWidth="1"/>
    <col min="18" max="18" width="5" bestFit="1" customWidth="1"/>
    <col min="19" max="19" width="6.6640625" bestFit="1" customWidth="1"/>
    <col min="20" max="20" width="12.83203125" bestFit="1" customWidth="1"/>
    <col min="21" max="21" width="16.33203125" bestFit="1" customWidth="1"/>
    <col min="22" max="22" width="4.1640625" bestFit="1" customWidth="1"/>
    <col min="23" max="23" width="13" bestFit="1" customWidth="1"/>
    <col min="24" max="25" width="5.83203125" bestFit="1" customWidth="1"/>
    <col min="26" max="26" width="10.6640625" bestFit="1" customWidth="1"/>
    <col min="27" max="27" width="14.33203125" bestFit="1" customWidth="1"/>
    <col min="28" max="29" width="9.83203125" bestFit="1" customWidth="1"/>
    <col min="30" max="30" width="4.5" bestFit="1" customWidth="1"/>
    <col min="31" max="31" width="9.5" bestFit="1" customWidth="1"/>
    <col min="32" max="32" width="12.5" bestFit="1" customWidth="1"/>
    <col min="33" max="33" width="12" bestFit="1" customWidth="1"/>
    <col min="34" max="34" width="11.6640625" bestFit="1" customWidth="1"/>
    <col min="35" max="35" width="9.83203125" bestFit="1" customWidth="1"/>
  </cols>
  <sheetData>
    <row r="1" spans="1:35" x14ac:dyDescent="0.2">
      <c r="B1" t="s">
        <v>0</v>
      </c>
      <c r="C1" t="s">
        <v>125</v>
      </c>
      <c r="D1" t="s">
        <v>238</v>
      </c>
      <c r="E1" t="s">
        <v>239</v>
      </c>
      <c r="F1" t="s">
        <v>147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248</v>
      </c>
      <c r="P1" t="s">
        <v>249</v>
      </c>
      <c r="Q1" t="s">
        <v>250</v>
      </c>
      <c r="R1" t="s">
        <v>251</v>
      </c>
      <c r="S1" t="s">
        <v>252</v>
      </c>
      <c r="T1" t="s">
        <v>253</v>
      </c>
      <c r="U1" t="s">
        <v>254</v>
      </c>
      <c r="V1" t="s">
        <v>255</v>
      </c>
      <c r="W1" t="s">
        <v>256</v>
      </c>
      <c r="X1" t="s">
        <v>257</v>
      </c>
      <c r="Y1" t="s">
        <v>258</v>
      </c>
      <c r="Z1" t="s">
        <v>259</v>
      </c>
      <c r="AA1" t="s">
        <v>260</v>
      </c>
      <c r="AB1" t="s">
        <v>261</v>
      </c>
      <c r="AC1" t="s">
        <v>262</v>
      </c>
      <c r="AD1" t="s">
        <v>263</v>
      </c>
      <c r="AE1" t="s">
        <v>264</v>
      </c>
      <c r="AF1" t="s">
        <v>265</v>
      </c>
      <c r="AG1" t="s">
        <v>266</v>
      </c>
      <c r="AH1" t="s">
        <v>267</v>
      </c>
      <c r="AI1" t="s">
        <v>268</v>
      </c>
    </row>
    <row r="2" spans="1:35" x14ac:dyDescent="0.2">
      <c r="A2">
        <v>104</v>
      </c>
      <c r="B2" t="s">
        <v>26</v>
      </c>
      <c r="C2" t="s">
        <v>153</v>
      </c>
      <c r="D2" t="s">
        <v>5</v>
      </c>
      <c r="E2">
        <v>1</v>
      </c>
      <c r="F2">
        <v>13.2</v>
      </c>
      <c r="G2">
        <v>0</v>
      </c>
      <c r="H2">
        <v>0</v>
      </c>
      <c r="I2">
        <v>0</v>
      </c>
      <c r="J2">
        <v>0</v>
      </c>
      <c r="K2">
        <v>0</v>
      </c>
      <c r="L2" t="s">
        <v>270</v>
      </c>
      <c r="M2">
        <v>2</v>
      </c>
      <c r="N2">
        <v>0</v>
      </c>
      <c r="O2">
        <v>0.48</v>
      </c>
      <c r="P2">
        <v>6</v>
      </c>
      <c r="Q2">
        <v>5</v>
      </c>
      <c r="R2">
        <v>3</v>
      </c>
      <c r="S2">
        <v>2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</v>
      </c>
      <c r="AE2">
        <v>1</v>
      </c>
      <c r="AF2">
        <v>0</v>
      </c>
      <c r="AG2">
        <v>10</v>
      </c>
      <c r="AH2">
        <v>4</v>
      </c>
      <c r="AI2">
        <v>71.430000000000007</v>
      </c>
    </row>
    <row r="3" spans="1:35" x14ac:dyDescent="0.2">
      <c r="A3">
        <v>22</v>
      </c>
      <c r="B3" t="s">
        <v>52</v>
      </c>
      <c r="C3" t="s">
        <v>155</v>
      </c>
      <c r="D3" t="s">
        <v>12</v>
      </c>
      <c r="E3">
        <v>1</v>
      </c>
      <c r="F3">
        <v>15.733333333333</v>
      </c>
      <c r="G3">
        <v>0</v>
      </c>
      <c r="H3">
        <v>1</v>
      </c>
      <c r="I3">
        <v>1</v>
      </c>
      <c r="J3">
        <v>0</v>
      </c>
      <c r="K3">
        <v>1</v>
      </c>
      <c r="L3">
        <v>50</v>
      </c>
      <c r="M3">
        <v>2</v>
      </c>
      <c r="N3">
        <v>0</v>
      </c>
      <c r="O3">
        <v>0.02</v>
      </c>
      <c r="P3">
        <v>2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 t="s">
        <v>270</v>
      </c>
    </row>
    <row r="4" spans="1:35" x14ac:dyDescent="0.2">
      <c r="A4">
        <v>84</v>
      </c>
      <c r="B4" t="s">
        <v>40</v>
      </c>
      <c r="C4" t="s">
        <v>157</v>
      </c>
      <c r="D4" t="s">
        <v>272</v>
      </c>
      <c r="E4">
        <v>1</v>
      </c>
      <c r="F4">
        <v>11.5</v>
      </c>
      <c r="G4">
        <v>0</v>
      </c>
      <c r="H4">
        <v>0</v>
      </c>
      <c r="I4">
        <v>0</v>
      </c>
      <c r="J4">
        <v>0</v>
      </c>
      <c r="K4">
        <v>0</v>
      </c>
      <c r="L4" t="s">
        <v>270</v>
      </c>
      <c r="M4">
        <v>0</v>
      </c>
      <c r="N4" t="s">
        <v>270</v>
      </c>
      <c r="O4">
        <v>0.04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2</v>
      </c>
      <c r="W4">
        <v>1</v>
      </c>
      <c r="X4">
        <v>1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270</v>
      </c>
    </row>
    <row r="5" spans="1:35" x14ac:dyDescent="0.2">
      <c r="A5">
        <v>5</v>
      </c>
      <c r="B5" t="s">
        <v>50</v>
      </c>
      <c r="C5" t="s">
        <v>155</v>
      </c>
      <c r="D5" t="s">
        <v>272</v>
      </c>
      <c r="E5">
        <v>1</v>
      </c>
      <c r="F5">
        <v>12.633333333333001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0</v>
      </c>
      <c r="O5">
        <v>0.21</v>
      </c>
      <c r="P5">
        <v>4</v>
      </c>
      <c r="Q5">
        <v>3</v>
      </c>
      <c r="R5">
        <v>3</v>
      </c>
      <c r="S5">
        <v>1</v>
      </c>
      <c r="T5">
        <v>0</v>
      </c>
      <c r="U5">
        <v>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2</v>
      </c>
      <c r="AF5">
        <v>2</v>
      </c>
      <c r="AG5">
        <v>1</v>
      </c>
      <c r="AH5">
        <v>0</v>
      </c>
      <c r="AI5">
        <v>100</v>
      </c>
    </row>
    <row r="6" spans="1:35" x14ac:dyDescent="0.2">
      <c r="A6">
        <v>26</v>
      </c>
      <c r="B6" t="s">
        <v>13</v>
      </c>
      <c r="C6" t="s">
        <v>155</v>
      </c>
      <c r="D6" t="s">
        <v>272</v>
      </c>
      <c r="E6">
        <v>1</v>
      </c>
      <c r="F6">
        <v>13.95</v>
      </c>
      <c r="G6">
        <v>0</v>
      </c>
      <c r="H6">
        <v>0</v>
      </c>
      <c r="I6">
        <v>0</v>
      </c>
      <c r="J6">
        <v>0</v>
      </c>
      <c r="K6">
        <v>0</v>
      </c>
      <c r="L6" t="s">
        <v>270</v>
      </c>
      <c r="M6">
        <v>0</v>
      </c>
      <c r="N6" t="s">
        <v>270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0</v>
      </c>
      <c r="AI6" t="s">
        <v>270</v>
      </c>
    </row>
    <row r="7" spans="1:35" x14ac:dyDescent="0.2">
      <c r="A7">
        <v>88</v>
      </c>
      <c r="B7" t="s">
        <v>79</v>
      </c>
      <c r="C7" t="s">
        <v>160</v>
      </c>
      <c r="D7" t="s">
        <v>12</v>
      </c>
      <c r="E7">
        <v>1</v>
      </c>
      <c r="F7">
        <v>19.583333333333002</v>
      </c>
      <c r="G7">
        <v>0</v>
      </c>
      <c r="H7">
        <v>1</v>
      </c>
      <c r="I7">
        <v>1</v>
      </c>
      <c r="J7">
        <v>0</v>
      </c>
      <c r="K7">
        <v>1</v>
      </c>
      <c r="L7">
        <v>100</v>
      </c>
      <c r="M7">
        <v>1</v>
      </c>
      <c r="N7">
        <v>0</v>
      </c>
      <c r="O7">
        <v>0.02</v>
      </c>
      <c r="P7">
        <v>3</v>
      </c>
      <c r="Q7">
        <v>2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2</v>
      </c>
      <c r="AE7">
        <v>2</v>
      </c>
      <c r="AF7">
        <v>0</v>
      </c>
      <c r="AG7">
        <v>0</v>
      </c>
      <c r="AH7">
        <v>0</v>
      </c>
      <c r="AI7" t="s">
        <v>270</v>
      </c>
    </row>
    <row r="8" spans="1:35" x14ac:dyDescent="0.2">
      <c r="A8">
        <v>28</v>
      </c>
      <c r="B8" t="s">
        <v>33</v>
      </c>
      <c r="C8" t="s">
        <v>150</v>
      </c>
      <c r="D8" t="s">
        <v>272</v>
      </c>
      <c r="E8">
        <v>1</v>
      </c>
      <c r="F8">
        <v>15.45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270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2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2</v>
      </c>
      <c r="AE8">
        <v>4</v>
      </c>
      <c r="AF8">
        <v>0</v>
      </c>
      <c r="AG8">
        <v>0</v>
      </c>
      <c r="AH8">
        <v>1</v>
      </c>
      <c r="AI8">
        <v>0</v>
      </c>
    </row>
    <row r="9" spans="1:35" x14ac:dyDescent="0.2">
      <c r="A9">
        <v>33</v>
      </c>
      <c r="B9" t="s">
        <v>45</v>
      </c>
      <c r="C9" t="s">
        <v>155</v>
      </c>
      <c r="D9" t="s">
        <v>5</v>
      </c>
      <c r="E9">
        <v>1</v>
      </c>
      <c r="F9">
        <v>13.183333333333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0.21</v>
      </c>
      <c r="P9">
        <v>3</v>
      </c>
      <c r="Q9">
        <v>3</v>
      </c>
      <c r="R9">
        <v>2</v>
      </c>
      <c r="S9">
        <v>2</v>
      </c>
      <c r="T9">
        <v>0</v>
      </c>
      <c r="U9">
        <v>0</v>
      </c>
      <c r="V9">
        <v>2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7</v>
      </c>
      <c r="AH9">
        <v>4</v>
      </c>
      <c r="AI9">
        <v>63.64</v>
      </c>
    </row>
    <row r="10" spans="1:35" x14ac:dyDescent="0.2">
      <c r="A10">
        <v>74</v>
      </c>
      <c r="B10" t="s">
        <v>63</v>
      </c>
      <c r="C10" t="s">
        <v>163</v>
      </c>
      <c r="D10" t="s">
        <v>269</v>
      </c>
      <c r="E10">
        <v>1</v>
      </c>
      <c r="F10">
        <v>10.966666666667001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270</v>
      </c>
      <c r="M10">
        <v>0</v>
      </c>
      <c r="N10" t="s">
        <v>270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 t="s">
        <v>270</v>
      </c>
    </row>
    <row r="11" spans="1:35" x14ac:dyDescent="0.2">
      <c r="A11">
        <v>18</v>
      </c>
      <c r="B11" t="s">
        <v>57</v>
      </c>
      <c r="C11" t="s">
        <v>153</v>
      </c>
      <c r="D11" t="s">
        <v>5</v>
      </c>
      <c r="E11">
        <v>1</v>
      </c>
      <c r="F11">
        <v>13.1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7.0000000000000007E-2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 t="s">
        <v>270</v>
      </c>
    </row>
    <row r="12" spans="1:35" x14ac:dyDescent="0.2">
      <c r="A12">
        <v>80</v>
      </c>
      <c r="B12" t="s">
        <v>62</v>
      </c>
      <c r="C12" t="s">
        <v>157</v>
      </c>
      <c r="D12" t="s">
        <v>12</v>
      </c>
      <c r="E12">
        <v>1</v>
      </c>
      <c r="F12">
        <v>19.916666666666998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270</v>
      </c>
      <c r="M12">
        <v>3</v>
      </c>
      <c r="N12">
        <v>0</v>
      </c>
      <c r="O12">
        <v>0.16</v>
      </c>
      <c r="P12">
        <v>5</v>
      </c>
      <c r="Q12">
        <v>4</v>
      </c>
      <c r="R12">
        <v>3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2</v>
      </c>
      <c r="AE12">
        <v>3</v>
      </c>
      <c r="AF12">
        <v>0</v>
      </c>
      <c r="AG12">
        <v>0</v>
      </c>
      <c r="AH12">
        <v>0</v>
      </c>
      <c r="AI12" t="s">
        <v>270</v>
      </c>
    </row>
    <row r="13" spans="1:35" x14ac:dyDescent="0.2">
      <c r="A13">
        <v>64</v>
      </c>
      <c r="B13" t="s">
        <v>32</v>
      </c>
      <c r="C13" t="s">
        <v>160</v>
      </c>
      <c r="D13" t="s">
        <v>272</v>
      </c>
      <c r="E13">
        <v>1</v>
      </c>
      <c r="F13">
        <v>11.45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270</v>
      </c>
      <c r="M13">
        <v>1</v>
      </c>
      <c r="N13">
        <v>0</v>
      </c>
      <c r="O13">
        <v>0.25</v>
      </c>
      <c r="P13">
        <v>4</v>
      </c>
      <c r="Q13">
        <v>3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2</v>
      </c>
      <c r="AD13">
        <v>1</v>
      </c>
      <c r="AE13">
        <v>1</v>
      </c>
      <c r="AF13">
        <v>0</v>
      </c>
      <c r="AG13">
        <v>2</v>
      </c>
      <c r="AH13">
        <v>0</v>
      </c>
      <c r="AI13">
        <v>100</v>
      </c>
    </row>
    <row r="14" spans="1:35" x14ac:dyDescent="0.2">
      <c r="A14">
        <v>95</v>
      </c>
      <c r="B14" t="s">
        <v>168</v>
      </c>
      <c r="C14" t="s">
        <v>157</v>
      </c>
      <c r="D14" t="s">
        <v>272</v>
      </c>
      <c r="E14">
        <v>1</v>
      </c>
      <c r="F14">
        <v>12.983333333333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270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</v>
      </c>
      <c r="AE14">
        <v>2</v>
      </c>
      <c r="AF14">
        <v>0</v>
      </c>
      <c r="AG14">
        <v>0</v>
      </c>
      <c r="AH14">
        <v>1</v>
      </c>
      <c r="AI14">
        <v>0</v>
      </c>
    </row>
    <row r="15" spans="1:35" x14ac:dyDescent="0.2">
      <c r="A15">
        <v>1</v>
      </c>
      <c r="B15" t="s">
        <v>37</v>
      </c>
      <c r="C15" t="s">
        <v>150</v>
      </c>
      <c r="D15" t="s">
        <v>12</v>
      </c>
      <c r="E15">
        <v>1</v>
      </c>
      <c r="F15">
        <v>18.45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0.02</v>
      </c>
      <c r="P15">
        <v>2</v>
      </c>
      <c r="Q15">
        <v>2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 t="s">
        <v>270</v>
      </c>
    </row>
    <row r="16" spans="1:35" x14ac:dyDescent="0.2">
      <c r="A16">
        <v>8</v>
      </c>
      <c r="B16" t="s">
        <v>8</v>
      </c>
      <c r="C16" t="s">
        <v>150</v>
      </c>
      <c r="D16" t="s">
        <v>5</v>
      </c>
      <c r="E16">
        <v>1</v>
      </c>
      <c r="F16">
        <v>18.283333333333001</v>
      </c>
      <c r="G16">
        <v>0</v>
      </c>
      <c r="H16">
        <v>1</v>
      </c>
      <c r="I16">
        <v>1</v>
      </c>
      <c r="J16">
        <v>0</v>
      </c>
      <c r="K16">
        <v>1</v>
      </c>
      <c r="L16" t="s">
        <v>271</v>
      </c>
      <c r="M16">
        <v>0</v>
      </c>
      <c r="N16" t="s">
        <v>270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6</v>
      </c>
      <c r="AH16">
        <v>5</v>
      </c>
      <c r="AI16">
        <v>54.55</v>
      </c>
    </row>
    <row r="17" spans="1:35" x14ac:dyDescent="0.2">
      <c r="A17">
        <v>59</v>
      </c>
      <c r="B17" t="s">
        <v>11</v>
      </c>
      <c r="C17" t="s">
        <v>150</v>
      </c>
      <c r="D17" t="s">
        <v>12</v>
      </c>
      <c r="E17">
        <v>1</v>
      </c>
      <c r="F17">
        <v>22.366666666667001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270</v>
      </c>
      <c r="M17">
        <v>4</v>
      </c>
      <c r="N17">
        <v>0</v>
      </c>
      <c r="O17">
        <v>0.19</v>
      </c>
      <c r="P17">
        <v>8</v>
      </c>
      <c r="Q17">
        <v>6</v>
      </c>
      <c r="R17">
        <v>2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 t="s">
        <v>270</v>
      </c>
    </row>
    <row r="18" spans="1:35" x14ac:dyDescent="0.2">
      <c r="A18">
        <v>73</v>
      </c>
      <c r="B18" t="s">
        <v>24</v>
      </c>
      <c r="C18" t="s">
        <v>163</v>
      </c>
      <c r="D18" t="s">
        <v>12</v>
      </c>
      <c r="E18">
        <v>1</v>
      </c>
      <c r="F18">
        <v>17.716666666666999</v>
      </c>
      <c r="G18">
        <v>0</v>
      </c>
      <c r="H18">
        <v>1</v>
      </c>
      <c r="I18">
        <v>1</v>
      </c>
      <c r="J18">
        <v>0</v>
      </c>
      <c r="K18">
        <v>1</v>
      </c>
      <c r="L18">
        <v>100</v>
      </c>
      <c r="M18">
        <v>2</v>
      </c>
      <c r="N18">
        <v>0</v>
      </c>
      <c r="O18">
        <v>0.09</v>
      </c>
      <c r="P18">
        <v>2</v>
      </c>
      <c r="Q18">
        <v>2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1</v>
      </c>
      <c r="AG18">
        <v>0</v>
      </c>
      <c r="AH18">
        <v>0</v>
      </c>
      <c r="AI18" t="s">
        <v>270</v>
      </c>
    </row>
    <row r="19" spans="1:35" x14ac:dyDescent="0.2">
      <c r="A19">
        <v>51</v>
      </c>
      <c r="B19" t="s">
        <v>97</v>
      </c>
      <c r="C19" t="s">
        <v>163</v>
      </c>
      <c r="D19" t="s">
        <v>269</v>
      </c>
      <c r="E19">
        <v>1</v>
      </c>
      <c r="F19">
        <v>8.8666666666666991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270</v>
      </c>
      <c r="M19">
        <v>0</v>
      </c>
      <c r="N19" t="s">
        <v>270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0</v>
      </c>
      <c r="AF19">
        <v>1</v>
      </c>
      <c r="AG19">
        <v>0</v>
      </c>
      <c r="AH19">
        <v>0</v>
      </c>
      <c r="AI19" t="s">
        <v>270</v>
      </c>
    </row>
    <row r="20" spans="1:35" x14ac:dyDescent="0.2">
      <c r="A20">
        <v>24</v>
      </c>
      <c r="B20" t="s">
        <v>93</v>
      </c>
      <c r="C20" t="s">
        <v>155</v>
      </c>
      <c r="D20" t="s">
        <v>12</v>
      </c>
      <c r="E20">
        <v>1</v>
      </c>
      <c r="F20">
        <v>14.7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270</v>
      </c>
      <c r="M20">
        <v>2</v>
      </c>
      <c r="N20">
        <v>0</v>
      </c>
      <c r="O20">
        <v>0.05</v>
      </c>
      <c r="P20">
        <v>3</v>
      </c>
      <c r="Q20">
        <v>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0</v>
      </c>
      <c r="AD20">
        <v>1</v>
      </c>
      <c r="AE20">
        <v>5</v>
      </c>
      <c r="AF20">
        <v>1</v>
      </c>
      <c r="AG20">
        <v>0</v>
      </c>
      <c r="AH20">
        <v>0</v>
      </c>
      <c r="AI20" t="s">
        <v>270</v>
      </c>
    </row>
    <row r="21" spans="1:35" x14ac:dyDescent="0.2">
      <c r="A21">
        <v>4</v>
      </c>
      <c r="B21" t="s">
        <v>106</v>
      </c>
      <c r="C21" t="s">
        <v>155</v>
      </c>
      <c r="D21" t="s">
        <v>5</v>
      </c>
      <c r="E21">
        <v>1</v>
      </c>
      <c r="F21">
        <v>10.933333333333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270</v>
      </c>
      <c r="M21">
        <v>0</v>
      </c>
      <c r="N21" t="s">
        <v>270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1</v>
      </c>
      <c r="AF21">
        <v>0</v>
      </c>
      <c r="AG21">
        <v>4</v>
      </c>
      <c r="AH21">
        <v>5</v>
      </c>
      <c r="AI21">
        <v>44.44</v>
      </c>
    </row>
    <row r="22" spans="1:35" x14ac:dyDescent="0.2">
      <c r="A22">
        <v>7</v>
      </c>
      <c r="B22" t="s">
        <v>34</v>
      </c>
      <c r="C22" t="s">
        <v>153</v>
      </c>
      <c r="D22" t="s">
        <v>5</v>
      </c>
      <c r="E22">
        <v>1</v>
      </c>
      <c r="F22">
        <v>11.433333333333</v>
      </c>
      <c r="G22">
        <v>1</v>
      </c>
      <c r="H22">
        <v>1</v>
      </c>
      <c r="I22">
        <v>0</v>
      </c>
      <c r="J22">
        <v>1</v>
      </c>
      <c r="K22">
        <v>2</v>
      </c>
      <c r="L22">
        <v>100</v>
      </c>
      <c r="M22">
        <v>1</v>
      </c>
      <c r="N22">
        <v>100</v>
      </c>
      <c r="O22">
        <v>0.2</v>
      </c>
      <c r="P22">
        <v>2</v>
      </c>
      <c r="Q22">
        <v>2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</v>
      </c>
      <c r="AB22">
        <v>1</v>
      </c>
      <c r="AC22">
        <v>1</v>
      </c>
      <c r="AD22">
        <v>2</v>
      </c>
      <c r="AE22">
        <v>1</v>
      </c>
      <c r="AF22">
        <v>0</v>
      </c>
      <c r="AG22">
        <v>4</v>
      </c>
      <c r="AH22">
        <v>5</v>
      </c>
      <c r="AI22">
        <v>44.44</v>
      </c>
    </row>
    <row r="23" spans="1:35" x14ac:dyDescent="0.2">
      <c r="A23">
        <v>38</v>
      </c>
      <c r="B23" t="s">
        <v>19</v>
      </c>
      <c r="C23" t="s">
        <v>163</v>
      </c>
      <c r="D23" t="s">
        <v>5</v>
      </c>
      <c r="E23">
        <v>1</v>
      </c>
      <c r="F23">
        <v>13.85</v>
      </c>
      <c r="G23">
        <v>0</v>
      </c>
      <c r="H23">
        <v>1</v>
      </c>
      <c r="I23">
        <v>1</v>
      </c>
      <c r="J23">
        <v>0</v>
      </c>
      <c r="K23">
        <v>1</v>
      </c>
      <c r="L23">
        <v>33.33</v>
      </c>
      <c r="M23">
        <v>2</v>
      </c>
      <c r="N23">
        <v>0</v>
      </c>
      <c r="O23">
        <v>0.22</v>
      </c>
      <c r="P23">
        <v>4</v>
      </c>
      <c r="Q23">
        <v>3</v>
      </c>
      <c r="R23">
        <v>4</v>
      </c>
      <c r="S23">
        <v>0</v>
      </c>
      <c r="T23">
        <v>0</v>
      </c>
      <c r="U23">
        <v>0</v>
      </c>
      <c r="V23">
        <v>2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7</v>
      </c>
      <c r="AH23">
        <v>7</v>
      </c>
      <c r="AI23">
        <v>50</v>
      </c>
    </row>
    <row r="24" spans="1:35" x14ac:dyDescent="0.2">
      <c r="A24">
        <v>2</v>
      </c>
      <c r="B24" t="s">
        <v>67</v>
      </c>
      <c r="C24" t="s">
        <v>160</v>
      </c>
      <c r="D24" t="s">
        <v>269</v>
      </c>
      <c r="E24">
        <v>1</v>
      </c>
      <c r="F24">
        <v>13.666666666667</v>
      </c>
      <c r="G24">
        <v>1</v>
      </c>
      <c r="H24">
        <v>0</v>
      </c>
      <c r="I24">
        <v>0</v>
      </c>
      <c r="J24">
        <v>0</v>
      </c>
      <c r="K24">
        <v>1</v>
      </c>
      <c r="L24">
        <v>50</v>
      </c>
      <c r="M24">
        <v>3</v>
      </c>
      <c r="N24">
        <v>33.33</v>
      </c>
      <c r="O24">
        <v>0.44</v>
      </c>
      <c r="P24">
        <v>4</v>
      </c>
      <c r="Q24">
        <v>4</v>
      </c>
      <c r="R24">
        <v>3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4</v>
      </c>
      <c r="AH24">
        <v>3</v>
      </c>
      <c r="AI24">
        <v>57.14</v>
      </c>
    </row>
    <row r="25" spans="1:35" x14ac:dyDescent="0.2">
      <c r="A25">
        <v>94</v>
      </c>
      <c r="B25" t="s">
        <v>85</v>
      </c>
      <c r="C25" t="s">
        <v>153</v>
      </c>
      <c r="D25" t="s">
        <v>5</v>
      </c>
      <c r="E25">
        <v>1</v>
      </c>
      <c r="F25">
        <v>11.7</v>
      </c>
      <c r="G25">
        <v>0</v>
      </c>
      <c r="H25">
        <v>1</v>
      </c>
      <c r="I25">
        <v>1</v>
      </c>
      <c r="J25">
        <v>0</v>
      </c>
      <c r="K25">
        <v>1</v>
      </c>
      <c r="L25">
        <v>50</v>
      </c>
      <c r="M25">
        <v>1</v>
      </c>
      <c r="N25">
        <v>0</v>
      </c>
      <c r="O25">
        <v>0.04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2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 t="s">
        <v>270</v>
      </c>
    </row>
    <row r="26" spans="1:35" x14ac:dyDescent="0.2">
      <c r="A26">
        <v>23</v>
      </c>
      <c r="B26" t="s">
        <v>84</v>
      </c>
      <c r="C26" t="s">
        <v>153</v>
      </c>
      <c r="D26" t="s">
        <v>12</v>
      </c>
      <c r="E26">
        <v>1</v>
      </c>
      <c r="F26">
        <v>17.350000000000001</v>
      </c>
      <c r="G26">
        <v>0</v>
      </c>
      <c r="H26">
        <v>1</v>
      </c>
      <c r="I26">
        <v>1</v>
      </c>
      <c r="J26">
        <v>0</v>
      </c>
      <c r="K26">
        <v>1</v>
      </c>
      <c r="L26">
        <v>50</v>
      </c>
      <c r="M26">
        <v>2</v>
      </c>
      <c r="N26">
        <v>0</v>
      </c>
      <c r="O26">
        <v>7.0000000000000007E-2</v>
      </c>
      <c r="P26">
        <v>3</v>
      </c>
      <c r="Q26">
        <v>2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 t="s">
        <v>270</v>
      </c>
    </row>
    <row r="27" spans="1:35" x14ac:dyDescent="0.2">
      <c r="A27">
        <v>5</v>
      </c>
      <c r="B27" t="s">
        <v>14</v>
      </c>
      <c r="C27" t="s">
        <v>163</v>
      </c>
      <c r="D27" t="s">
        <v>15</v>
      </c>
      <c r="E27">
        <v>1</v>
      </c>
      <c r="F27">
        <v>45.116666666667001</v>
      </c>
    </row>
    <row r="28" spans="1:35" x14ac:dyDescent="0.2">
      <c r="A28">
        <v>6</v>
      </c>
      <c r="B28" t="s">
        <v>18</v>
      </c>
      <c r="C28" t="s">
        <v>155</v>
      </c>
      <c r="D28" t="s">
        <v>15</v>
      </c>
      <c r="E28">
        <v>1</v>
      </c>
      <c r="F28">
        <v>49.9</v>
      </c>
    </row>
    <row r="29" spans="1:35" x14ac:dyDescent="0.2">
      <c r="A29">
        <v>98</v>
      </c>
      <c r="B29" t="s">
        <v>80</v>
      </c>
      <c r="C29" t="s">
        <v>153</v>
      </c>
      <c r="D29" t="s">
        <v>12</v>
      </c>
      <c r="E29">
        <v>1</v>
      </c>
      <c r="F29">
        <v>14.75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270</v>
      </c>
      <c r="M29">
        <v>2</v>
      </c>
      <c r="N29">
        <v>0</v>
      </c>
      <c r="O29">
        <v>0.03</v>
      </c>
      <c r="P29">
        <v>3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270</v>
      </c>
    </row>
    <row r="30" spans="1:35" x14ac:dyDescent="0.2">
      <c r="A30">
        <v>102</v>
      </c>
      <c r="B30" t="s">
        <v>70</v>
      </c>
      <c r="C30" t="s">
        <v>163</v>
      </c>
      <c r="D30" t="s">
        <v>5</v>
      </c>
      <c r="E30">
        <v>1</v>
      </c>
      <c r="F30">
        <v>11.283333333332999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270</v>
      </c>
      <c r="M30">
        <v>0</v>
      </c>
      <c r="N30" t="s">
        <v>270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 t="s">
        <v>270</v>
      </c>
    </row>
    <row r="31" spans="1:35" x14ac:dyDescent="0.2">
      <c r="A31">
        <v>79</v>
      </c>
      <c r="B31" t="s">
        <v>73</v>
      </c>
      <c r="C31" t="s">
        <v>153</v>
      </c>
      <c r="D31" t="s">
        <v>272</v>
      </c>
      <c r="E31">
        <v>1</v>
      </c>
      <c r="F31">
        <v>7.6833333333332998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270</v>
      </c>
      <c r="M31">
        <v>0</v>
      </c>
      <c r="N31" t="s">
        <v>270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 t="s">
        <v>270</v>
      </c>
    </row>
    <row r="32" spans="1:35" x14ac:dyDescent="0.2">
      <c r="A32">
        <v>61</v>
      </c>
      <c r="B32" t="s">
        <v>53</v>
      </c>
      <c r="C32" t="s">
        <v>160</v>
      </c>
      <c r="D32" t="s">
        <v>269</v>
      </c>
      <c r="E32">
        <v>1</v>
      </c>
      <c r="F32">
        <v>13.516666666667</v>
      </c>
      <c r="G32">
        <v>0</v>
      </c>
      <c r="H32">
        <v>1</v>
      </c>
      <c r="I32">
        <v>1</v>
      </c>
      <c r="J32">
        <v>0</v>
      </c>
      <c r="K32">
        <v>1</v>
      </c>
      <c r="L32">
        <v>100</v>
      </c>
      <c r="M32">
        <v>0</v>
      </c>
      <c r="N32" t="s">
        <v>270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 t="s">
        <v>270</v>
      </c>
    </row>
    <row r="33" spans="1:35" x14ac:dyDescent="0.2">
      <c r="A33">
        <v>71</v>
      </c>
      <c r="B33" t="s">
        <v>31</v>
      </c>
      <c r="C33" t="s">
        <v>160</v>
      </c>
      <c r="D33" t="s">
        <v>5</v>
      </c>
      <c r="E33">
        <v>1</v>
      </c>
      <c r="F33">
        <v>11.95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270</v>
      </c>
      <c r="M33">
        <v>0</v>
      </c>
      <c r="N33" t="s">
        <v>270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2</v>
      </c>
      <c r="AH33">
        <v>5</v>
      </c>
      <c r="AI33">
        <v>28.57</v>
      </c>
    </row>
    <row r="34" spans="1:35" x14ac:dyDescent="0.2">
      <c r="A34">
        <v>68</v>
      </c>
      <c r="B34" t="s">
        <v>100</v>
      </c>
      <c r="C34" t="s">
        <v>153</v>
      </c>
      <c r="D34" t="s">
        <v>12</v>
      </c>
      <c r="E34">
        <v>1</v>
      </c>
      <c r="F34">
        <v>13.633333333333001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0</v>
      </c>
      <c r="O34">
        <v>0.02</v>
      </c>
      <c r="P34">
        <v>4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0</v>
      </c>
      <c r="AD34">
        <v>1</v>
      </c>
      <c r="AE34">
        <v>3</v>
      </c>
      <c r="AF34">
        <v>3</v>
      </c>
      <c r="AG34">
        <v>0</v>
      </c>
      <c r="AH34">
        <v>0</v>
      </c>
      <c r="AI34" t="s">
        <v>270</v>
      </c>
    </row>
    <row r="35" spans="1:35" x14ac:dyDescent="0.2">
      <c r="A35">
        <v>3</v>
      </c>
      <c r="B35" t="s">
        <v>30</v>
      </c>
      <c r="C35" t="s">
        <v>153</v>
      </c>
      <c r="D35" t="s">
        <v>15</v>
      </c>
      <c r="E35">
        <v>1</v>
      </c>
      <c r="F35">
        <v>45.116666666667001</v>
      </c>
    </row>
    <row r="36" spans="1:35" x14ac:dyDescent="0.2">
      <c r="A36">
        <v>90</v>
      </c>
      <c r="B36" t="s">
        <v>46</v>
      </c>
      <c r="C36" t="s">
        <v>155</v>
      </c>
      <c r="D36" t="s">
        <v>272</v>
      </c>
      <c r="E36">
        <v>1</v>
      </c>
      <c r="F36">
        <v>13.15</v>
      </c>
      <c r="G36">
        <v>1</v>
      </c>
      <c r="H36">
        <v>0</v>
      </c>
      <c r="I36">
        <v>0</v>
      </c>
      <c r="J36">
        <v>0</v>
      </c>
      <c r="K36">
        <v>1</v>
      </c>
      <c r="L36">
        <v>100</v>
      </c>
      <c r="M36">
        <v>3</v>
      </c>
      <c r="N36">
        <v>33.33</v>
      </c>
      <c r="O36">
        <v>0.16</v>
      </c>
      <c r="P36">
        <v>4</v>
      </c>
      <c r="Q36">
        <v>3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</v>
      </c>
      <c r="AE36">
        <v>1</v>
      </c>
      <c r="AF36">
        <v>0</v>
      </c>
      <c r="AG36">
        <v>0</v>
      </c>
      <c r="AH36">
        <v>0</v>
      </c>
      <c r="AI36" t="s">
        <v>270</v>
      </c>
    </row>
    <row r="37" spans="1:35" x14ac:dyDescent="0.2">
      <c r="A37">
        <v>9</v>
      </c>
      <c r="B37" t="s">
        <v>75</v>
      </c>
      <c r="C37" t="s">
        <v>153</v>
      </c>
      <c r="D37" t="s">
        <v>12</v>
      </c>
      <c r="E37">
        <v>1</v>
      </c>
      <c r="F37">
        <v>13.45</v>
      </c>
      <c r="G37">
        <v>1</v>
      </c>
      <c r="H37">
        <v>0</v>
      </c>
      <c r="I37">
        <v>0</v>
      </c>
      <c r="J37">
        <v>0</v>
      </c>
      <c r="K37">
        <v>1</v>
      </c>
      <c r="L37">
        <v>100</v>
      </c>
      <c r="M37">
        <v>2</v>
      </c>
      <c r="N37">
        <v>50</v>
      </c>
      <c r="O37">
        <v>0.03</v>
      </c>
      <c r="P37">
        <v>3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3</v>
      </c>
      <c r="AF37">
        <v>0</v>
      </c>
      <c r="AG37">
        <v>0</v>
      </c>
      <c r="AH37">
        <v>0</v>
      </c>
      <c r="AI37" t="s">
        <v>270</v>
      </c>
    </row>
    <row r="38" spans="1:35" x14ac:dyDescent="0.2">
      <c r="A38">
        <v>60</v>
      </c>
      <c r="B38" t="s">
        <v>94</v>
      </c>
      <c r="C38" t="s">
        <v>160</v>
      </c>
      <c r="D38" t="s">
        <v>272</v>
      </c>
      <c r="E38">
        <v>1</v>
      </c>
      <c r="F38">
        <v>8.9833333333333005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7.0000000000000007E-2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3</v>
      </c>
      <c r="AF38">
        <v>0</v>
      </c>
      <c r="AG38">
        <v>0</v>
      </c>
      <c r="AH38">
        <v>0</v>
      </c>
      <c r="AI38" t="s">
        <v>270</v>
      </c>
    </row>
    <row r="39" spans="1:35" x14ac:dyDescent="0.2">
      <c r="A39">
        <v>105</v>
      </c>
      <c r="B39" t="s">
        <v>82</v>
      </c>
      <c r="C39" t="s">
        <v>157</v>
      </c>
      <c r="D39" t="s">
        <v>269</v>
      </c>
      <c r="E39">
        <v>1</v>
      </c>
      <c r="F39">
        <v>15.466666666667001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270</v>
      </c>
      <c r="M39">
        <v>1</v>
      </c>
      <c r="N39">
        <v>0</v>
      </c>
      <c r="O39">
        <v>0.45</v>
      </c>
      <c r="P39">
        <v>3</v>
      </c>
      <c r="Q39">
        <v>2</v>
      </c>
      <c r="R39">
        <v>3</v>
      </c>
      <c r="S39">
        <v>2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0</v>
      </c>
      <c r="AI39" t="s">
        <v>270</v>
      </c>
    </row>
    <row r="40" spans="1:35" x14ac:dyDescent="0.2">
      <c r="A40">
        <v>103</v>
      </c>
      <c r="B40" t="s">
        <v>101</v>
      </c>
      <c r="C40" t="s">
        <v>150</v>
      </c>
      <c r="D40" t="s">
        <v>5</v>
      </c>
      <c r="E40">
        <v>1</v>
      </c>
      <c r="F40">
        <v>8.7166666666667005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270</v>
      </c>
      <c r="M40">
        <v>1</v>
      </c>
      <c r="N40">
        <v>0</v>
      </c>
      <c r="O40">
        <v>0.03</v>
      </c>
      <c r="P40">
        <v>2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2</v>
      </c>
      <c r="AF40">
        <v>0</v>
      </c>
      <c r="AG40">
        <v>0</v>
      </c>
      <c r="AH40">
        <v>0</v>
      </c>
      <c r="AI40" t="s">
        <v>270</v>
      </c>
    </row>
    <row r="41" spans="1:35" x14ac:dyDescent="0.2">
      <c r="A41">
        <v>65</v>
      </c>
      <c r="B41" t="s">
        <v>273</v>
      </c>
      <c r="C41" t="s">
        <v>153</v>
      </c>
      <c r="D41" t="s">
        <v>5</v>
      </c>
      <c r="E41">
        <v>1</v>
      </c>
      <c r="F41">
        <v>7.2833333333333004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270</v>
      </c>
      <c r="M41">
        <v>1</v>
      </c>
      <c r="N41">
        <v>0</v>
      </c>
      <c r="O41">
        <v>0.05</v>
      </c>
      <c r="P41">
        <v>1</v>
      </c>
      <c r="Q41">
        <v>1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6</v>
      </c>
      <c r="AH41">
        <v>2</v>
      </c>
      <c r="AI41">
        <v>75</v>
      </c>
    </row>
    <row r="42" spans="1:35" x14ac:dyDescent="0.2">
      <c r="A42">
        <v>46</v>
      </c>
      <c r="B42" t="s">
        <v>64</v>
      </c>
      <c r="C42" t="s">
        <v>153</v>
      </c>
      <c r="D42" t="s">
        <v>12</v>
      </c>
      <c r="E42">
        <v>1</v>
      </c>
      <c r="F42">
        <v>15.083333333333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270</v>
      </c>
      <c r="M42">
        <v>4</v>
      </c>
      <c r="N42">
        <v>0</v>
      </c>
      <c r="O42">
        <v>0.05</v>
      </c>
      <c r="P42">
        <v>5</v>
      </c>
      <c r="Q42">
        <v>4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 t="s">
        <v>270</v>
      </c>
    </row>
    <row r="43" spans="1:35" x14ac:dyDescent="0.2">
      <c r="A43">
        <v>21</v>
      </c>
      <c r="B43" t="s">
        <v>27</v>
      </c>
      <c r="C43" t="s">
        <v>157</v>
      </c>
      <c r="D43" t="s">
        <v>5</v>
      </c>
      <c r="E43">
        <v>1</v>
      </c>
      <c r="F43">
        <v>16.066666666667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270</v>
      </c>
      <c r="M43">
        <v>0</v>
      </c>
      <c r="N43" t="s">
        <v>270</v>
      </c>
      <c r="O43">
        <v>0.08</v>
      </c>
      <c r="P43">
        <v>2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0</v>
      </c>
      <c r="AD43">
        <v>6</v>
      </c>
      <c r="AE43">
        <v>0</v>
      </c>
      <c r="AF43">
        <v>0</v>
      </c>
      <c r="AG43">
        <v>2</v>
      </c>
      <c r="AH43">
        <v>4</v>
      </c>
      <c r="AI43">
        <v>33.33</v>
      </c>
    </row>
    <row r="44" spans="1:35" x14ac:dyDescent="0.2">
      <c r="A44">
        <v>66</v>
      </c>
      <c r="B44" t="s">
        <v>87</v>
      </c>
      <c r="C44" t="s">
        <v>150</v>
      </c>
      <c r="D44" t="s">
        <v>5</v>
      </c>
      <c r="E44">
        <v>1</v>
      </c>
      <c r="F44">
        <v>13.35</v>
      </c>
      <c r="G44">
        <v>0</v>
      </c>
      <c r="H44">
        <v>1</v>
      </c>
      <c r="I44">
        <v>1</v>
      </c>
      <c r="J44">
        <v>0</v>
      </c>
      <c r="K44">
        <v>1</v>
      </c>
      <c r="L44">
        <v>50</v>
      </c>
      <c r="M44">
        <v>0</v>
      </c>
      <c r="N44" t="s">
        <v>270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1</v>
      </c>
      <c r="AF44">
        <v>0</v>
      </c>
      <c r="AG44">
        <v>11</v>
      </c>
      <c r="AH44">
        <v>5</v>
      </c>
      <c r="AI44">
        <v>68.75</v>
      </c>
    </row>
    <row r="45" spans="1:35" x14ac:dyDescent="0.2">
      <c r="A45">
        <v>83</v>
      </c>
      <c r="B45" t="s">
        <v>49</v>
      </c>
      <c r="C45" t="s">
        <v>160</v>
      </c>
      <c r="D45" t="s">
        <v>12</v>
      </c>
      <c r="E45">
        <v>1</v>
      </c>
      <c r="F45">
        <v>20.333333333333002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0.01</v>
      </c>
      <c r="P45">
        <v>2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</v>
      </c>
      <c r="AC45">
        <v>0</v>
      </c>
      <c r="AD45">
        <v>4</v>
      </c>
      <c r="AE45">
        <v>1</v>
      </c>
      <c r="AF45">
        <v>2</v>
      </c>
      <c r="AG45">
        <v>0</v>
      </c>
      <c r="AH45">
        <v>0</v>
      </c>
      <c r="AI45" t="s">
        <v>270</v>
      </c>
    </row>
    <row r="46" spans="1:35" x14ac:dyDescent="0.2">
      <c r="A46">
        <v>1</v>
      </c>
      <c r="B46" t="s">
        <v>59</v>
      </c>
      <c r="C46" t="s">
        <v>160</v>
      </c>
      <c r="D46" t="s">
        <v>15</v>
      </c>
      <c r="E46">
        <v>1</v>
      </c>
      <c r="F46">
        <v>51.683333333333003</v>
      </c>
    </row>
    <row r="47" spans="1:35" x14ac:dyDescent="0.2">
      <c r="A47">
        <v>86</v>
      </c>
      <c r="B47" t="s">
        <v>41</v>
      </c>
      <c r="C47" t="s">
        <v>163</v>
      </c>
      <c r="D47" t="s">
        <v>12</v>
      </c>
      <c r="E47">
        <v>1</v>
      </c>
      <c r="F47">
        <v>19.083333333333002</v>
      </c>
      <c r="G47">
        <v>0</v>
      </c>
      <c r="H47">
        <v>1</v>
      </c>
      <c r="I47">
        <v>0</v>
      </c>
      <c r="J47">
        <v>1</v>
      </c>
      <c r="K47">
        <v>1</v>
      </c>
      <c r="L47">
        <v>50</v>
      </c>
      <c r="M47">
        <v>2</v>
      </c>
      <c r="N47">
        <v>0</v>
      </c>
      <c r="O47">
        <v>0.05</v>
      </c>
      <c r="P47">
        <v>2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 t="s">
        <v>270</v>
      </c>
    </row>
    <row r="48" spans="1:35" x14ac:dyDescent="0.2">
      <c r="A48">
        <v>16</v>
      </c>
      <c r="B48" t="s">
        <v>66</v>
      </c>
      <c r="C48" t="s">
        <v>155</v>
      </c>
      <c r="D48" t="s">
        <v>5</v>
      </c>
      <c r="E48">
        <v>1</v>
      </c>
      <c r="F48">
        <v>12.05</v>
      </c>
      <c r="G48">
        <v>1</v>
      </c>
      <c r="H48">
        <v>1</v>
      </c>
      <c r="I48">
        <v>0</v>
      </c>
      <c r="J48">
        <v>1</v>
      </c>
      <c r="K48">
        <v>2</v>
      </c>
      <c r="L48">
        <v>100</v>
      </c>
      <c r="M48">
        <v>3</v>
      </c>
      <c r="N48">
        <v>33.33</v>
      </c>
      <c r="O48">
        <v>0.5</v>
      </c>
      <c r="P48">
        <v>3</v>
      </c>
      <c r="Q48">
        <v>3</v>
      </c>
      <c r="R48">
        <v>2</v>
      </c>
      <c r="S48">
        <v>2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3</v>
      </c>
      <c r="AF48">
        <v>1</v>
      </c>
      <c r="AG48">
        <v>6</v>
      </c>
      <c r="AH48">
        <v>3</v>
      </c>
      <c r="AI48">
        <v>66.67</v>
      </c>
    </row>
    <row r="49" spans="1:35" x14ac:dyDescent="0.2">
      <c r="A49">
        <v>78</v>
      </c>
      <c r="B49" t="s">
        <v>113</v>
      </c>
      <c r="C49" t="s">
        <v>150</v>
      </c>
      <c r="D49" t="s">
        <v>272</v>
      </c>
      <c r="E49">
        <v>1</v>
      </c>
      <c r="F49">
        <v>9.8833333333333009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270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4</v>
      </c>
      <c r="AF49">
        <v>1</v>
      </c>
      <c r="AG49">
        <v>0</v>
      </c>
      <c r="AH49">
        <v>0</v>
      </c>
      <c r="AI49" t="s">
        <v>270</v>
      </c>
    </row>
    <row r="50" spans="1:35" x14ac:dyDescent="0.2">
      <c r="A50">
        <v>30</v>
      </c>
      <c r="B50" t="s">
        <v>58</v>
      </c>
      <c r="C50" t="s">
        <v>155</v>
      </c>
      <c r="D50" t="s">
        <v>272</v>
      </c>
      <c r="E50">
        <v>1</v>
      </c>
      <c r="F50">
        <v>14.083333333333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270</v>
      </c>
      <c r="M50">
        <v>1</v>
      </c>
      <c r="N50">
        <v>0</v>
      </c>
      <c r="O50">
        <v>0.04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2</v>
      </c>
      <c r="W50">
        <v>1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3</v>
      </c>
      <c r="AH50">
        <v>2</v>
      </c>
      <c r="AI50">
        <v>60</v>
      </c>
    </row>
    <row r="51" spans="1:35" x14ac:dyDescent="0.2">
      <c r="A51">
        <v>25</v>
      </c>
      <c r="B51" t="s">
        <v>167</v>
      </c>
      <c r="C51" t="s">
        <v>157</v>
      </c>
      <c r="D51" t="s">
        <v>5</v>
      </c>
      <c r="E51">
        <v>1</v>
      </c>
      <c r="F51">
        <v>9.5333333333332995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270</v>
      </c>
      <c r="M51">
        <v>0</v>
      </c>
      <c r="N51" t="s">
        <v>270</v>
      </c>
      <c r="O51">
        <v>0.08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100</v>
      </c>
    </row>
    <row r="52" spans="1:35" x14ac:dyDescent="0.2">
      <c r="A52">
        <v>77</v>
      </c>
      <c r="B52" t="s">
        <v>92</v>
      </c>
      <c r="C52" t="s">
        <v>160</v>
      </c>
      <c r="D52" t="s">
        <v>12</v>
      </c>
      <c r="E52">
        <v>1</v>
      </c>
      <c r="F52">
        <v>15.1</v>
      </c>
      <c r="G52">
        <v>0</v>
      </c>
      <c r="H52">
        <v>1</v>
      </c>
      <c r="I52">
        <v>0</v>
      </c>
      <c r="J52">
        <v>1</v>
      </c>
      <c r="K52">
        <v>1</v>
      </c>
      <c r="L52">
        <v>50</v>
      </c>
      <c r="M52">
        <v>0</v>
      </c>
      <c r="N52" t="s">
        <v>270</v>
      </c>
      <c r="O52">
        <v>0.02</v>
      </c>
      <c r="P52">
        <v>2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1</v>
      </c>
      <c r="AF52">
        <v>2</v>
      </c>
      <c r="AG52">
        <v>0</v>
      </c>
      <c r="AH52">
        <v>0</v>
      </c>
      <c r="AI52" t="s">
        <v>270</v>
      </c>
    </row>
    <row r="53" spans="1:35" x14ac:dyDescent="0.2">
      <c r="A53">
        <v>12</v>
      </c>
      <c r="B53" t="s">
        <v>47</v>
      </c>
      <c r="C53" t="s">
        <v>150</v>
      </c>
      <c r="D53" t="s">
        <v>12</v>
      </c>
      <c r="E53">
        <v>1</v>
      </c>
      <c r="F53">
        <v>17.899999999999999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0.08</v>
      </c>
      <c r="P53">
        <v>4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</v>
      </c>
      <c r="AE53">
        <v>3</v>
      </c>
      <c r="AF53">
        <v>0</v>
      </c>
      <c r="AG53">
        <v>0</v>
      </c>
      <c r="AH53">
        <v>0</v>
      </c>
      <c r="AI53" t="s">
        <v>270</v>
      </c>
    </row>
    <row r="54" spans="1:35" x14ac:dyDescent="0.2">
      <c r="A54">
        <v>52</v>
      </c>
      <c r="B54" t="s">
        <v>173</v>
      </c>
      <c r="C54" t="s">
        <v>150</v>
      </c>
      <c r="D54" t="s">
        <v>12</v>
      </c>
      <c r="E54">
        <v>1</v>
      </c>
      <c r="F54">
        <v>9.7166666666667005</v>
      </c>
      <c r="G54">
        <v>0</v>
      </c>
      <c r="H54">
        <v>1</v>
      </c>
      <c r="I54">
        <v>0</v>
      </c>
      <c r="J54">
        <v>1</v>
      </c>
      <c r="K54">
        <v>1</v>
      </c>
      <c r="L54">
        <v>100</v>
      </c>
      <c r="M54">
        <v>0</v>
      </c>
      <c r="N54" t="s">
        <v>270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1</v>
      </c>
      <c r="AF54">
        <v>0</v>
      </c>
      <c r="AG54">
        <v>0</v>
      </c>
      <c r="AH54">
        <v>0</v>
      </c>
      <c r="AI54" t="s">
        <v>270</v>
      </c>
    </row>
    <row r="55" spans="1:35" x14ac:dyDescent="0.2">
      <c r="A55">
        <v>91</v>
      </c>
      <c r="B55" t="s">
        <v>71</v>
      </c>
      <c r="C55" t="s">
        <v>153</v>
      </c>
      <c r="D55" t="s">
        <v>5</v>
      </c>
      <c r="E55">
        <v>1</v>
      </c>
      <c r="F55">
        <v>11.6</v>
      </c>
      <c r="G55">
        <v>0</v>
      </c>
      <c r="H55">
        <v>1</v>
      </c>
      <c r="I55">
        <v>0</v>
      </c>
      <c r="J55">
        <v>1</v>
      </c>
      <c r="K55">
        <v>1</v>
      </c>
      <c r="L55">
        <v>100</v>
      </c>
      <c r="M55">
        <v>2</v>
      </c>
      <c r="N55">
        <v>0</v>
      </c>
      <c r="O55">
        <v>0.13</v>
      </c>
      <c r="P55">
        <v>3</v>
      </c>
      <c r="Q55">
        <v>3</v>
      </c>
      <c r="R55">
        <v>1</v>
      </c>
      <c r="S55">
        <v>1</v>
      </c>
      <c r="T55">
        <v>0</v>
      </c>
      <c r="U55">
        <v>0</v>
      </c>
      <c r="V55">
        <v>2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0</v>
      </c>
      <c r="AH55">
        <v>0</v>
      </c>
      <c r="AI55" t="s">
        <v>270</v>
      </c>
    </row>
    <row r="56" spans="1:35" x14ac:dyDescent="0.2">
      <c r="A56">
        <v>67</v>
      </c>
      <c r="B56" t="s">
        <v>20</v>
      </c>
      <c r="C56" t="s">
        <v>153</v>
      </c>
      <c r="D56" t="s">
        <v>269</v>
      </c>
      <c r="E56">
        <v>1</v>
      </c>
      <c r="F56">
        <v>13.583333333333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270</v>
      </c>
      <c r="M56">
        <v>1</v>
      </c>
      <c r="N56">
        <v>0</v>
      </c>
      <c r="O56">
        <v>0.05</v>
      </c>
      <c r="P56">
        <v>2</v>
      </c>
      <c r="Q56">
        <v>1</v>
      </c>
      <c r="R56">
        <v>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2</v>
      </c>
      <c r="AF56">
        <v>0</v>
      </c>
      <c r="AG56">
        <v>0</v>
      </c>
      <c r="AH56">
        <v>0</v>
      </c>
      <c r="AI56" t="s">
        <v>270</v>
      </c>
    </row>
    <row r="57" spans="1:35" x14ac:dyDescent="0.2">
      <c r="A57">
        <v>69</v>
      </c>
      <c r="B57" t="s">
        <v>171</v>
      </c>
      <c r="C57" t="s">
        <v>155</v>
      </c>
      <c r="D57" t="s">
        <v>5</v>
      </c>
      <c r="E57">
        <v>1</v>
      </c>
      <c r="F57">
        <v>11.566666666667</v>
      </c>
      <c r="G57">
        <v>0</v>
      </c>
      <c r="H57">
        <v>1</v>
      </c>
      <c r="I57">
        <v>0</v>
      </c>
      <c r="J57">
        <v>1</v>
      </c>
      <c r="K57">
        <v>1</v>
      </c>
      <c r="L57">
        <v>100</v>
      </c>
      <c r="M57">
        <v>0</v>
      </c>
      <c r="N57" t="s">
        <v>270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2</v>
      </c>
      <c r="AE57">
        <v>0</v>
      </c>
      <c r="AF57">
        <v>1</v>
      </c>
      <c r="AG57">
        <v>0</v>
      </c>
      <c r="AH57">
        <v>1</v>
      </c>
      <c r="AI57">
        <v>0</v>
      </c>
    </row>
    <row r="58" spans="1:35" x14ac:dyDescent="0.2">
      <c r="A58">
        <v>49</v>
      </c>
      <c r="B58" t="s">
        <v>176</v>
      </c>
      <c r="C58" t="s">
        <v>163</v>
      </c>
      <c r="D58" t="s">
        <v>5</v>
      </c>
      <c r="E58">
        <v>1</v>
      </c>
      <c r="F58">
        <v>6.7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270</v>
      </c>
      <c r="M58">
        <v>0</v>
      </c>
      <c r="N58" t="s">
        <v>270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1</v>
      </c>
      <c r="AG58">
        <v>1</v>
      </c>
      <c r="AH58">
        <v>3</v>
      </c>
      <c r="AI58">
        <v>25</v>
      </c>
    </row>
    <row r="59" spans="1:35" x14ac:dyDescent="0.2">
      <c r="A59">
        <v>3</v>
      </c>
      <c r="B59" t="s">
        <v>179</v>
      </c>
      <c r="C59" t="s">
        <v>160</v>
      </c>
      <c r="D59" t="s">
        <v>5</v>
      </c>
      <c r="E59">
        <v>1</v>
      </c>
      <c r="F59">
        <v>8.2333333333333005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0.28999999999999998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4</v>
      </c>
      <c r="AH59">
        <v>4</v>
      </c>
      <c r="AI59">
        <v>50</v>
      </c>
    </row>
    <row r="60" spans="1:35" x14ac:dyDescent="0.2">
      <c r="A60">
        <v>4</v>
      </c>
      <c r="B60" t="s">
        <v>274</v>
      </c>
      <c r="C60" t="s">
        <v>150</v>
      </c>
      <c r="D60" t="s">
        <v>15</v>
      </c>
      <c r="E60">
        <v>1</v>
      </c>
      <c r="F60">
        <v>51.683333333333003</v>
      </c>
    </row>
    <row r="61" spans="1:35" x14ac:dyDescent="0.2">
      <c r="A61">
        <v>99</v>
      </c>
      <c r="B61" t="s">
        <v>169</v>
      </c>
      <c r="C61" t="s">
        <v>155</v>
      </c>
      <c r="D61" t="s">
        <v>5</v>
      </c>
      <c r="E61">
        <v>1</v>
      </c>
      <c r="F61">
        <v>10.416666666667</v>
      </c>
      <c r="G61">
        <v>0</v>
      </c>
      <c r="H61">
        <v>1</v>
      </c>
      <c r="I61">
        <v>1</v>
      </c>
      <c r="J61">
        <v>0</v>
      </c>
      <c r="K61">
        <v>1</v>
      </c>
      <c r="L61">
        <v>100</v>
      </c>
      <c r="M61">
        <v>1</v>
      </c>
      <c r="N61">
        <v>0</v>
      </c>
      <c r="O61">
        <v>0.13</v>
      </c>
      <c r="P61">
        <v>4</v>
      </c>
      <c r="Q61">
        <v>1</v>
      </c>
      <c r="R61">
        <v>3</v>
      </c>
      <c r="S61">
        <v>2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3</v>
      </c>
      <c r="AE61">
        <v>0</v>
      </c>
      <c r="AF61">
        <v>1</v>
      </c>
      <c r="AG61">
        <v>0</v>
      </c>
      <c r="AH61">
        <v>0</v>
      </c>
      <c r="AI61" t="s">
        <v>270</v>
      </c>
    </row>
    <row r="62" spans="1:35" x14ac:dyDescent="0.2">
      <c r="A62">
        <v>58</v>
      </c>
      <c r="B62" t="s">
        <v>9</v>
      </c>
      <c r="C62" t="s">
        <v>150</v>
      </c>
      <c r="D62" t="s">
        <v>5</v>
      </c>
      <c r="E62">
        <v>1</v>
      </c>
      <c r="F62">
        <v>20.633333333332999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270</v>
      </c>
      <c r="M62">
        <v>0</v>
      </c>
      <c r="N62" t="s">
        <v>270</v>
      </c>
      <c r="O62">
        <v>0.03</v>
      </c>
      <c r="P62">
        <v>2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0</v>
      </c>
      <c r="AD62">
        <v>3</v>
      </c>
      <c r="AE62">
        <v>1</v>
      </c>
      <c r="AF62">
        <v>0</v>
      </c>
      <c r="AG62">
        <v>0</v>
      </c>
      <c r="AH62">
        <v>0</v>
      </c>
      <c r="AI62" t="s">
        <v>270</v>
      </c>
    </row>
    <row r="63" spans="1:35" x14ac:dyDescent="0.2">
      <c r="A63">
        <v>50</v>
      </c>
      <c r="B63" t="s">
        <v>23</v>
      </c>
      <c r="C63" t="s">
        <v>153</v>
      </c>
      <c r="D63" t="s">
        <v>272</v>
      </c>
      <c r="E63">
        <v>1</v>
      </c>
      <c r="F63">
        <v>13.75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270</v>
      </c>
      <c r="M63">
        <v>0</v>
      </c>
      <c r="N63" t="s">
        <v>270</v>
      </c>
      <c r="O63">
        <v>0.04</v>
      </c>
      <c r="P63">
        <v>2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 t="s">
        <v>270</v>
      </c>
    </row>
    <row r="64" spans="1:35" x14ac:dyDescent="0.2">
      <c r="A64">
        <v>42</v>
      </c>
      <c r="B64" t="s">
        <v>28</v>
      </c>
      <c r="C64" t="s">
        <v>155</v>
      </c>
      <c r="D64" t="s">
        <v>5</v>
      </c>
      <c r="E64">
        <v>1</v>
      </c>
      <c r="F64">
        <v>13.983333333333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270</v>
      </c>
      <c r="M64">
        <v>3</v>
      </c>
      <c r="N64">
        <v>0</v>
      </c>
      <c r="O64">
        <v>0.41</v>
      </c>
      <c r="P64">
        <v>3</v>
      </c>
      <c r="Q64">
        <v>3</v>
      </c>
      <c r="R64">
        <v>2</v>
      </c>
      <c r="S64">
        <v>2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3</v>
      </c>
      <c r="AG64">
        <v>3</v>
      </c>
      <c r="AH64">
        <v>4</v>
      </c>
      <c r="AI64">
        <v>42.86</v>
      </c>
    </row>
    <row r="65" spans="1:35" x14ac:dyDescent="0.2">
      <c r="A65">
        <v>55</v>
      </c>
      <c r="B65" t="s">
        <v>89</v>
      </c>
      <c r="C65" t="s">
        <v>153</v>
      </c>
      <c r="D65" t="s">
        <v>269</v>
      </c>
      <c r="E65">
        <v>1</v>
      </c>
      <c r="F65">
        <v>11.883333333333001</v>
      </c>
      <c r="G65">
        <v>0</v>
      </c>
      <c r="H65">
        <v>1</v>
      </c>
      <c r="I65">
        <v>1</v>
      </c>
      <c r="J65">
        <v>0</v>
      </c>
      <c r="K65">
        <v>1</v>
      </c>
      <c r="L65">
        <v>50</v>
      </c>
      <c r="M65">
        <v>1</v>
      </c>
      <c r="N65">
        <v>0</v>
      </c>
      <c r="O65">
        <v>0.05</v>
      </c>
      <c r="P65">
        <v>4</v>
      </c>
      <c r="Q65">
        <v>1</v>
      </c>
      <c r="R65">
        <v>3</v>
      </c>
      <c r="S65">
        <v>3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0</v>
      </c>
      <c r="AF65">
        <v>0</v>
      </c>
      <c r="AG65">
        <v>0</v>
      </c>
      <c r="AH65">
        <v>0</v>
      </c>
      <c r="AI65" t="s">
        <v>270</v>
      </c>
    </row>
    <row r="66" spans="1:35" x14ac:dyDescent="0.2">
      <c r="A66">
        <v>89</v>
      </c>
      <c r="B66" t="s">
        <v>115</v>
      </c>
      <c r="C66" t="s">
        <v>157</v>
      </c>
      <c r="D66" t="s">
        <v>5</v>
      </c>
      <c r="E66">
        <v>1</v>
      </c>
      <c r="F66">
        <v>9.0500000000000007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270</v>
      </c>
      <c r="M66">
        <v>0</v>
      </c>
      <c r="N66" t="s">
        <v>270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</v>
      </c>
      <c r="AE66">
        <v>2</v>
      </c>
      <c r="AF66">
        <v>0</v>
      </c>
      <c r="AG66">
        <v>0</v>
      </c>
      <c r="AH66">
        <v>0</v>
      </c>
      <c r="AI66" t="s">
        <v>270</v>
      </c>
    </row>
    <row r="67" spans="1:35" x14ac:dyDescent="0.2">
      <c r="A67">
        <v>70</v>
      </c>
      <c r="B67" t="s">
        <v>83</v>
      </c>
      <c r="C67" t="s">
        <v>157</v>
      </c>
      <c r="D67" t="s">
        <v>12</v>
      </c>
      <c r="E67">
        <v>1</v>
      </c>
      <c r="F67">
        <v>18.8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0.03</v>
      </c>
      <c r="P67">
        <v>2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1</v>
      </c>
      <c r="AF67">
        <v>2</v>
      </c>
      <c r="AG67">
        <v>0</v>
      </c>
      <c r="AH67">
        <v>0</v>
      </c>
      <c r="AI67" t="s">
        <v>270</v>
      </c>
    </row>
    <row r="68" spans="1:35" x14ac:dyDescent="0.2">
      <c r="A68">
        <v>108</v>
      </c>
      <c r="B68" t="s">
        <v>39</v>
      </c>
      <c r="C68" t="s">
        <v>155</v>
      </c>
      <c r="D68" t="s">
        <v>12</v>
      </c>
      <c r="E68">
        <v>1</v>
      </c>
      <c r="F68">
        <v>20.333333333333002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0.15</v>
      </c>
      <c r="P68">
        <v>4</v>
      </c>
      <c r="Q68">
        <v>3</v>
      </c>
      <c r="R68">
        <v>2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2</v>
      </c>
      <c r="AE68">
        <v>7</v>
      </c>
      <c r="AF68">
        <v>2</v>
      </c>
      <c r="AG68">
        <v>0</v>
      </c>
      <c r="AH68">
        <v>0</v>
      </c>
      <c r="AI68" t="s">
        <v>270</v>
      </c>
    </row>
    <row r="69" spans="1:35" x14ac:dyDescent="0.2">
      <c r="A69">
        <v>107</v>
      </c>
      <c r="B69" t="s">
        <v>36</v>
      </c>
      <c r="C69" t="s">
        <v>163</v>
      </c>
      <c r="D69" t="s">
        <v>269</v>
      </c>
      <c r="E69">
        <v>1</v>
      </c>
      <c r="F69">
        <v>11.083333333333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  <c r="O69">
        <v>0.13</v>
      </c>
      <c r="P69">
        <v>3</v>
      </c>
      <c r="Q69">
        <v>2</v>
      </c>
      <c r="R69">
        <v>3</v>
      </c>
      <c r="S69">
        <v>2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2</v>
      </c>
      <c r="AC69">
        <v>0</v>
      </c>
      <c r="AD69">
        <v>0</v>
      </c>
      <c r="AE69">
        <v>2</v>
      </c>
      <c r="AF69">
        <v>2</v>
      </c>
      <c r="AG69">
        <v>0</v>
      </c>
      <c r="AH69">
        <v>0</v>
      </c>
      <c r="AI69" t="s">
        <v>270</v>
      </c>
    </row>
    <row r="70" spans="1:35" x14ac:dyDescent="0.2">
      <c r="A70">
        <v>39</v>
      </c>
      <c r="B70" t="s">
        <v>109</v>
      </c>
      <c r="C70" t="s">
        <v>160</v>
      </c>
      <c r="D70" t="s">
        <v>269</v>
      </c>
      <c r="E70">
        <v>1</v>
      </c>
      <c r="F70">
        <v>18.416666666666998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270</v>
      </c>
      <c r="M70">
        <v>0</v>
      </c>
      <c r="N70" t="s">
        <v>270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1</v>
      </c>
      <c r="AD70">
        <v>1</v>
      </c>
      <c r="AE70">
        <v>0</v>
      </c>
      <c r="AF70">
        <v>2</v>
      </c>
      <c r="AG70">
        <v>0</v>
      </c>
      <c r="AH70">
        <v>0</v>
      </c>
      <c r="AI70" t="s">
        <v>270</v>
      </c>
    </row>
    <row r="71" spans="1:35" x14ac:dyDescent="0.2">
      <c r="A71">
        <v>19</v>
      </c>
      <c r="B71" t="s">
        <v>44</v>
      </c>
      <c r="C71" t="s">
        <v>157</v>
      </c>
      <c r="D71" t="s">
        <v>5</v>
      </c>
      <c r="E71">
        <v>1</v>
      </c>
      <c r="F71">
        <v>16.100000000000001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270</v>
      </c>
      <c r="M71">
        <v>1</v>
      </c>
      <c r="N71">
        <v>0</v>
      </c>
      <c r="O71">
        <v>0.28000000000000003</v>
      </c>
      <c r="P71">
        <v>3</v>
      </c>
      <c r="Q71">
        <v>2</v>
      </c>
      <c r="R71">
        <v>2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5</v>
      </c>
      <c r="AH71">
        <v>6</v>
      </c>
      <c r="AI71">
        <v>45.45</v>
      </c>
    </row>
    <row r="72" spans="1:35" x14ac:dyDescent="0.2">
      <c r="A72">
        <v>27</v>
      </c>
      <c r="B72" t="s">
        <v>103</v>
      </c>
      <c r="C72" t="s">
        <v>153</v>
      </c>
      <c r="D72" t="s">
        <v>272</v>
      </c>
      <c r="E72">
        <v>1</v>
      </c>
      <c r="F72">
        <v>7.5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270</v>
      </c>
      <c r="M72">
        <v>0</v>
      </c>
      <c r="N72" t="s">
        <v>270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1</v>
      </c>
      <c r="AG72">
        <v>0</v>
      </c>
      <c r="AH72">
        <v>0</v>
      </c>
      <c r="AI72" t="s">
        <v>270</v>
      </c>
    </row>
    <row r="73" spans="1:35" x14ac:dyDescent="0.2">
      <c r="A73">
        <v>29</v>
      </c>
      <c r="B73" t="s">
        <v>4</v>
      </c>
      <c r="C73" t="s">
        <v>150</v>
      </c>
      <c r="D73" t="s">
        <v>5</v>
      </c>
      <c r="E73">
        <v>1</v>
      </c>
      <c r="F73">
        <v>21.166666666666998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270</v>
      </c>
      <c r="M73">
        <v>1</v>
      </c>
      <c r="N73">
        <v>0</v>
      </c>
      <c r="O73">
        <v>0.04</v>
      </c>
      <c r="P73">
        <v>2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9</v>
      </c>
      <c r="AH73">
        <v>1</v>
      </c>
      <c r="AI73">
        <v>90</v>
      </c>
    </row>
    <row r="74" spans="1:35" x14ac:dyDescent="0.2">
      <c r="A74">
        <v>15</v>
      </c>
      <c r="B74" t="s">
        <v>177</v>
      </c>
      <c r="C74" t="s">
        <v>160</v>
      </c>
      <c r="D74" t="s">
        <v>5</v>
      </c>
      <c r="E74">
        <v>1</v>
      </c>
      <c r="F74">
        <v>16.716666666666999</v>
      </c>
      <c r="G74">
        <v>1</v>
      </c>
      <c r="H74">
        <v>0</v>
      </c>
      <c r="I74">
        <v>0</v>
      </c>
      <c r="J74">
        <v>0</v>
      </c>
      <c r="K74">
        <v>1</v>
      </c>
      <c r="L74">
        <v>100</v>
      </c>
      <c r="M74">
        <v>3</v>
      </c>
      <c r="N74">
        <v>33.33</v>
      </c>
      <c r="O74">
        <v>0.37</v>
      </c>
      <c r="P74">
        <v>3</v>
      </c>
      <c r="Q74">
        <v>3</v>
      </c>
      <c r="R74">
        <v>3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3</v>
      </c>
      <c r="AE74">
        <v>3</v>
      </c>
      <c r="AF74">
        <v>1</v>
      </c>
      <c r="AG74">
        <v>1</v>
      </c>
      <c r="AH74">
        <v>0</v>
      </c>
      <c r="AI74">
        <v>100</v>
      </c>
    </row>
    <row r="75" spans="1:35" x14ac:dyDescent="0.2">
      <c r="A75">
        <v>6</v>
      </c>
      <c r="B75" t="s">
        <v>95</v>
      </c>
      <c r="C75" t="s">
        <v>160</v>
      </c>
      <c r="D75" t="s">
        <v>12</v>
      </c>
      <c r="E75">
        <v>1</v>
      </c>
      <c r="F75">
        <v>16.983333333333</v>
      </c>
      <c r="G75">
        <v>0</v>
      </c>
      <c r="H75">
        <v>1</v>
      </c>
      <c r="I75">
        <v>0</v>
      </c>
      <c r="J75">
        <v>1</v>
      </c>
      <c r="K75">
        <v>1</v>
      </c>
      <c r="L75">
        <v>100</v>
      </c>
      <c r="M75">
        <v>0</v>
      </c>
      <c r="N75" t="s">
        <v>270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 t="s">
        <v>270</v>
      </c>
    </row>
    <row r="76" spans="1:35" x14ac:dyDescent="0.2">
      <c r="A76">
        <v>13</v>
      </c>
      <c r="B76" t="s">
        <v>55</v>
      </c>
      <c r="C76" t="s">
        <v>163</v>
      </c>
      <c r="D76" t="s">
        <v>12</v>
      </c>
      <c r="E76">
        <v>1</v>
      </c>
      <c r="F76">
        <v>17.683333333333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270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1</v>
      </c>
      <c r="AG76">
        <v>0</v>
      </c>
      <c r="AH76">
        <v>0</v>
      </c>
      <c r="AI76" t="s">
        <v>270</v>
      </c>
    </row>
    <row r="77" spans="1:35" x14ac:dyDescent="0.2">
      <c r="A77">
        <v>101</v>
      </c>
      <c r="B77" t="s">
        <v>120</v>
      </c>
      <c r="C77" t="s">
        <v>163</v>
      </c>
      <c r="D77" t="s">
        <v>269</v>
      </c>
      <c r="E77">
        <v>1</v>
      </c>
      <c r="F77">
        <v>9.9166666666666998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270</v>
      </c>
      <c r="M77">
        <v>0</v>
      </c>
      <c r="N77" t="s">
        <v>270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2</v>
      </c>
      <c r="AF77">
        <v>1</v>
      </c>
      <c r="AG77">
        <v>0</v>
      </c>
      <c r="AH77">
        <v>0</v>
      </c>
      <c r="AI77" t="s">
        <v>270</v>
      </c>
    </row>
    <row r="78" spans="1:35" x14ac:dyDescent="0.2">
      <c r="A78">
        <v>62</v>
      </c>
      <c r="B78" t="s">
        <v>72</v>
      </c>
      <c r="C78" t="s">
        <v>163</v>
      </c>
      <c r="D78" t="s">
        <v>272</v>
      </c>
      <c r="E78">
        <v>1</v>
      </c>
      <c r="F78">
        <v>11.15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270</v>
      </c>
      <c r="M78">
        <v>0</v>
      </c>
      <c r="N78" t="s">
        <v>270</v>
      </c>
      <c r="O78">
        <v>0.1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1</v>
      </c>
      <c r="AF78">
        <v>1</v>
      </c>
      <c r="AG78">
        <v>2</v>
      </c>
      <c r="AH78">
        <v>6</v>
      </c>
      <c r="AI78">
        <v>25</v>
      </c>
    </row>
    <row r="79" spans="1:35" x14ac:dyDescent="0.2">
      <c r="A79">
        <v>43</v>
      </c>
      <c r="B79" t="s">
        <v>172</v>
      </c>
      <c r="C79" t="s">
        <v>163</v>
      </c>
      <c r="D79" t="s">
        <v>12</v>
      </c>
      <c r="E79">
        <v>1</v>
      </c>
      <c r="F79">
        <v>13.55</v>
      </c>
      <c r="G79">
        <v>0</v>
      </c>
      <c r="H79">
        <v>1</v>
      </c>
      <c r="I79">
        <v>0</v>
      </c>
      <c r="J79">
        <v>1</v>
      </c>
      <c r="K79">
        <v>1</v>
      </c>
      <c r="L79">
        <v>100</v>
      </c>
      <c r="M79">
        <v>0</v>
      </c>
      <c r="N79" t="s">
        <v>270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3</v>
      </c>
      <c r="AF79">
        <v>0</v>
      </c>
      <c r="AG79">
        <v>0</v>
      </c>
      <c r="AH79">
        <v>0</v>
      </c>
      <c r="AI79" t="s">
        <v>270</v>
      </c>
    </row>
    <row r="80" spans="1:35" x14ac:dyDescent="0.2">
      <c r="A80">
        <v>100</v>
      </c>
      <c r="B80" t="s">
        <v>90</v>
      </c>
      <c r="C80" t="s">
        <v>157</v>
      </c>
      <c r="D80" t="s">
        <v>5</v>
      </c>
      <c r="E80">
        <v>1</v>
      </c>
      <c r="F80">
        <v>13.15</v>
      </c>
      <c r="G80">
        <v>0</v>
      </c>
      <c r="H80">
        <v>1</v>
      </c>
      <c r="I80">
        <v>1</v>
      </c>
      <c r="J80">
        <v>0</v>
      </c>
      <c r="K80">
        <v>1</v>
      </c>
      <c r="L80">
        <v>100</v>
      </c>
      <c r="M80">
        <v>0</v>
      </c>
      <c r="N80" t="s">
        <v>270</v>
      </c>
      <c r="O80">
        <v>0.11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0</v>
      </c>
      <c r="AF80">
        <v>0</v>
      </c>
      <c r="AG80">
        <v>1</v>
      </c>
      <c r="AH80">
        <v>6</v>
      </c>
      <c r="AI80">
        <v>14.29</v>
      </c>
    </row>
    <row r="81" spans="1:35" x14ac:dyDescent="0.2">
      <c r="A81">
        <v>11</v>
      </c>
      <c r="B81" t="s">
        <v>69</v>
      </c>
      <c r="C81" t="s">
        <v>155</v>
      </c>
      <c r="D81" t="s">
        <v>272</v>
      </c>
      <c r="E81">
        <v>1</v>
      </c>
      <c r="F81">
        <v>11.416666666667</v>
      </c>
      <c r="G81">
        <v>0</v>
      </c>
      <c r="H81">
        <v>1</v>
      </c>
      <c r="I81">
        <v>0</v>
      </c>
      <c r="J81">
        <v>1</v>
      </c>
      <c r="K81">
        <v>1</v>
      </c>
      <c r="L81">
        <v>100</v>
      </c>
      <c r="M81">
        <v>0</v>
      </c>
      <c r="N81" t="s">
        <v>270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1</v>
      </c>
      <c r="AF81">
        <v>1</v>
      </c>
      <c r="AG81">
        <v>0</v>
      </c>
      <c r="AH81">
        <v>0</v>
      </c>
      <c r="AI81" t="s">
        <v>270</v>
      </c>
    </row>
    <row r="82" spans="1:35" x14ac:dyDescent="0.2">
      <c r="A82">
        <v>57</v>
      </c>
      <c r="B82" t="s">
        <v>17</v>
      </c>
      <c r="C82" t="s">
        <v>163</v>
      </c>
      <c r="D82" t="s">
        <v>269</v>
      </c>
      <c r="E82">
        <v>1</v>
      </c>
      <c r="F82">
        <v>11.916666666667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270</v>
      </c>
      <c r="M82">
        <v>1</v>
      </c>
      <c r="N82">
        <v>0</v>
      </c>
      <c r="O82">
        <v>0.04</v>
      </c>
      <c r="P82">
        <v>2</v>
      </c>
      <c r="Q82">
        <v>1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 t="s">
        <v>270</v>
      </c>
    </row>
    <row r="83" spans="1:35" x14ac:dyDescent="0.2">
      <c r="A83">
        <v>63</v>
      </c>
      <c r="B83" t="s">
        <v>78</v>
      </c>
      <c r="C83" t="s">
        <v>150</v>
      </c>
      <c r="D83" t="s">
        <v>5</v>
      </c>
      <c r="E83">
        <v>1</v>
      </c>
      <c r="F83">
        <v>10.833333333333</v>
      </c>
      <c r="G83">
        <v>1</v>
      </c>
      <c r="H83">
        <v>0</v>
      </c>
      <c r="I83">
        <v>0</v>
      </c>
      <c r="J83">
        <v>0</v>
      </c>
      <c r="K83">
        <v>1</v>
      </c>
      <c r="L83">
        <v>100</v>
      </c>
      <c r="M83">
        <v>1</v>
      </c>
      <c r="N83">
        <v>100</v>
      </c>
      <c r="O83">
        <v>0.18</v>
      </c>
      <c r="P83">
        <v>3</v>
      </c>
      <c r="Q83">
        <v>2</v>
      </c>
      <c r="R83">
        <v>2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2</v>
      </c>
      <c r="AE83">
        <v>3</v>
      </c>
      <c r="AF83">
        <v>1</v>
      </c>
      <c r="AG83">
        <v>0</v>
      </c>
      <c r="AH83">
        <v>2</v>
      </c>
      <c r="AI83">
        <v>0</v>
      </c>
    </row>
    <row r="84" spans="1:35" x14ac:dyDescent="0.2">
      <c r="A84">
        <v>32</v>
      </c>
      <c r="B84" t="s">
        <v>74</v>
      </c>
      <c r="C84" t="s">
        <v>163</v>
      </c>
      <c r="D84" t="s">
        <v>12</v>
      </c>
      <c r="E84">
        <v>1</v>
      </c>
      <c r="F84">
        <v>1.0166666666666999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270</v>
      </c>
      <c r="M84">
        <v>0</v>
      </c>
      <c r="N84" t="s">
        <v>270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270</v>
      </c>
    </row>
    <row r="85" spans="1:35" x14ac:dyDescent="0.2">
      <c r="A85">
        <v>81</v>
      </c>
      <c r="B85" t="s">
        <v>38</v>
      </c>
      <c r="C85" t="s">
        <v>160</v>
      </c>
      <c r="D85" t="s">
        <v>5</v>
      </c>
      <c r="E85">
        <v>1</v>
      </c>
      <c r="F85">
        <v>14.583333333333</v>
      </c>
      <c r="G85">
        <v>1</v>
      </c>
      <c r="H85">
        <v>0</v>
      </c>
      <c r="I85">
        <v>0</v>
      </c>
      <c r="J85">
        <v>0</v>
      </c>
      <c r="K85">
        <v>1</v>
      </c>
      <c r="L85">
        <v>100</v>
      </c>
      <c r="M85">
        <v>1</v>
      </c>
      <c r="N85">
        <v>100</v>
      </c>
      <c r="O85">
        <v>0.14000000000000001</v>
      </c>
      <c r="P85">
        <v>2</v>
      </c>
      <c r="Q85">
        <v>2</v>
      </c>
      <c r="R85">
        <v>2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1</v>
      </c>
      <c r="AF85">
        <v>0</v>
      </c>
      <c r="AG85">
        <v>1</v>
      </c>
      <c r="AH85">
        <v>3</v>
      </c>
      <c r="AI85">
        <v>25</v>
      </c>
    </row>
    <row r="86" spans="1:35" x14ac:dyDescent="0.2">
      <c r="A86">
        <v>35</v>
      </c>
      <c r="B86" t="s">
        <v>99</v>
      </c>
      <c r="C86" t="s">
        <v>155</v>
      </c>
      <c r="D86" t="s">
        <v>12</v>
      </c>
      <c r="E86">
        <v>1</v>
      </c>
      <c r="F86">
        <v>16.95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0.04</v>
      </c>
      <c r="P86">
        <v>2</v>
      </c>
      <c r="Q86">
        <v>2</v>
      </c>
      <c r="R86">
        <v>1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0</v>
      </c>
      <c r="AD86">
        <v>0</v>
      </c>
      <c r="AE86">
        <v>2</v>
      </c>
      <c r="AF86">
        <v>0</v>
      </c>
      <c r="AG86">
        <v>0</v>
      </c>
      <c r="AH86">
        <v>0</v>
      </c>
      <c r="AI86" t="s">
        <v>270</v>
      </c>
    </row>
    <row r="87" spans="1:35" x14ac:dyDescent="0.2">
      <c r="A87">
        <v>10</v>
      </c>
      <c r="B87" t="s">
        <v>111</v>
      </c>
      <c r="C87" t="s">
        <v>157</v>
      </c>
      <c r="D87" t="s">
        <v>5</v>
      </c>
      <c r="E87">
        <v>1</v>
      </c>
      <c r="F87">
        <v>9.1999999999999993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270</v>
      </c>
      <c r="M87">
        <v>1</v>
      </c>
      <c r="N87">
        <v>0</v>
      </c>
      <c r="O87">
        <v>0</v>
      </c>
      <c r="P87">
        <v>2</v>
      </c>
      <c r="Q87">
        <v>1</v>
      </c>
      <c r="R87">
        <v>0</v>
      </c>
      <c r="S87">
        <v>0</v>
      </c>
      <c r="T87">
        <v>0</v>
      </c>
      <c r="U87">
        <v>0</v>
      </c>
      <c r="V87">
        <v>4</v>
      </c>
      <c r="W87">
        <v>2</v>
      </c>
      <c r="X87">
        <v>2</v>
      </c>
      <c r="Y87">
        <v>0</v>
      </c>
      <c r="Z87">
        <v>0</v>
      </c>
      <c r="AA87">
        <v>0</v>
      </c>
      <c r="AB87">
        <v>1</v>
      </c>
      <c r="AC87">
        <v>0</v>
      </c>
      <c r="AD87">
        <v>2</v>
      </c>
      <c r="AE87">
        <v>3</v>
      </c>
      <c r="AF87">
        <v>0</v>
      </c>
      <c r="AG87">
        <v>4</v>
      </c>
      <c r="AH87">
        <v>1</v>
      </c>
      <c r="AI87">
        <v>80</v>
      </c>
    </row>
    <row r="88" spans="1:35" x14ac:dyDescent="0.2">
      <c r="A88">
        <v>106</v>
      </c>
      <c r="B88" t="s">
        <v>35</v>
      </c>
      <c r="C88" t="s">
        <v>150</v>
      </c>
      <c r="D88" t="s">
        <v>12</v>
      </c>
      <c r="E88">
        <v>1</v>
      </c>
      <c r="F88">
        <v>20.266666666667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270</v>
      </c>
      <c r="M88">
        <v>2</v>
      </c>
      <c r="N88">
        <v>0</v>
      </c>
      <c r="O88">
        <v>0.09</v>
      </c>
      <c r="P88">
        <v>4</v>
      </c>
      <c r="Q88">
        <v>3</v>
      </c>
      <c r="R88">
        <v>2</v>
      </c>
      <c r="S88">
        <v>0</v>
      </c>
      <c r="T88">
        <v>0</v>
      </c>
      <c r="U88">
        <v>0</v>
      </c>
      <c r="V88">
        <v>2</v>
      </c>
      <c r="W88">
        <v>1</v>
      </c>
      <c r="X88">
        <v>1</v>
      </c>
      <c r="Y88">
        <v>0</v>
      </c>
      <c r="Z88">
        <v>0</v>
      </c>
      <c r="AA88">
        <v>0</v>
      </c>
      <c r="AB88">
        <v>2</v>
      </c>
      <c r="AC88">
        <v>0</v>
      </c>
      <c r="AD88">
        <v>1</v>
      </c>
      <c r="AE88">
        <v>2</v>
      </c>
      <c r="AF88">
        <v>1</v>
      </c>
      <c r="AG88">
        <v>0</v>
      </c>
      <c r="AH88">
        <v>0</v>
      </c>
      <c r="AI88" t="s">
        <v>270</v>
      </c>
    </row>
    <row r="89" spans="1:35" x14ac:dyDescent="0.2">
      <c r="A89">
        <v>54</v>
      </c>
      <c r="B89" t="s">
        <v>86</v>
      </c>
      <c r="C89" t="s">
        <v>150</v>
      </c>
      <c r="D89" t="s">
        <v>12</v>
      </c>
      <c r="E89">
        <v>1</v>
      </c>
      <c r="F89">
        <v>14.733333333333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270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</v>
      </c>
      <c r="AF89">
        <v>0</v>
      </c>
      <c r="AG89">
        <v>0</v>
      </c>
      <c r="AH89">
        <v>0</v>
      </c>
      <c r="AI89" t="s">
        <v>270</v>
      </c>
    </row>
    <row r="90" spans="1:35" x14ac:dyDescent="0.2">
      <c r="A90">
        <v>17</v>
      </c>
      <c r="B90" t="s">
        <v>98</v>
      </c>
      <c r="C90" t="s">
        <v>155</v>
      </c>
      <c r="D90" t="s">
        <v>12</v>
      </c>
      <c r="E90">
        <v>1</v>
      </c>
      <c r="F90">
        <v>14.75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270</v>
      </c>
      <c r="M90">
        <v>0</v>
      </c>
      <c r="N90" t="s">
        <v>270</v>
      </c>
      <c r="O90">
        <v>0.01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</v>
      </c>
      <c r="AE90">
        <v>1</v>
      </c>
      <c r="AF90">
        <v>1</v>
      </c>
      <c r="AG90">
        <v>0</v>
      </c>
      <c r="AH90">
        <v>0</v>
      </c>
      <c r="AI90" t="s">
        <v>270</v>
      </c>
    </row>
    <row r="91" spans="1:35" x14ac:dyDescent="0.2">
      <c r="A91">
        <v>92</v>
      </c>
      <c r="B91" t="s">
        <v>88</v>
      </c>
      <c r="C91" t="s">
        <v>157</v>
      </c>
      <c r="D91" t="s">
        <v>12</v>
      </c>
      <c r="E91">
        <v>1</v>
      </c>
      <c r="F91">
        <v>12.433333333333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270</v>
      </c>
      <c r="M91">
        <v>0</v>
      </c>
      <c r="N91" t="s">
        <v>270</v>
      </c>
      <c r="O91">
        <v>0.01</v>
      </c>
      <c r="P91">
        <v>3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 t="s">
        <v>270</v>
      </c>
    </row>
    <row r="92" spans="1:35" x14ac:dyDescent="0.2">
      <c r="A92">
        <v>20</v>
      </c>
      <c r="B92" t="s">
        <v>68</v>
      </c>
      <c r="C92" t="s">
        <v>163</v>
      </c>
      <c r="D92" t="s">
        <v>5</v>
      </c>
      <c r="E92">
        <v>1</v>
      </c>
      <c r="F92">
        <v>12.983333333333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270</v>
      </c>
      <c r="M92">
        <v>2</v>
      </c>
      <c r="N92">
        <v>0</v>
      </c>
      <c r="O92">
        <v>0.32</v>
      </c>
      <c r="P92">
        <v>3</v>
      </c>
      <c r="Q92">
        <v>3</v>
      </c>
      <c r="R92">
        <v>3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3</v>
      </c>
      <c r="AE92">
        <v>0</v>
      </c>
      <c r="AF92">
        <v>1</v>
      </c>
      <c r="AG92">
        <v>5</v>
      </c>
      <c r="AH92">
        <v>9</v>
      </c>
      <c r="AI92">
        <v>35.71</v>
      </c>
    </row>
    <row r="93" spans="1:35" x14ac:dyDescent="0.2">
      <c r="A93">
        <v>31</v>
      </c>
      <c r="B93" t="s">
        <v>51</v>
      </c>
      <c r="C93" t="s">
        <v>153</v>
      </c>
      <c r="D93" t="s">
        <v>5</v>
      </c>
      <c r="E93">
        <v>1</v>
      </c>
      <c r="F93">
        <v>12.566666666667</v>
      </c>
      <c r="G93">
        <v>1</v>
      </c>
      <c r="H93">
        <v>0</v>
      </c>
      <c r="I93">
        <v>0</v>
      </c>
      <c r="J93">
        <v>0</v>
      </c>
      <c r="K93">
        <v>1</v>
      </c>
      <c r="L93">
        <v>100</v>
      </c>
      <c r="M93">
        <v>1</v>
      </c>
      <c r="N93">
        <v>100</v>
      </c>
      <c r="O93">
        <v>0.1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5</v>
      </c>
      <c r="AH93">
        <v>4</v>
      </c>
      <c r="AI93">
        <v>55.56</v>
      </c>
    </row>
    <row r="94" spans="1:35" x14ac:dyDescent="0.2">
      <c r="A94">
        <v>75</v>
      </c>
      <c r="B94" t="s">
        <v>81</v>
      </c>
      <c r="C94" t="s">
        <v>160</v>
      </c>
      <c r="D94" t="s">
        <v>5</v>
      </c>
      <c r="E94">
        <v>1</v>
      </c>
      <c r="F94">
        <v>18.966666666666999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270</v>
      </c>
      <c r="M94">
        <v>0</v>
      </c>
      <c r="N94" t="s">
        <v>270</v>
      </c>
      <c r="O94">
        <v>0.04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1</v>
      </c>
      <c r="AH94">
        <v>10</v>
      </c>
      <c r="AI94">
        <v>9.09</v>
      </c>
    </row>
    <row r="95" spans="1:35" x14ac:dyDescent="0.2">
      <c r="A95">
        <v>76</v>
      </c>
      <c r="B95" t="s">
        <v>42</v>
      </c>
      <c r="C95" t="s">
        <v>155</v>
      </c>
      <c r="D95" t="s">
        <v>269</v>
      </c>
      <c r="E95">
        <v>1</v>
      </c>
      <c r="F95">
        <v>12.183333333333</v>
      </c>
      <c r="G95">
        <v>1</v>
      </c>
      <c r="H95">
        <v>0</v>
      </c>
      <c r="I95">
        <v>0</v>
      </c>
      <c r="J95">
        <v>0</v>
      </c>
      <c r="K95">
        <v>1</v>
      </c>
      <c r="L95">
        <v>100</v>
      </c>
      <c r="M95">
        <v>2</v>
      </c>
      <c r="N95">
        <v>50</v>
      </c>
      <c r="O95">
        <v>0.3</v>
      </c>
      <c r="P95">
        <v>4</v>
      </c>
      <c r="Q95">
        <v>4</v>
      </c>
      <c r="R95">
        <v>4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 t="s">
        <v>270</v>
      </c>
    </row>
    <row r="96" spans="1:35" x14ac:dyDescent="0.2">
      <c r="A96">
        <v>2</v>
      </c>
      <c r="B96" t="s">
        <v>61</v>
      </c>
      <c r="C96" t="s">
        <v>157</v>
      </c>
      <c r="D96" t="s">
        <v>15</v>
      </c>
      <c r="E96">
        <v>1</v>
      </c>
      <c r="F96">
        <v>49.9</v>
      </c>
    </row>
    <row r="97" spans="1:35" x14ac:dyDescent="0.2">
      <c r="A97">
        <v>97</v>
      </c>
      <c r="B97" t="s">
        <v>116</v>
      </c>
      <c r="C97" t="s">
        <v>150</v>
      </c>
      <c r="D97" t="s">
        <v>272</v>
      </c>
      <c r="E97">
        <v>1</v>
      </c>
      <c r="F97">
        <v>5.5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270</v>
      </c>
      <c r="M97">
        <v>0</v>
      </c>
      <c r="N97" t="s">
        <v>270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</row>
    <row r="98" spans="1:35" x14ac:dyDescent="0.2">
      <c r="A98">
        <v>53</v>
      </c>
      <c r="B98" t="s">
        <v>170</v>
      </c>
      <c r="C98" t="s">
        <v>157</v>
      </c>
      <c r="D98" t="s">
        <v>269</v>
      </c>
      <c r="E98">
        <v>1</v>
      </c>
      <c r="F98">
        <v>13.15</v>
      </c>
      <c r="G98">
        <v>1</v>
      </c>
      <c r="H98">
        <v>0</v>
      </c>
      <c r="I98">
        <v>0</v>
      </c>
      <c r="J98">
        <v>0</v>
      </c>
      <c r="K98">
        <v>1</v>
      </c>
      <c r="L98">
        <v>100</v>
      </c>
      <c r="M98">
        <v>1</v>
      </c>
      <c r="N98">
        <v>100</v>
      </c>
      <c r="O98">
        <v>0.1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</row>
    <row r="99" spans="1:35" x14ac:dyDescent="0.2">
      <c r="A99">
        <v>45</v>
      </c>
      <c r="B99" t="s">
        <v>54</v>
      </c>
      <c r="C99" t="s">
        <v>160</v>
      </c>
      <c r="D99" t="s">
        <v>12</v>
      </c>
      <c r="E99">
        <v>1</v>
      </c>
      <c r="F99">
        <v>17.466666666666999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270</v>
      </c>
      <c r="M99">
        <v>1</v>
      </c>
      <c r="N99">
        <v>0</v>
      </c>
      <c r="O99">
        <v>0.09</v>
      </c>
      <c r="P99">
        <v>2</v>
      </c>
      <c r="Q99">
        <v>1</v>
      </c>
      <c r="R99">
        <v>2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1</v>
      </c>
      <c r="AE99">
        <v>2</v>
      </c>
      <c r="AF99">
        <v>2</v>
      </c>
      <c r="AG99">
        <v>0</v>
      </c>
      <c r="AH99">
        <v>0</v>
      </c>
      <c r="AI99" t="s">
        <v>270</v>
      </c>
    </row>
    <row r="100" spans="1:35" x14ac:dyDescent="0.2">
      <c r="A100">
        <v>85</v>
      </c>
      <c r="B100" t="s">
        <v>60</v>
      </c>
      <c r="C100" t="s">
        <v>160</v>
      </c>
      <c r="D100" t="s">
        <v>5</v>
      </c>
      <c r="E100">
        <v>1</v>
      </c>
      <c r="F100">
        <v>13.283333333332999</v>
      </c>
      <c r="G100">
        <v>0</v>
      </c>
      <c r="H100">
        <v>1</v>
      </c>
      <c r="I100">
        <v>0</v>
      </c>
      <c r="J100">
        <v>1</v>
      </c>
      <c r="K100">
        <v>1</v>
      </c>
      <c r="L100">
        <v>50</v>
      </c>
      <c r="M100">
        <v>1</v>
      </c>
      <c r="N100">
        <v>0</v>
      </c>
      <c r="O100">
        <v>7.0000000000000007E-2</v>
      </c>
      <c r="P100">
        <v>2</v>
      </c>
      <c r="Q100">
        <v>1</v>
      </c>
      <c r="R100">
        <v>2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1</v>
      </c>
      <c r="AI100">
        <v>0</v>
      </c>
    </row>
    <row r="101" spans="1:35" x14ac:dyDescent="0.2">
      <c r="A101">
        <v>37</v>
      </c>
      <c r="B101" t="s">
        <v>22</v>
      </c>
      <c r="C101" t="s">
        <v>155</v>
      </c>
      <c r="D101" t="s">
        <v>12</v>
      </c>
      <c r="E101">
        <v>1</v>
      </c>
      <c r="F101">
        <v>17.483333333333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100</v>
      </c>
      <c r="M101">
        <v>3</v>
      </c>
      <c r="N101">
        <v>0</v>
      </c>
      <c r="O101">
        <v>0.1</v>
      </c>
      <c r="P101">
        <v>6</v>
      </c>
      <c r="Q101">
        <v>4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 t="s">
        <v>270</v>
      </c>
    </row>
    <row r="102" spans="1:35" x14ac:dyDescent="0.2">
      <c r="A102">
        <v>41</v>
      </c>
      <c r="B102" t="s">
        <v>21</v>
      </c>
      <c r="C102" t="s">
        <v>163</v>
      </c>
      <c r="D102" t="s">
        <v>269</v>
      </c>
      <c r="E102">
        <v>1</v>
      </c>
      <c r="F102">
        <v>12.683333333333</v>
      </c>
      <c r="G102">
        <v>3</v>
      </c>
      <c r="H102">
        <v>0</v>
      </c>
      <c r="I102">
        <v>0</v>
      </c>
      <c r="J102">
        <v>0</v>
      </c>
      <c r="K102">
        <v>3</v>
      </c>
      <c r="L102">
        <v>100</v>
      </c>
      <c r="M102">
        <v>3</v>
      </c>
      <c r="N102">
        <v>100</v>
      </c>
      <c r="O102">
        <v>0.45</v>
      </c>
      <c r="P102">
        <v>4</v>
      </c>
      <c r="Q102">
        <v>4</v>
      </c>
      <c r="R102">
        <v>3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 t="s">
        <v>270</v>
      </c>
    </row>
    <row r="103" spans="1:35" x14ac:dyDescent="0.2">
      <c r="A103">
        <v>36</v>
      </c>
      <c r="B103" t="s">
        <v>48</v>
      </c>
      <c r="C103" t="s">
        <v>163</v>
      </c>
      <c r="D103" t="s">
        <v>12</v>
      </c>
      <c r="E103">
        <v>1</v>
      </c>
      <c r="F103">
        <v>20.566666666667</v>
      </c>
      <c r="G103">
        <v>0</v>
      </c>
      <c r="H103">
        <v>1</v>
      </c>
      <c r="I103">
        <v>1</v>
      </c>
      <c r="J103">
        <v>0</v>
      </c>
      <c r="K103">
        <v>1</v>
      </c>
      <c r="L103">
        <v>100</v>
      </c>
      <c r="M103">
        <v>0</v>
      </c>
      <c r="N103" t="s">
        <v>270</v>
      </c>
      <c r="O103">
        <v>0.08</v>
      </c>
      <c r="P103">
        <v>3</v>
      </c>
      <c r="Q103">
        <v>3</v>
      </c>
      <c r="R103">
        <v>1</v>
      </c>
      <c r="S103">
        <v>0</v>
      </c>
      <c r="T103">
        <v>0</v>
      </c>
      <c r="U103">
        <v>1</v>
      </c>
      <c r="V103">
        <v>2</v>
      </c>
      <c r="W103">
        <v>1</v>
      </c>
      <c r="X103">
        <v>1</v>
      </c>
      <c r="Y103">
        <v>0</v>
      </c>
      <c r="Z103">
        <v>0</v>
      </c>
      <c r="AA103">
        <v>1</v>
      </c>
      <c r="AB103">
        <v>2</v>
      </c>
      <c r="AC103">
        <v>0</v>
      </c>
      <c r="AD103">
        <v>1</v>
      </c>
      <c r="AE103">
        <v>3</v>
      </c>
      <c r="AF103">
        <v>3</v>
      </c>
      <c r="AG103">
        <v>0</v>
      </c>
      <c r="AH103">
        <v>0</v>
      </c>
      <c r="AI103" t="s">
        <v>270</v>
      </c>
    </row>
    <row r="104" spans="1:35" x14ac:dyDescent="0.2">
      <c r="A104">
        <v>72</v>
      </c>
      <c r="B104" t="s">
        <v>29</v>
      </c>
      <c r="C104" t="s">
        <v>163</v>
      </c>
      <c r="D104" t="s">
        <v>5</v>
      </c>
      <c r="E104">
        <v>1</v>
      </c>
      <c r="F104">
        <v>14.566666666667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0.13</v>
      </c>
      <c r="P104">
        <v>2</v>
      </c>
      <c r="Q104">
        <v>2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1</v>
      </c>
      <c r="AF104">
        <v>0</v>
      </c>
      <c r="AG104">
        <v>0</v>
      </c>
      <c r="AH104">
        <v>0</v>
      </c>
      <c r="AI104" t="s">
        <v>270</v>
      </c>
    </row>
    <row r="105" spans="1:35" x14ac:dyDescent="0.2">
      <c r="A105">
        <v>82</v>
      </c>
      <c r="B105" t="s">
        <v>118</v>
      </c>
      <c r="C105" t="s">
        <v>160</v>
      </c>
      <c r="D105" t="s">
        <v>12</v>
      </c>
      <c r="E105">
        <v>1</v>
      </c>
      <c r="F105">
        <v>13.983333333333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100</v>
      </c>
      <c r="M105">
        <v>1</v>
      </c>
      <c r="N105">
        <v>0</v>
      </c>
      <c r="O105">
        <v>0.01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</v>
      </c>
      <c r="AE105">
        <v>4</v>
      </c>
      <c r="AF105">
        <v>1</v>
      </c>
      <c r="AG105">
        <v>0</v>
      </c>
      <c r="AH105">
        <v>0</v>
      </c>
      <c r="AI105" t="s">
        <v>270</v>
      </c>
    </row>
    <row r="106" spans="1:35" x14ac:dyDescent="0.2">
      <c r="A106">
        <v>56</v>
      </c>
      <c r="B106" t="s">
        <v>166</v>
      </c>
      <c r="C106" t="s">
        <v>157</v>
      </c>
      <c r="D106" t="s">
        <v>12</v>
      </c>
      <c r="E106">
        <v>1</v>
      </c>
      <c r="F106">
        <v>11.933333333333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270</v>
      </c>
      <c r="M106">
        <v>0</v>
      </c>
      <c r="N106" t="s">
        <v>270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0</v>
      </c>
      <c r="AI106" t="s">
        <v>270</v>
      </c>
    </row>
    <row r="107" spans="1:35" x14ac:dyDescent="0.2">
      <c r="A107">
        <v>34</v>
      </c>
      <c r="B107" t="s">
        <v>56</v>
      </c>
      <c r="C107" t="s">
        <v>150</v>
      </c>
      <c r="D107" t="s">
        <v>269</v>
      </c>
      <c r="E107">
        <v>1</v>
      </c>
      <c r="F107">
        <v>12.9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100</v>
      </c>
      <c r="M107">
        <v>2</v>
      </c>
      <c r="N107">
        <v>50</v>
      </c>
      <c r="O107">
        <v>0.61</v>
      </c>
      <c r="P107">
        <v>5</v>
      </c>
      <c r="Q107">
        <v>4</v>
      </c>
      <c r="R107">
        <v>3</v>
      </c>
      <c r="S107">
        <v>3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0</v>
      </c>
      <c r="AI107" t="s">
        <v>270</v>
      </c>
    </row>
    <row r="108" spans="1:35" x14ac:dyDescent="0.2">
      <c r="A108">
        <v>40</v>
      </c>
      <c r="B108" t="s">
        <v>6</v>
      </c>
      <c r="C108" t="s">
        <v>150</v>
      </c>
      <c r="D108" t="s">
        <v>272</v>
      </c>
      <c r="E108">
        <v>1</v>
      </c>
      <c r="F108">
        <v>13.566666666667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270</v>
      </c>
      <c r="M108">
        <v>1</v>
      </c>
      <c r="N108">
        <v>0</v>
      </c>
      <c r="O108">
        <v>0.41</v>
      </c>
      <c r="P108">
        <v>4</v>
      </c>
      <c r="Q108">
        <v>4</v>
      </c>
      <c r="R108">
        <v>2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0</v>
      </c>
      <c r="AG108">
        <v>0</v>
      </c>
      <c r="AH108">
        <v>0</v>
      </c>
      <c r="AI108" t="s">
        <v>270</v>
      </c>
    </row>
    <row r="109" spans="1:35" x14ac:dyDescent="0.2">
      <c r="A109">
        <v>14</v>
      </c>
      <c r="B109" t="s">
        <v>43</v>
      </c>
      <c r="C109" t="s">
        <v>157</v>
      </c>
      <c r="D109" t="s">
        <v>5</v>
      </c>
      <c r="E109">
        <v>1</v>
      </c>
      <c r="F109">
        <v>11.916666666667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270</v>
      </c>
      <c r="M109">
        <v>0</v>
      </c>
      <c r="N109" t="s">
        <v>270</v>
      </c>
      <c r="O109">
        <v>0.09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1</v>
      </c>
      <c r="AD109">
        <v>0</v>
      </c>
      <c r="AE109">
        <v>2</v>
      </c>
      <c r="AF109">
        <v>1</v>
      </c>
      <c r="AG109">
        <v>6</v>
      </c>
      <c r="AH109">
        <v>5</v>
      </c>
      <c r="AI109">
        <v>54.55</v>
      </c>
    </row>
    <row r="110" spans="1:35" x14ac:dyDescent="0.2">
      <c r="A110">
        <v>48</v>
      </c>
      <c r="B110" t="s">
        <v>76</v>
      </c>
      <c r="C110" t="s">
        <v>157</v>
      </c>
      <c r="D110" t="s">
        <v>12</v>
      </c>
      <c r="E110">
        <v>1</v>
      </c>
      <c r="F110">
        <v>20.083333333333002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270</v>
      </c>
      <c r="M110">
        <v>1</v>
      </c>
      <c r="N110">
        <v>0</v>
      </c>
      <c r="O110">
        <v>0.03</v>
      </c>
      <c r="P110">
        <v>4</v>
      </c>
      <c r="Q110">
        <v>2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 t="s">
        <v>270</v>
      </c>
    </row>
    <row r="111" spans="1:35" x14ac:dyDescent="0.2">
      <c r="A111">
        <v>47</v>
      </c>
      <c r="B111" t="s">
        <v>91</v>
      </c>
      <c r="C111" t="s">
        <v>157</v>
      </c>
      <c r="D111" t="s">
        <v>12</v>
      </c>
      <c r="E111">
        <v>1</v>
      </c>
      <c r="F111">
        <v>16.783333333333001</v>
      </c>
      <c r="G111">
        <v>0</v>
      </c>
      <c r="H111">
        <v>1</v>
      </c>
      <c r="I111">
        <v>0</v>
      </c>
      <c r="J111">
        <v>1</v>
      </c>
      <c r="K111">
        <v>1</v>
      </c>
      <c r="L111">
        <v>100</v>
      </c>
      <c r="M111">
        <v>0</v>
      </c>
      <c r="N111" t="s">
        <v>270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</v>
      </c>
      <c r="AF111">
        <v>1</v>
      </c>
      <c r="AG111">
        <v>0</v>
      </c>
      <c r="AH111">
        <v>0</v>
      </c>
      <c r="AI111" t="s">
        <v>270</v>
      </c>
    </row>
    <row r="112" spans="1:35" x14ac:dyDescent="0.2">
      <c r="A112">
        <v>87</v>
      </c>
      <c r="B112" t="s">
        <v>65</v>
      </c>
      <c r="C112" t="s">
        <v>157</v>
      </c>
      <c r="D112" t="s">
        <v>272</v>
      </c>
      <c r="E112">
        <v>1</v>
      </c>
      <c r="F112">
        <v>11.433333333333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270</v>
      </c>
      <c r="M112">
        <v>1</v>
      </c>
      <c r="N112">
        <v>0</v>
      </c>
      <c r="O112">
        <v>0.03</v>
      </c>
      <c r="P112">
        <v>2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</v>
      </c>
      <c r="AE112">
        <v>0</v>
      </c>
      <c r="AF112">
        <v>0</v>
      </c>
      <c r="AG112">
        <v>0</v>
      </c>
      <c r="AH112">
        <v>0</v>
      </c>
      <c r="AI112" t="s">
        <v>270</v>
      </c>
    </row>
    <row r="113" spans="1:35" x14ac:dyDescent="0.2">
      <c r="A113">
        <v>93</v>
      </c>
      <c r="B113" t="s">
        <v>175</v>
      </c>
      <c r="C113" t="s">
        <v>160</v>
      </c>
      <c r="D113" t="s">
        <v>269</v>
      </c>
      <c r="E113">
        <v>1</v>
      </c>
      <c r="F113">
        <v>5.2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270</v>
      </c>
      <c r="M113">
        <v>0</v>
      </c>
      <c r="N113" t="s">
        <v>270</v>
      </c>
      <c r="O113">
        <v>0.05</v>
      </c>
      <c r="P113">
        <v>2</v>
      </c>
      <c r="Q113">
        <v>1</v>
      </c>
      <c r="R113">
        <v>1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3</v>
      </c>
      <c r="AE113">
        <v>0</v>
      </c>
      <c r="AF113">
        <v>0</v>
      </c>
      <c r="AG113">
        <v>0</v>
      </c>
      <c r="AH113">
        <v>0</v>
      </c>
      <c r="AI113" t="s">
        <v>270</v>
      </c>
    </row>
    <row r="114" spans="1:35" x14ac:dyDescent="0.2">
      <c r="A114">
        <v>44</v>
      </c>
      <c r="B114" t="s">
        <v>25</v>
      </c>
      <c r="C114" t="s">
        <v>153</v>
      </c>
      <c r="D114" t="s">
        <v>12</v>
      </c>
      <c r="E114">
        <v>1</v>
      </c>
      <c r="F114">
        <v>16.033333333333001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50</v>
      </c>
      <c r="M114">
        <v>1</v>
      </c>
      <c r="N114">
        <v>0</v>
      </c>
      <c r="O114">
        <v>0.05</v>
      </c>
      <c r="P114">
        <v>6</v>
      </c>
      <c r="Q114">
        <v>2</v>
      </c>
      <c r="R114">
        <v>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1</v>
      </c>
      <c r="AG114">
        <v>0</v>
      </c>
      <c r="AH114">
        <v>0</v>
      </c>
      <c r="AI114" t="s">
        <v>270</v>
      </c>
    </row>
    <row r="115" spans="1:35" x14ac:dyDescent="0.2">
      <c r="A115">
        <v>96</v>
      </c>
      <c r="B115" t="s">
        <v>178</v>
      </c>
      <c r="C115" t="s">
        <v>150</v>
      </c>
      <c r="D115" t="s">
        <v>5</v>
      </c>
      <c r="E115">
        <v>1</v>
      </c>
      <c r="F115">
        <v>4.7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270</v>
      </c>
      <c r="M115">
        <v>1</v>
      </c>
      <c r="N115">
        <v>0</v>
      </c>
      <c r="O115">
        <v>7.0000000000000007E-2</v>
      </c>
      <c r="P115">
        <v>2</v>
      </c>
      <c r="Q115">
        <v>2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  <c r="AE115">
        <v>1</v>
      </c>
      <c r="AF115">
        <v>0</v>
      </c>
      <c r="AG115">
        <v>0</v>
      </c>
      <c r="AH115">
        <v>0</v>
      </c>
      <c r="AI115" t="s">
        <v>270</v>
      </c>
    </row>
  </sheetData>
  <autoFilter ref="A1:AI115" xr:uid="{C10E8023-71B0-0F4F-AA9E-9E3379B017B9}">
    <sortState xmlns:xlrd2="http://schemas.microsoft.com/office/spreadsheetml/2017/richdata2" ref="A2:AI115">
      <sortCondition ref="B1:B11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5832-6C94-4C49-A161-AC322DDD16C6}">
  <dimension ref="A1:AD184"/>
  <sheetViews>
    <sheetView workbookViewId="0">
      <selection sqref="A1:XFD1048576"/>
    </sheetView>
  </sheetViews>
  <sheetFormatPr baseColWidth="10" defaultRowHeight="16" x14ac:dyDescent="0.2"/>
  <cols>
    <col min="1" max="1" width="19.33203125" bestFit="1" customWidth="1"/>
    <col min="2" max="2" width="3.1640625" bestFit="1" customWidth="1"/>
    <col min="3" max="3" width="5.1640625" bestFit="1" customWidth="1"/>
    <col min="4" max="4" width="4" bestFit="1" customWidth="1"/>
    <col min="5" max="5" width="6.1640625" bestFit="1" customWidth="1"/>
    <col min="6" max="6" width="5.5" bestFit="1" customWidth="1"/>
    <col min="7" max="7" width="6.6640625" bestFit="1" customWidth="1"/>
    <col min="8" max="8" width="7.5" bestFit="1" customWidth="1"/>
    <col min="9" max="9" width="4.5" bestFit="1" customWidth="1"/>
    <col min="10" max="10" width="7.1640625" bestFit="1" customWidth="1"/>
    <col min="11" max="11" width="6.83203125" bestFit="1" customWidth="1"/>
    <col min="12" max="12" width="5.1640625" bestFit="1" customWidth="1"/>
    <col min="13" max="13" width="9.33203125" bestFit="1" customWidth="1"/>
    <col min="14" max="14" width="8.33203125" bestFit="1" customWidth="1"/>
    <col min="15" max="15" width="9.1640625" bestFit="1" customWidth="1"/>
    <col min="16" max="16" width="6.83203125" bestFit="1" customWidth="1"/>
    <col min="17" max="17" width="8.1640625" bestFit="1" customWidth="1"/>
    <col min="18" max="18" width="5.1640625" bestFit="1" customWidth="1"/>
    <col min="19" max="19" width="6.1640625" bestFit="1" customWidth="1"/>
    <col min="20" max="20" width="6.83203125" bestFit="1" customWidth="1"/>
    <col min="21" max="22" width="7" bestFit="1" customWidth="1"/>
    <col min="23" max="23" width="4.5" bestFit="1" customWidth="1"/>
    <col min="24" max="24" width="5.1640625" bestFit="1" customWidth="1"/>
    <col min="25" max="25" width="5" bestFit="1" customWidth="1"/>
    <col min="26" max="26" width="5.6640625" bestFit="1" customWidth="1"/>
    <col min="27" max="27" width="6.33203125" bestFit="1" customWidth="1"/>
    <col min="28" max="28" width="8.1640625" bestFit="1" customWidth="1"/>
    <col min="29" max="29" width="5.83203125" bestFit="1" customWidth="1"/>
    <col min="30" max="30" width="4.1640625" bestFit="1" customWidth="1"/>
  </cols>
  <sheetData>
    <row r="1" spans="1:30" x14ac:dyDescent="0.2">
      <c r="A1" t="s">
        <v>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A1" t="s">
        <v>146</v>
      </c>
      <c r="AB1" t="s">
        <v>147</v>
      </c>
      <c r="AC1" t="s">
        <v>148</v>
      </c>
      <c r="AD1" t="s">
        <v>149</v>
      </c>
    </row>
    <row r="2" spans="1:30" x14ac:dyDescent="0.2">
      <c r="A2" t="s">
        <v>4</v>
      </c>
      <c r="C2">
        <v>0</v>
      </c>
      <c r="D2" t="s">
        <v>5</v>
      </c>
      <c r="E2">
        <v>10000</v>
      </c>
      <c r="F2" t="s">
        <v>150</v>
      </c>
      <c r="G2" t="s">
        <v>151</v>
      </c>
      <c r="H2" s="2">
        <v>0.8125</v>
      </c>
      <c r="I2" t="s">
        <v>152</v>
      </c>
      <c r="J2" s="1">
        <v>0.495</v>
      </c>
      <c r="K2">
        <v>-98</v>
      </c>
      <c r="L2">
        <v>6.5</v>
      </c>
      <c r="M2">
        <v>3.25</v>
      </c>
      <c r="N2">
        <v>3.02</v>
      </c>
      <c r="O2">
        <v>1</v>
      </c>
      <c r="P2">
        <v>1</v>
      </c>
      <c r="Q2" s="3">
        <v>0.91874999999999996</v>
      </c>
      <c r="R2">
        <v>21</v>
      </c>
      <c r="S2">
        <v>11.37</v>
      </c>
      <c r="T2">
        <v>48.31</v>
      </c>
      <c r="U2">
        <v>25.57</v>
      </c>
      <c r="V2">
        <v>25.57</v>
      </c>
      <c r="W2">
        <v>100</v>
      </c>
      <c r="Y2">
        <v>73</v>
      </c>
      <c r="Z2">
        <v>2.6</v>
      </c>
      <c r="AA2">
        <v>0</v>
      </c>
      <c r="AB2" s="3">
        <v>0.98333333333333328</v>
      </c>
      <c r="AC2">
        <v>2.8</v>
      </c>
      <c r="AD2">
        <v>0.3</v>
      </c>
    </row>
    <row r="3" spans="1:30" x14ac:dyDescent="0.2">
      <c r="A3" t="s">
        <v>25</v>
      </c>
      <c r="C3">
        <v>0</v>
      </c>
      <c r="D3" t="s">
        <v>12</v>
      </c>
      <c r="E3">
        <v>8500</v>
      </c>
      <c r="F3" t="s">
        <v>153</v>
      </c>
      <c r="G3" t="s">
        <v>154</v>
      </c>
      <c r="H3" s="2">
        <v>0.8125</v>
      </c>
      <c r="I3" t="s">
        <v>152</v>
      </c>
      <c r="J3" s="1">
        <v>0.44</v>
      </c>
      <c r="K3">
        <v>-78.5</v>
      </c>
      <c r="L3">
        <v>6.5</v>
      </c>
      <c r="M3">
        <v>3.35</v>
      </c>
      <c r="N3">
        <v>3.25</v>
      </c>
      <c r="O3">
        <v>1</v>
      </c>
      <c r="P3">
        <v>1</v>
      </c>
      <c r="Q3" s="4">
        <v>1.1104166666666666</v>
      </c>
      <c r="R3">
        <v>16.100000000000001</v>
      </c>
      <c r="S3">
        <v>8.7100000000000009</v>
      </c>
      <c r="T3">
        <v>39.47</v>
      </c>
      <c r="U3">
        <v>22.05</v>
      </c>
      <c r="V3">
        <v>22.05</v>
      </c>
      <c r="W3">
        <v>100</v>
      </c>
      <c r="Y3">
        <v>73</v>
      </c>
      <c r="Z3">
        <v>2.6</v>
      </c>
      <c r="AA3">
        <v>0</v>
      </c>
      <c r="AB3" s="3">
        <v>0.95694444444444449</v>
      </c>
      <c r="AC3">
        <v>14.3</v>
      </c>
      <c r="AD3">
        <v>1.7</v>
      </c>
    </row>
    <row r="4" spans="1:30" x14ac:dyDescent="0.2">
      <c r="A4" t="s">
        <v>8</v>
      </c>
      <c r="C4">
        <v>0</v>
      </c>
      <c r="D4" t="s">
        <v>5</v>
      </c>
      <c r="E4">
        <v>6900</v>
      </c>
      <c r="F4" t="s">
        <v>150</v>
      </c>
      <c r="G4" t="s">
        <v>151</v>
      </c>
      <c r="H4" s="2">
        <v>0.8125</v>
      </c>
      <c r="I4" t="s">
        <v>152</v>
      </c>
      <c r="J4" s="1">
        <v>0.495</v>
      </c>
      <c r="K4">
        <v>-98</v>
      </c>
      <c r="L4">
        <v>6.5</v>
      </c>
      <c r="M4">
        <v>3.25</v>
      </c>
      <c r="N4">
        <v>3.02</v>
      </c>
      <c r="O4">
        <v>2</v>
      </c>
      <c r="P4">
        <v>1</v>
      </c>
      <c r="Q4" s="3">
        <v>0.79722222222222228</v>
      </c>
      <c r="R4">
        <v>11.6</v>
      </c>
      <c r="S4">
        <v>9.08</v>
      </c>
      <c r="T4">
        <v>35.950000000000003</v>
      </c>
      <c r="U4">
        <v>17.79</v>
      </c>
      <c r="V4">
        <v>17.79</v>
      </c>
      <c r="W4">
        <v>100</v>
      </c>
      <c r="Y4">
        <v>61</v>
      </c>
      <c r="Z4">
        <v>2.6</v>
      </c>
      <c r="AA4">
        <v>0</v>
      </c>
      <c r="AB4" s="3">
        <v>0.93263888888888891</v>
      </c>
      <c r="AC4">
        <v>6.3</v>
      </c>
      <c r="AD4">
        <v>0.9</v>
      </c>
    </row>
    <row r="5" spans="1:30" x14ac:dyDescent="0.2">
      <c r="A5" t="s">
        <v>11</v>
      </c>
      <c r="C5">
        <v>0</v>
      </c>
      <c r="D5" t="s">
        <v>12</v>
      </c>
      <c r="E5">
        <v>8000</v>
      </c>
      <c r="F5" t="s">
        <v>150</v>
      </c>
      <c r="G5" t="s">
        <v>151</v>
      </c>
      <c r="H5" s="2">
        <v>0.8125</v>
      </c>
      <c r="I5" t="s">
        <v>152</v>
      </c>
      <c r="J5" s="1">
        <v>0.495</v>
      </c>
      <c r="K5">
        <v>-98</v>
      </c>
      <c r="L5">
        <v>6.5</v>
      </c>
      <c r="M5">
        <v>3.25</v>
      </c>
      <c r="N5">
        <v>3.02</v>
      </c>
      <c r="O5">
        <v>1</v>
      </c>
      <c r="P5">
        <v>1</v>
      </c>
      <c r="Q5" s="4">
        <v>1.0458333333333334</v>
      </c>
      <c r="R5">
        <v>14</v>
      </c>
      <c r="S5">
        <v>8.69</v>
      </c>
      <c r="T5">
        <v>33.1</v>
      </c>
      <c r="U5">
        <v>15.72</v>
      </c>
      <c r="V5">
        <v>15.72</v>
      </c>
      <c r="W5">
        <v>100</v>
      </c>
      <c r="Y5">
        <v>69</v>
      </c>
      <c r="Z5">
        <v>2</v>
      </c>
      <c r="AA5">
        <v>0</v>
      </c>
      <c r="AB5" s="4">
        <v>1.1402777777777777</v>
      </c>
      <c r="AC5">
        <v>12.9</v>
      </c>
      <c r="AD5">
        <v>1.6</v>
      </c>
    </row>
    <row r="6" spans="1:30" x14ac:dyDescent="0.2">
      <c r="A6" t="s">
        <v>45</v>
      </c>
      <c r="C6">
        <v>0</v>
      </c>
      <c r="D6" t="s">
        <v>5</v>
      </c>
      <c r="E6">
        <v>7600</v>
      </c>
      <c r="F6" t="s">
        <v>155</v>
      </c>
      <c r="G6" t="s">
        <v>156</v>
      </c>
      <c r="H6" s="2">
        <v>0.79166666666666663</v>
      </c>
      <c r="I6" t="s">
        <v>152</v>
      </c>
      <c r="J6" s="1">
        <v>0.45800000000000002</v>
      </c>
      <c r="K6">
        <v>-84.5</v>
      </c>
      <c r="L6">
        <v>6.5</v>
      </c>
      <c r="M6">
        <v>3.5</v>
      </c>
      <c r="N6">
        <v>3.25</v>
      </c>
      <c r="O6">
        <v>1</v>
      </c>
      <c r="P6">
        <v>2</v>
      </c>
      <c r="Q6" s="3">
        <v>0.84722222222222221</v>
      </c>
      <c r="R6">
        <v>12.2</v>
      </c>
      <c r="S6">
        <v>7.59</v>
      </c>
      <c r="T6">
        <v>31.4</v>
      </c>
      <c r="U6">
        <v>16.22</v>
      </c>
      <c r="V6">
        <v>16.22</v>
      </c>
      <c r="W6">
        <v>100</v>
      </c>
      <c r="Y6">
        <v>69</v>
      </c>
      <c r="Z6">
        <v>2.1</v>
      </c>
      <c r="AA6">
        <v>0</v>
      </c>
      <c r="AB6" s="3">
        <v>0.71319444444444446</v>
      </c>
      <c r="AC6">
        <v>6.5</v>
      </c>
      <c r="AD6">
        <v>0.9</v>
      </c>
    </row>
    <row r="7" spans="1:30" x14ac:dyDescent="0.2">
      <c r="A7" t="s">
        <v>44</v>
      </c>
      <c r="C7">
        <v>0</v>
      </c>
      <c r="D7" t="s">
        <v>5</v>
      </c>
      <c r="E7">
        <v>6600</v>
      </c>
      <c r="F7" t="s">
        <v>157</v>
      </c>
      <c r="G7" t="s">
        <v>158</v>
      </c>
      <c r="H7" s="2">
        <v>0.79166666666666663</v>
      </c>
      <c r="I7" t="s">
        <v>159</v>
      </c>
      <c r="J7" s="1">
        <v>0.54200000000000004</v>
      </c>
      <c r="K7">
        <v>84.5</v>
      </c>
      <c r="L7">
        <v>6.5</v>
      </c>
      <c r="M7">
        <v>3.25</v>
      </c>
      <c r="N7">
        <v>3.5</v>
      </c>
      <c r="O7">
        <v>1</v>
      </c>
      <c r="P7">
        <v>1</v>
      </c>
      <c r="Q7" s="3">
        <v>0.86458333333333337</v>
      </c>
      <c r="R7">
        <v>11.9</v>
      </c>
      <c r="S7">
        <v>9.39</v>
      </c>
      <c r="T7">
        <v>34.729999999999997</v>
      </c>
      <c r="U7">
        <v>15.95</v>
      </c>
      <c r="V7">
        <v>15.95</v>
      </c>
      <c r="W7">
        <v>100</v>
      </c>
      <c r="Y7">
        <v>61</v>
      </c>
      <c r="Z7">
        <v>2.4</v>
      </c>
      <c r="AA7">
        <v>0</v>
      </c>
      <c r="AB7" s="3">
        <v>0.90208333333333335</v>
      </c>
      <c r="AC7">
        <v>11.5</v>
      </c>
      <c r="AD7">
        <v>1.7</v>
      </c>
    </row>
    <row r="8" spans="1:30" x14ac:dyDescent="0.2">
      <c r="A8" t="s">
        <v>32</v>
      </c>
      <c r="C8">
        <v>0</v>
      </c>
      <c r="D8" t="s">
        <v>10</v>
      </c>
      <c r="E8">
        <v>7500</v>
      </c>
      <c r="F8" t="s">
        <v>160</v>
      </c>
      <c r="G8" t="s">
        <v>161</v>
      </c>
      <c r="H8" s="2">
        <v>0.8125</v>
      </c>
      <c r="I8" t="s">
        <v>159</v>
      </c>
      <c r="J8" s="1">
        <v>0.505</v>
      </c>
      <c r="K8">
        <v>98</v>
      </c>
      <c r="L8">
        <v>6.5</v>
      </c>
      <c r="M8">
        <v>3.02</v>
      </c>
      <c r="N8">
        <v>3.25</v>
      </c>
      <c r="O8">
        <v>2</v>
      </c>
      <c r="P8">
        <v>1</v>
      </c>
      <c r="Q8" s="3">
        <v>0.72083333333333333</v>
      </c>
      <c r="R8">
        <v>13.3</v>
      </c>
      <c r="S8">
        <v>9.25</v>
      </c>
      <c r="T8">
        <v>33.22</v>
      </c>
      <c r="U8">
        <v>14.72</v>
      </c>
      <c r="V8">
        <v>14.72</v>
      </c>
      <c r="W8">
        <v>100</v>
      </c>
      <c r="Y8">
        <v>65</v>
      </c>
      <c r="Z8">
        <v>2</v>
      </c>
      <c r="AA8">
        <v>0</v>
      </c>
      <c r="AB8" s="3">
        <v>0.6333333333333333</v>
      </c>
      <c r="AC8">
        <v>13</v>
      </c>
      <c r="AD8">
        <v>1.7</v>
      </c>
    </row>
    <row r="9" spans="1:30" x14ac:dyDescent="0.2">
      <c r="A9" t="s">
        <v>9</v>
      </c>
      <c r="C9">
        <v>0</v>
      </c>
      <c r="D9" t="s">
        <v>10</v>
      </c>
      <c r="E9">
        <v>7000</v>
      </c>
      <c r="F9" t="s">
        <v>150</v>
      </c>
      <c r="G9" t="s">
        <v>151</v>
      </c>
      <c r="H9" s="2">
        <v>0.8125</v>
      </c>
      <c r="I9" t="s">
        <v>152</v>
      </c>
      <c r="J9" s="1">
        <v>0.495</v>
      </c>
      <c r="K9">
        <v>-98</v>
      </c>
      <c r="L9">
        <v>6.5</v>
      </c>
      <c r="M9">
        <v>3.25</v>
      </c>
      <c r="N9">
        <v>3.02</v>
      </c>
      <c r="O9">
        <v>1</v>
      </c>
      <c r="P9">
        <v>1</v>
      </c>
      <c r="Q9" s="3">
        <v>0.87291666666666667</v>
      </c>
      <c r="R9">
        <v>12.2</v>
      </c>
      <c r="S9">
        <v>8.41</v>
      </c>
      <c r="T9">
        <v>30.57</v>
      </c>
      <c r="U9">
        <v>13.75</v>
      </c>
      <c r="V9">
        <v>13.75</v>
      </c>
      <c r="W9">
        <v>100</v>
      </c>
      <c r="Y9">
        <v>66</v>
      </c>
      <c r="Z9">
        <v>2</v>
      </c>
      <c r="AA9">
        <v>0</v>
      </c>
      <c r="AB9" s="3">
        <v>0.94236111111111109</v>
      </c>
      <c r="AC9">
        <v>0</v>
      </c>
    </row>
    <row r="10" spans="1:30" x14ac:dyDescent="0.2">
      <c r="A10" t="s">
        <v>20</v>
      </c>
      <c r="C10">
        <v>0</v>
      </c>
      <c r="D10" t="s">
        <v>10</v>
      </c>
      <c r="E10">
        <v>6700</v>
      </c>
      <c r="F10" t="s">
        <v>153</v>
      </c>
      <c r="G10" t="s">
        <v>154</v>
      </c>
      <c r="H10" s="2">
        <v>0.8125</v>
      </c>
      <c r="I10" t="s">
        <v>152</v>
      </c>
      <c r="J10" s="1">
        <v>0.44</v>
      </c>
      <c r="K10">
        <v>-78.5</v>
      </c>
      <c r="L10">
        <v>6.5</v>
      </c>
      <c r="M10">
        <v>3.35</v>
      </c>
      <c r="N10">
        <v>3.25</v>
      </c>
      <c r="O10">
        <v>1</v>
      </c>
      <c r="P10">
        <v>1</v>
      </c>
      <c r="Q10" s="3">
        <v>0.78333333333333333</v>
      </c>
      <c r="R10">
        <v>11.9</v>
      </c>
      <c r="S10">
        <v>7.99</v>
      </c>
      <c r="T10">
        <v>29.4</v>
      </c>
      <c r="U10">
        <v>13.42</v>
      </c>
      <c r="V10">
        <v>13.42</v>
      </c>
      <c r="W10">
        <v>100</v>
      </c>
      <c r="Y10">
        <v>66</v>
      </c>
      <c r="Z10">
        <v>2</v>
      </c>
      <c r="AA10">
        <v>0</v>
      </c>
      <c r="AB10" s="3">
        <v>0.74097222222222225</v>
      </c>
      <c r="AC10">
        <v>13</v>
      </c>
      <c r="AD10">
        <v>1.9</v>
      </c>
    </row>
    <row r="11" spans="1:30" x14ac:dyDescent="0.2">
      <c r="A11" t="s">
        <v>49</v>
      </c>
      <c r="C11">
        <v>0</v>
      </c>
      <c r="D11" t="s">
        <v>12</v>
      </c>
      <c r="E11">
        <v>6300</v>
      </c>
      <c r="F11" t="s">
        <v>160</v>
      </c>
      <c r="G11" t="s">
        <v>161</v>
      </c>
      <c r="H11" s="2">
        <v>0.8125</v>
      </c>
      <c r="I11" t="s">
        <v>159</v>
      </c>
      <c r="J11" s="1">
        <v>0.505</v>
      </c>
      <c r="K11">
        <v>98</v>
      </c>
      <c r="L11">
        <v>6.5</v>
      </c>
      <c r="M11">
        <v>3.02</v>
      </c>
      <c r="N11">
        <v>3.25</v>
      </c>
      <c r="O11">
        <v>1</v>
      </c>
      <c r="P11">
        <v>1</v>
      </c>
      <c r="Q11" s="4">
        <v>1.0354166666666667</v>
      </c>
      <c r="R11">
        <v>11.7</v>
      </c>
      <c r="S11">
        <v>7.83</v>
      </c>
      <c r="T11">
        <v>30</v>
      </c>
      <c r="U11">
        <v>14.34</v>
      </c>
      <c r="V11">
        <v>14.34</v>
      </c>
      <c r="W11">
        <v>100</v>
      </c>
      <c r="Y11">
        <v>67</v>
      </c>
      <c r="Z11">
        <v>2.2999999999999998</v>
      </c>
      <c r="AA11">
        <v>0</v>
      </c>
      <c r="AB11" s="4">
        <v>1.0298611111111111</v>
      </c>
      <c r="AC11">
        <v>9.1</v>
      </c>
      <c r="AD11">
        <v>1.4</v>
      </c>
    </row>
    <row r="12" spans="1:30" x14ac:dyDescent="0.2">
      <c r="A12" t="s">
        <v>60</v>
      </c>
      <c r="C12">
        <v>0</v>
      </c>
      <c r="D12" t="s">
        <v>5</v>
      </c>
      <c r="E12">
        <v>6800</v>
      </c>
      <c r="F12" t="s">
        <v>160</v>
      </c>
      <c r="G12" t="s">
        <v>161</v>
      </c>
      <c r="H12" s="2">
        <v>0.8125</v>
      </c>
      <c r="I12" t="s">
        <v>159</v>
      </c>
      <c r="J12" s="1">
        <v>0.505</v>
      </c>
      <c r="K12">
        <v>98</v>
      </c>
      <c r="L12">
        <v>6.5</v>
      </c>
      <c r="M12">
        <v>3.02</v>
      </c>
      <c r="N12">
        <v>3.25</v>
      </c>
      <c r="O12">
        <v>1</v>
      </c>
      <c r="P12">
        <v>1</v>
      </c>
      <c r="Q12" s="3">
        <v>0.8520833333333333</v>
      </c>
      <c r="R12">
        <v>11.6</v>
      </c>
      <c r="S12">
        <v>8.67</v>
      </c>
      <c r="T12">
        <v>30.53</v>
      </c>
      <c r="U12">
        <v>13.19</v>
      </c>
      <c r="V12">
        <v>13.19</v>
      </c>
      <c r="W12">
        <v>100</v>
      </c>
      <c r="Y12">
        <v>63</v>
      </c>
      <c r="Z12">
        <v>1.9</v>
      </c>
      <c r="AA12">
        <v>0</v>
      </c>
      <c r="AB12" s="3">
        <v>0.76944444444444449</v>
      </c>
      <c r="AC12">
        <v>18</v>
      </c>
      <c r="AD12">
        <v>2.6</v>
      </c>
    </row>
    <row r="13" spans="1:30" x14ac:dyDescent="0.2">
      <c r="A13" t="s">
        <v>16</v>
      </c>
      <c r="C13">
        <v>0</v>
      </c>
      <c r="D13" t="s">
        <v>15</v>
      </c>
      <c r="E13">
        <v>8300</v>
      </c>
      <c r="F13" t="s">
        <v>150</v>
      </c>
      <c r="G13" t="s">
        <v>151</v>
      </c>
      <c r="H13" s="2">
        <v>0.8125</v>
      </c>
      <c r="I13" t="s">
        <v>152</v>
      </c>
      <c r="J13" s="1">
        <v>0.495</v>
      </c>
      <c r="K13">
        <v>-98</v>
      </c>
      <c r="L13">
        <v>6.5</v>
      </c>
      <c r="M13">
        <v>3.25</v>
      </c>
      <c r="N13">
        <v>3.02</v>
      </c>
      <c r="O13" t="s">
        <v>162</v>
      </c>
      <c r="Q13" s="4">
        <v>2.4236111111111112</v>
      </c>
      <c r="R13">
        <v>14.4</v>
      </c>
      <c r="S13">
        <v>10.58</v>
      </c>
      <c r="T13">
        <v>32.51</v>
      </c>
      <c r="U13">
        <v>11.35</v>
      </c>
      <c r="V13">
        <v>11.35</v>
      </c>
      <c r="W13">
        <v>100</v>
      </c>
      <c r="Y13">
        <v>63</v>
      </c>
      <c r="Z13">
        <v>1.4</v>
      </c>
      <c r="AA13">
        <v>0</v>
      </c>
      <c r="AB13" s="4">
        <v>2.4034722222222222</v>
      </c>
      <c r="AC13">
        <v>2.1</v>
      </c>
      <c r="AD13">
        <v>0.3</v>
      </c>
    </row>
    <row r="14" spans="1:30" x14ac:dyDescent="0.2">
      <c r="A14" t="s">
        <v>28</v>
      </c>
      <c r="C14">
        <v>0</v>
      </c>
      <c r="D14" t="s">
        <v>5</v>
      </c>
      <c r="E14">
        <v>6500</v>
      </c>
      <c r="F14" t="s">
        <v>155</v>
      </c>
      <c r="G14" t="s">
        <v>156</v>
      </c>
      <c r="H14" s="2">
        <v>0.79166666666666663</v>
      </c>
      <c r="I14" t="s">
        <v>152</v>
      </c>
      <c r="J14" s="1">
        <v>0.45800000000000002</v>
      </c>
      <c r="K14">
        <v>-84.5</v>
      </c>
      <c r="L14">
        <v>6.5</v>
      </c>
      <c r="M14">
        <v>3.5</v>
      </c>
      <c r="N14">
        <v>3.25</v>
      </c>
      <c r="O14">
        <v>2</v>
      </c>
      <c r="P14">
        <v>1</v>
      </c>
      <c r="Q14" s="3">
        <v>0.86111111111111116</v>
      </c>
      <c r="R14">
        <v>9.4</v>
      </c>
      <c r="S14">
        <v>6.09</v>
      </c>
      <c r="T14">
        <v>24.2</v>
      </c>
      <c r="U14">
        <v>12.02</v>
      </c>
      <c r="V14">
        <v>12.02</v>
      </c>
      <c r="W14">
        <v>100</v>
      </c>
      <c r="Y14">
        <v>68</v>
      </c>
      <c r="Z14">
        <v>1.8</v>
      </c>
      <c r="AA14">
        <v>0</v>
      </c>
      <c r="AB14" s="3">
        <v>0.83958333333333335</v>
      </c>
      <c r="AC14">
        <v>25.9</v>
      </c>
      <c r="AD14">
        <v>4</v>
      </c>
    </row>
    <row r="15" spans="1:30" x14ac:dyDescent="0.2">
      <c r="A15" t="s">
        <v>26</v>
      </c>
      <c r="C15">
        <v>0</v>
      </c>
      <c r="D15" t="s">
        <v>5</v>
      </c>
      <c r="E15">
        <v>6100</v>
      </c>
      <c r="F15" t="s">
        <v>153</v>
      </c>
      <c r="G15" t="s">
        <v>154</v>
      </c>
      <c r="H15" s="2">
        <v>0.8125</v>
      </c>
      <c r="I15" t="s">
        <v>152</v>
      </c>
      <c r="J15" s="1">
        <v>0.44</v>
      </c>
      <c r="K15">
        <v>-78.5</v>
      </c>
      <c r="L15">
        <v>6.5</v>
      </c>
      <c r="M15">
        <v>3.35</v>
      </c>
      <c r="N15">
        <v>3.25</v>
      </c>
      <c r="O15">
        <v>1</v>
      </c>
      <c r="P15">
        <v>1</v>
      </c>
      <c r="Q15" s="3">
        <v>0.78194444444444444</v>
      </c>
      <c r="R15">
        <v>9.6</v>
      </c>
      <c r="S15">
        <v>7.06</v>
      </c>
      <c r="T15">
        <v>25.82</v>
      </c>
      <c r="U15">
        <v>11.7</v>
      </c>
      <c r="V15">
        <v>11.7</v>
      </c>
      <c r="W15">
        <v>100</v>
      </c>
      <c r="Y15">
        <v>63</v>
      </c>
      <c r="Z15">
        <v>1.9</v>
      </c>
      <c r="AA15">
        <v>0</v>
      </c>
      <c r="AB15" s="3">
        <v>0.71458333333333335</v>
      </c>
      <c r="AC15">
        <v>11</v>
      </c>
      <c r="AD15">
        <v>1.8</v>
      </c>
    </row>
    <row r="16" spans="1:30" x14ac:dyDescent="0.2">
      <c r="A16" t="s">
        <v>39</v>
      </c>
      <c r="C16">
        <v>0</v>
      </c>
      <c r="D16" t="s">
        <v>12</v>
      </c>
      <c r="E16">
        <v>6000</v>
      </c>
      <c r="F16" t="s">
        <v>155</v>
      </c>
      <c r="G16" t="s">
        <v>156</v>
      </c>
      <c r="H16" s="2">
        <v>0.79166666666666663</v>
      </c>
      <c r="I16" t="s">
        <v>152</v>
      </c>
      <c r="J16" s="1">
        <v>0.45800000000000002</v>
      </c>
      <c r="K16">
        <v>-84.5</v>
      </c>
      <c r="L16">
        <v>6.5</v>
      </c>
      <c r="M16">
        <v>3.5</v>
      </c>
      <c r="N16">
        <v>3.25</v>
      </c>
      <c r="O16">
        <v>1</v>
      </c>
      <c r="P16">
        <v>2</v>
      </c>
      <c r="Q16" s="3">
        <v>0.99444444444444446</v>
      </c>
      <c r="R16">
        <v>9.6</v>
      </c>
      <c r="S16">
        <v>6.36</v>
      </c>
      <c r="T16">
        <v>24.82</v>
      </c>
      <c r="U16">
        <v>12.1</v>
      </c>
      <c r="V16">
        <v>12.1</v>
      </c>
      <c r="W16">
        <v>100</v>
      </c>
      <c r="Y16">
        <v>67</v>
      </c>
      <c r="Z16">
        <v>2</v>
      </c>
      <c r="AA16">
        <v>0</v>
      </c>
      <c r="AB16" s="4">
        <v>1.0249999999999999</v>
      </c>
      <c r="AC16">
        <v>16.399999999999999</v>
      </c>
      <c r="AD16">
        <v>2.7</v>
      </c>
    </row>
    <row r="17" spans="1:30" x14ac:dyDescent="0.2">
      <c r="A17" t="s">
        <v>21</v>
      </c>
      <c r="C17">
        <v>0</v>
      </c>
      <c r="D17" t="s">
        <v>10</v>
      </c>
      <c r="E17">
        <v>5500</v>
      </c>
      <c r="F17" t="s">
        <v>163</v>
      </c>
      <c r="G17" t="s">
        <v>164</v>
      </c>
      <c r="H17" s="2">
        <v>0.8125</v>
      </c>
      <c r="I17" t="s">
        <v>159</v>
      </c>
      <c r="J17" s="1">
        <v>0.56000000000000005</v>
      </c>
      <c r="K17">
        <v>78.5</v>
      </c>
      <c r="L17">
        <v>6.5</v>
      </c>
      <c r="M17">
        <v>3.25</v>
      </c>
      <c r="N17">
        <v>3.35</v>
      </c>
      <c r="O17">
        <v>1</v>
      </c>
      <c r="P17">
        <v>1</v>
      </c>
      <c r="Q17" s="3">
        <v>0.78194444444444444</v>
      </c>
      <c r="R17">
        <v>10.4</v>
      </c>
      <c r="S17">
        <v>7.17</v>
      </c>
      <c r="T17">
        <v>26.97</v>
      </c>
      <c r="U17">
        <v>12.63</v>
      </c>
      <c r="V17">
        <v>12.63</v>
      </c>
      <c r="W17">
        <v>100</v>
      </c>
      <c r="Y17">
        <v>66</v>
      </c>
      <c r="Z17">
        <v>2.2999999999999998</v>
      </c>
      <c r="AA17">
        <v>0</v>
      </c>
      <c r="AB17" s="3">
        <v>0.89583333333333337</v>
      </c>
      <c r="AC17">
        <v>37.299999999999997</v>
      </c>
      <c r="AD17">
        <v>6.8</v>
      </c>
    </row>
    <row r="18" spans="1:30" x14ac:dyDescent="0.2">
      <c r="A18" t="s">
        <v>17</v>
      </c>
      <c r="C18">
        <v>0</v>
      </c>
      <c r="D18" t="s">
        <v>10</v>
      </c>
      <c r="E18">
        <v>4900</v>
      </c>
      <c r="F18" t="s">
        <v>163</v>
      </c>
      <c r="G18" t="s">
        <v>164</v>
      </c>
      <c r="H18" s="2">
        <v>0.8125</v>
      </c>
      <c r="I18" t="s">
        <v>159</v>
      </c>
      <c r="J18" s="1">
        <v>0.56000000000000005</v>
      </c>
      <c r="K18">
        <v>78.5</v>
      </c>
      <c r="L18">
        <v>6.5</v>
      </c>
      <c r="M18">
        <v>3.25</v>
      </c>
      <c r="N18">
        <v>3.35</v>
      </c>
      <c r="O18">
        <v>2</v>
      </c>
      <c r="P18">
        <v>2</v>
      </c>
      <c r="Q18" s="3">
        <v>0.68333333333333335</v>
      </c>
      <c r="R18">
        <v>9.4</v>
      </c>
      <c r="S18">
        <v>9.48</v>
      </c>
      <c r="T18">
        <v>31.41</v>
      </c>
      <c r="U18">
        <v>12.45</v>
      </c>
      <c r="V18">
        <v>12.45</v>
      </c>
      <c r="W18">
        <v>100</v>
      </c>
      <c r="Y18">
        <v>50</v>
      </c>
      <c r="Z18">
        <v>2.5</v>
      </c>
      <c r="AA18">
        <v>0</v>
      </c>
      <c r="AB18" s="3">
        <v>0.75555555555555554</v>
      </c>
      <c r="AC18">
        <v>4.3</v>
      </c>
      <c r="AD18">
        <v>0.9</v>
      </c>
    </row>
    <row r="19" spans="1:30" x14ac:dyDescent="0.2">
      <c r="A19" t="s">
        <v>18</v>
      </c>
      <c r="C19">
        <v>0</v>
      </c>
      <c r="D19" t="s">
        <v>15</v>
      </c>
      <c r="E19">
        <v>8100</v>
      </c>
      <c r="F19" t="s">
        <v>155</v>
      </c>
      <c r="G19" t="s">
        <v>156</v>
      </c>
      <c r="H19" s="2">
        <v>0.79166666666666663</v>
      </c>
      <c r="I19" t="s">
        <v>152</v>
      </c>
      <c r="J19" s="1">
        <v>0.45800000000000002</v>
      </c>
      <c r="K19">
        <v>-84.5</v>
      </c>
      <c r="L19">
        <v>6.5</v>
      </c>
      <c r="M19">
        <v>3.5</v>
      </c>
      <c r="N19">
        <v>3.25</v>
      </c>
      <c r="O19" t="s">
        <v>162</v>
      </c>
      <c r="Q19" s="4">
        <v>2.4826388888888888</v>
      </c>
      <c r="R19">
        <v>10.5</v>
      </c>
      <c r="S19">
        <v>10.17</v>
      </c>
      <c r="T19">
        <v>30.45</v>
      </c>
      <c r="U19">
        <v>10.11</v>
      </c>
      <c r="V19">
        <v>10.11</v>
      </c>
      <c r="W19">
        <v>100</v>
      </c>
      <c r="Y19">
        <v>52</v>
      </c>
      <c r="Z19">
        <v>1.2</v>
      </c>
      <c r="AA19">
        <v>0</v>
      </c>
      <c r="AB19" s="4">
        <v>2.473611111111111</v>
      </c>
      <c r="AC19">
        <v>8.8000000000000007</v>
      </c>
      <c r="AD19">
        <v>1.1000000000000001</v>
      </c>
    </row>
    <row r="20" spans="1:30" x14ac:dyDescent="0.2">
      <c r="A20" t="s">
        <v>14</v>
      </c>
      <c r="C20">
        <v>0</v>
      </c>
      <c r="D20" t="s">
        <v>15</v>
      </c>
      <c r="E20">
        <v>7300</v>
      </c>
      <c r="F20" t="s">
        <v>163</v>
      </c>
      <c r="G20" t="s">
        <v>164</v>
      </c>
      <c r="H20" s="2">
        <v>0.8125</v>
      </c>
      <c r="I20" t="s">
        <v>159</v>
      </c>
      <c r="J20" s="1">
        <v>0.56000000000000005</v>
      </c>
      <c r="K20">
        <v>78.5</v>
      </c>
      <c r="L20">
        <v>6.5</v>
      </c>
      <c r="M20">
        <v>3.25</v>
      </c>
      <c r="N20">
        <v>3.35</v>
      </c>
      <c r="O20" t="s">
        <v>162</v>
      </c>
      <c r="Q20" s="4">
        <v>2.4388888888888891</v>
      </c>
      <c r="R20">
        <v>11.3</v>
      </c>
      <c r="S20">
        <v>7.64</v>
      </c>
      <c r="T20">
        <v>25.56</v>
      </c>
      <c r="U20">
        <v>10.28</v>
      </c>
      <c r="V20">
        <v>10.28</v>
      </c>
      <c r="W20">
        <v>100</v>
      </c>
      <c r="Y20">
        <v>66</v>
      </c>
      <c r="Z20">
        <v>1.4</v>
      </c>
      <c r="AA20">
        <v>0</v>
      </c>
      <c r="AB20" s="4">
        <v>2.3847222222222224</v>
      </c>
      <c r="AC20">
        <v>4.2</v>
      </c>
      <c r="AD20">
        <v>0.6</v>
      </c>
    </row>
    <row r="21" spans="1:30" x14ac:dyDescent="0.2">
      <c r="A21" t="s">
        <v>27</v>
      </c>
      <c r="C21">
        <v>0</v>
      </c>
      <c r="D21" t="s">
        <v>10</v>
      </c>
      <c r="E21">
        <v>5800</v>
      </c>
      <c r="F21" t="s">
        <v>157</v>
      </c>
      <c r="G21" t="s">
        <v>158</v>
      </c>
      <c r="H21" s="2">
        <v>0.79166666666666663</v>
      </c>
      <c r="I21" t="s">
        <v>159</v>
      </c>
      <c r="J21" s="1">
        <v>0.54200000000000004</v>
      </c>
      <c r="K21">
        <v>84.5</v>
      </c>
      <c r="L21">
        <v>6.5</v>
      </c>
      <c r="M21">
        <v>3.25</v>
      </c>
      <c r="N21">
        <v>3.5</v>
      </c>
      <c r="O21">
        <v>1</v>
      </c>
      <c r="P21">
        <v>1</v>
      </c>
      <c r="Q21" s="3">
        <v>0.85833333333333328</v>
      </c>
      <c r="R21">
        <v>9.1999999999999993</v>
      </c>
      <c r="S21">
        <v>7.18</v>
      </c>
      <c r="T21">
        <v>25.46</v>
      </c>
      <c r="U21">
        <v>11.1</v>
      </c>
      <c r="V21">
        <v>11.1</v>
      </c>
      <c r="W21">
        <v>100</v>
      </c>
      <c r="Y21">
        <v>61</v>
      </c>
      <c r="Z21">
        <v>1.9</v>
      </c>
      <c r="AA21">
        <v>0</v>
      </c>
      <c r="AB21" s="3">
        <v>0.82361111111111107</v>
      </c>
      <c r="AC21">
        <v>6.5</v>
      </c>
      <c r="AD21">
        <v>1.1000000000000001</v>
      </c>
    </row>
    <row r="22" spans="1:30" x14ac:dyDescent="0.2">
      <c r="A22" t="s">
        <v>43</v>
      </c>
      <c r="C22">
        <v>0</v>
      </c>
      <c r="D22" t="s">
        <v>5</v>
      </c>
      <c r="E22">
        <v>5600</v>
      </c>
      <c r="F22" t="s">
        <v>157</v>
      </c>
      <c r="G22" t="s">
        <v>158</v>
      </c>
      <c r="H22" s="2">
        <v>0.79166666666666663</v>
      </c>
      <c r="I22" t="s">
        <v>159</v>
      </c>
      <c r="J22" s="1">
        <v>0.54200000000000004</v>
      </c>
      <c r="K22">
        <v>84.5</v>
      </c>
      <c r="L22">
        <v>6.5</v>
      </c>
      <c r="M22">
        <v>3.25</v>
      </c>
      <c r="N22">
        <v>3.5</v>
      </c>
      <c r="O22">
        <v>2</v>
      </c>
      <c r="P22">
        <v>1</v>
      </c>
      <c r="Q22" s="3">
        <v>0.87569444444444444</v>
      </c>
      <c r="R22">
        <v>9</v>
      </c>
      <c r="S22">
        <v>6.17</v>
      </c>
      <c r="T22">
        <v>23.95</v>
      </c>
      <c r="U22">
        <v>11.61</v>
      </c>
      <c r="V22">
        <v>11.61</v>
      </c>
      <c r="W22">
        <v>100</v>
      </c>
      <c r="Y22">
        <v>66</v>
      </c>
      <c r="Z22">
        <v>2.1</v>
      </c>
      <c r="AA22">
        <v>0</v>
      </c>
      <c r="AB22" s="3">
        <v>0.65972222222222221</v>
      </c>
      <c r="AC22">
        <v>1.3</v>
      </c>
      <c r="AD22">
        <v>0.2</v>
      </c>
    </row>
    <row r="23" spans="1:30" x14ac:dyDescent="0.2">
      <c r="A23" t="s">
        <v>29</v>
      </c>
      <c r="C23">
        <v>0</v>
      </c>
      <c r="D23" t="s">
        <v>10</v>
      </c>
      <c r="E23">
        <v>5300</v>
      </c>
      <c r="F23" t="s">
        <v>163</v>
      </c>
      <c r="G23" t="s">
        <v>164</v>
      </c>
      <c r="H23" s="2">
        <v>0.8125</v>
      </c>
      <c r="I23" t="s">
        <v>159</v>
      </c>
      <c r="J23" s="1">
        <v>0.56000000000000005</v>
      </c>
      <c r="K23">
        <v>78.5</v>
      </c>
      <c r="L23">
        <v>6.5</v>
      </c>
      <c r="M23">
        <v>3.25</v>
      </c>
      <c r="N23">
        <v>3.35</v>
      </c>
      <c r="O23">
        <v>1</v>
      </c>
      <c r="P23">
        <v>1</v>
      </c>
      <c r="Q23" s="3">
        <v>0.77777777777777779</v>
      </c>
      <c r="R23">
        <v>9.6999999999999993</v>
      </c>
      <c r="S23">
        <v>8.4</v>
      </c>
      <c r="T23">
        <v>28.08</v>
      </c>
      <c r="U23">
        <v>11.28</v>
      </c>
      <c r="V23">
        <v>11.28</v>
      </c>
      <c r="W23">
        <v>100</v>
      </c>
      <c r="Y23">
        <v>57</v>
      </c>
      <c r="Z23">
        <v>2.1</v>
      </c>
      <c r="AA23">
        <v>0</v>
      </c>
      <c r="AB23" s="3">
        <v>0.88888888888888884</v>
      </c>
      <c r="AC23">
        <v>12</v>
      </c>
      <c r="AD23">
        <v>2.2999999999999998</v>
      </c>
    </row>
    <row r="24" spans="1:30" x14ac:dyDescent="0.2">
      <c r="A24" t="s">
        <v>31</v>
      </c>
      <c r="C24">
        <v>0</v>
      </c>
      <c r="D24" t="s">
        <v>5</v>
      </c>
      <c r="E24">
        <v>5200</v>
      </c>
      <c r="F24" t="s">
        <v>160</v>
      </c>
      <c r="G24" t="s">
        <v>161</v>
      </c>
      <c r="H24" s="2">
        <v>0.8125</v>
      </c>
      <c r="I24" t="s">
        <v>159</v>
      </c>
      <c r="J24" s="1">
        <v>0.505</v>
      </c>
      <c r="K24">
        <v>98</v>
      </c>
      <c r="L24">
        <v>6.5</v>
      </c>
      <c r="M24">
        <v>3.02</v>
      </c>
      <c r="N24">
        <v>3.25</v>
      </c>
      <c r="O24">
        <v>2</v>
      </c>
      <c r="P24">
        <v>1</v>
      </c>
      <c r="Q24" s="3">
        <v>0.71458333333333335</v>
      </c>
      <c r="R24">
        <v>9.3000000000000007</v>
      </c>
      <c r="S24">
        <v>8.16</v>
      </c>
      <c r="T24">
        <v>27.31</v>
      </c>
      <c r="U24">
        <v>10.99</v>
      </c>
      <c r="V24">
        <v>10.99</v>
      </c>
      <c r="W24">
        <v>100</v>
      </c>
      <c r="Y24">
        <v>56</v>
      </c>
      <c r="Z24">
        <v>2.1</v>
      </c>
      <c r="AA24">
        <v>0</v>
      </c>
      <c r="AB24" s="3">
        <v>0.61388888888888893</v>
      </c>
      <c r="AC24">
        <v>1.5</v>
      </c>
      <c r="AD24">
        <v>0.3</v>
      </c>
    </row>
    <row r="25" spans="1:30" x14ac:dyDescent="0.2">
      <c r="A25" t="s">
        <v>56</v>
      </c>
      <c r="C25">
        <v>0</v>
      </c>
      <c r="D25" t="s">
        <v>10</v>
      </c>
      <c r="E25">
        <v>5100</v>
      </c>
      <c r="F25" t="s">
        <v>150</v>
      </c>
      <c r="G25" t="s">
        <v>151</v>
      </c>
      <c r="H25" s="2">
        <v>0.8125</v>
      </c>
      <c r="I25" t="s">
        <v>152</v>
      </c>
      <c r="J25" s="1">
        <v>0.495</v>
      </c>
      <c r="K25">
        <v>-98</v>
      </c>
      <c r="L25">
        <v>6.5</v>
      </c>
      <c r="M25">
        <v>3.25</v>
      </c>
      <c r="N25">
        <v>3.02</v>
      </c>
      <c r="O25">
        <v>2</v>
      </c>
      <c r="P25">
        <v>2</v>
      </c>
      <c r="Q25" s="3">
        <v>0.74236111111111114</v>
      </c>
      <c r="R25">
        <v>8.8000000000000007</v>
      </c>
      <c r="S25">
        <v>8.73</v>
      </c>
      <c r="T25">
        <v>27.64</v>
      </c>
      <c r="U25">
        <v>10.18</v>
      </c>
      <c r="V25">
        <v>10.18</v>
      </c>
      <c r="W25">
        <v>100</v>
      </c>
      <c r="Y25">
        <v>50</v>
      </c>
      <c r="Z25">
        <v>2</v>
      </c>
      <c r="AA25">
        <v>0</v>
      </c>
      <c r="AB25" s="3">
        <v>0.66597222222222219</v>
      </c>
      <c r="AC25">
        <v>12.8</v>
      </c>
      <c r="AD25">
        <v>2.5</v>
      </c>
    </row>
    <row r="26" spans="1:30" x14ac:dyDescent="0.2">
      <c r="A26" t="s">
        <v>53</v>
      </c>
      <c r="C26">
        <v>0</v>
      </c>
      <c r="D26" t="s">
        <v>10</v>
      </c>
      <c r="E26">
        <v>5000</v>
      </c>
      <c r="F26" t="s">
        <v>160</v>
      </c>
      <c r="G26" t="s">
        <v>161</v>
      </c>
      <c r="H26" s="2">
        <v>0.8125</v>
      </c>
      <c r="I26" t="s">
        <v>159</v>
      </c>
      <c r="J26" s="1">
        <v>0.505</v>
      </c>
      <c r="K26">
        <v>98</v>
      </c>
      <c r="L26">
        <v>6.5</v>
      </c>
      <c r="M26">
        <v>3.02</v>
      </c>
      <c r="N26">
        <v>3.25</v>
      </c>
      <c r="O26">
        <v>1</v>
      </c>
      <c r="P26">
        <v>1</v>
      </c>
      <c r="Q26" s="3">
        <v>0.74305555555555558</v>
      </c>
      <c r="R26">
        <v>9.5</v>
      </c>
      <c r="S26">
        <v>7.91</v>
      </c>
      <c r="T26">
        <v>26.06</v>
      </c>
      <c r="U26">
        <v>10.24</v>
      </c>
      <c r="V26">
        <v>10.24</v>
      </c>
      <c r="W26">
        <v>100</v>
      </c>
      <c r="Y26">
        <v>58</v>
      </c>
      <c r="Z26">
        <v>2</v>
      </c>
      <c r="AA26">
        <v>0</v>
      </c>
      <c r="AB26" s="3">
        <v>0.67222222222222228</v>
      </c>
      <c r="AC26">
        <v>1.5</v>
      </c>
      <c r="AD26">
        <v>0.3</v>
      </c>
    </row>
    <row r="27" spans="1:30" x14ac:dyDescent="0.2">
      <c r="A27" t="s">
        <v>50</v>
      </c>
      <c r="C27">
        <v>0</v>
      </c>
      <c r="D27" t="s">
        <v>10</v>
      </c>
      <c r="E27">
        <v>4800</v>
      </c>
      <c r="F27" t="s">
        <v>155</v>
      </c>
      <c r="G27" t="s">
        <v>156</v>
      </c>
      <c r="H27" s="2">
        <v>0.79166666666666663</v>
      </c>
      <c r="I27" t="s">
        <v>152</v>
      </c>
      <c r="J27" s="1">
        <v>0.45800000000000002</v>
      </c>
      <c r="K27">
        <v>-84.5</v>
      </c>
      <c r="L27">
        <v>6.5</v>
      </c>
      <c r="M27">
        <v>3.5</v>
      </c>
      <c r="N27">
        <v>3.25</v>
      </c>
      <c r="O27">
        <v>3</v>
      </c>
      <c r="P27">
        <v>1</v>
      </c>
      <c r="Q27" s="3">
        <v>0.6479166666666667</v>
      </c>
      <c r="R27">
        <v>8.6</v>
      </c>
      <c r="S27">
        <v>7.68</v>
      </c>
      <c r="T27">
        <v>26.38</v>
      </c>
      <c r="U27">
        <v>11.02</v>
      </c>
      <c r="V27">
        <v>11.02</v>
      </c>
      <c r="W27">
        <v>100</v>
      </c>
      <c r="Y27">
        <v>55</v>
      </c>
      <c r="Z27">
        <v>2.2999999999999998</v>
      </c>
      <c r="AA27">
        <v>0</v>
      </c>
      <c r="AB27" s="3">
        <v>0.65208333333333335</v>
      </c>
      <c r="AC27">
        <v>13.1</v>
      </c>
      <c r="AD27">
        <v>2.7</v>
      </c>
    </row>
    <row r="28" spans="1:30" x14ac:dyDescent="0.2">
      <c r="A28" t="s">
        <v>54</v>
      </c>
      <c r="C28">
        <v>0</v>
      </c>
      <c r="D28" t="s">
        <v>12</v>
      </c>
      <c r="E28">
        <v>4700</v>
      </c>
      <c r="F28" t="s">
        <v>160</v>
      </c>
      <c r="G28" t="s">
        <v>161</v>
      </c>
      <c r="H28" s="2">
        <v>0.8125</v>
      </c>
      <c r="I28" t="s">
        <v>159</v>
      </c>
      <c r="J28" s="1">
        <v>0.505</v>
      </c>
      <c r="K28">
        <v>98</v>
      </c>
      <c r="L28">
        <v>6.5</v>
      </c>
      <c r="M28">
        <v>3.02</v>
      </c>
      <c r="N28">
        <v>3.25</v>
      </c>
      <c r="O28">
        <v>2</v>
      </c>
      <c r="P28">
        <v>2</v>
      </c>
      <c r="Q28" s="3">
        <v>0.91388888888888886</v>
      </c>
      <c r="R28">
        <v>9.3000000000000007</v>
      </c>
      <c r="S28">
        <v>5.0599999999999996</v>
      </c>
      <c r="T28">
        <v>20.84</v>
      </c>
      <c r="U28">
        <v>10.72</v>
      </c>
      <c r="V28">
        <v>10.72</v>
      </c>
      <c r="W28">
        <v>100</v>
      </c>
      <c r="Y28">
        <v>73</v>
      </c>
      <c r="Z28">
        <v>2.2999999999999998</v>
      </c>
      <c r="AA28">
        <v>0</v>
      </c>
      <c r="AB28" s="3">
        <v>0.89166666666666672</v>
      </c>
      <c r="AC28">
        <v>15.6</v>
      </c>
      <c r="AD28">
        <v>3.3</v>
      </c>
    </row>
    <row r="29" spans="1:30" x14ac:dyDescent="0.2">
      <c r="A29" t="s">
        <v>165</v>
      </c>
      <c r="C29">
        <v>0</v>
      </c>
      <c r="D29" t="s">
        <v>12</v>
      </c>
      <c r="E29">
        <v>4500</v>
      </c>
      <c r="F29" t="s">
        <v>155</v>
      </c>
      <c r="G29" t="s">
        <v>156</v>
      </c>
      <c r="H29" s="2">
        <v>0.79166666666666663</v>
      </c>
      <c r="I29" t="s">
        <v>152</v>
      </c>
      <c r="J29" s="1">
        <v>0.45800000000000002</v>
      </c>
      <c r="K29">
        <v>-84.5</v>
      </c>
      <c r="L29">
        <v>6.5</v>
      </c>
      <c r="M29">
        <v>3.5</v>
      </c>
      <c r="N29">
        <v>3.25</v>
      </c>
      <c r="O29">
        <v>2</v>
      </c>
      <c r="P29">
        <v>1</v>
      </c>
      <c r="Q29" s="3">
        <v>0.7680555555555556</v>
      </c>
      <c r="R29">
        <v>7</v>
      </c>
      <c r="S29">
        <v>5.94</v>
      </c>
      <c r="T29">
        <v>21.99</v>
      </c>
      <c r="U29">
        <v>10.11</v>
      </c>
      <c r="V29">
        <v>10.11</v>
      </c>
      <c r="W29">
        <v>100</v>
      </c>
      <c r="Y29">
        <v>58</v>
      </c>
      <c r="Z29">
        <v>2.2000000000000002</v>
      </c>
      <c r="AA29">
        <v>0</v>
      </c>
      <c r="AB29" s="3">
        <v>0.81874999999999998</v>
      </c>
      <c r="AC29">
        <v>9.5</v>
      </c>
      <c r="AD29">
        <v>2.1</v>
      </c>
    </row>
    <row r="30" spans="1:30" x14ac:dyDescent="0.2">
      <c r="A30" t="s">
        <v>19</v>
      </c>
      <c r="C30">
        <v>0</v>
      </c>
      <c r="D30" t="s">
        <v>5</v>
      </c>
      <c r="E30">
        <v>4500</v>
      </c>
      <c r="F30" t="s">
        <v>163</v>
      </c>
      <c r="G30" t="s">
        <v>164</v>
      </c>
      <c r="H30" s="2">
        <v>0.8125</v>
      </c>
      <c r="I30" t="s">
        <v>159</v>
      </c>
      <c r="J30" s="1">
        <v>0.56000000000000005</v>
      </c>
      <c r="K30">
        <v>78.5</v>
      </c>
      <c r="L30">
        <v>6.5</v>
      </c>
      <c r="M30">
        <v>3.25</v>
      </c>
      <c r="N30">
        <v>3.35</v>
      </c>
      <c r="O30">
        <v>1</v>
      </c>
      <c r="P30">
        <v>1</v>
      </c>
      <c r="Q30" s="3">
        <v>0.7368055555555556</v>
      </c>
      <c r="R30">
        <v>8.3000000000000007</v>
      </c>
      <c r="S30">
        <v>7.15</v>
      </c>
      <c r="T30">
        <v>24.67</v>
      </c>
      <c r="U30">
        <v>10.37</v>
      </c>
      <c r="V30">
        <v>10.37</v>
      </c>
      <c r="W30">
        <v>100</v>
      </c>
      <c r="Y30">
        <v>57</v>
      </c>
      <c r="Z30">
        <v>2.2999999999999998</v>
      </c>
      <c r="AA30">
        <v>0</v>
      </c>
      <c r="AB30" s="3">
        <v>0.91597222222222219</v>
      </c>
      <c r="AC30">
        <v>12.1</v>
      </c>
      <c r="AD30">
        <v>2.7</v>
      </c>
    </row>
    <row r="31" spans="1:30" x14ac:dyDescent="0.2">
      <c r="A31" t="s">
        <v>57</v>
      </c>
      <c r="C31">
        <v>0</v>
      </c>
      <c r="D31" t="s">
        <v>10</v>
      </c>
      <c r="E31">
        <v>4400</v>
      </c>
      <c r="F31" t="s">
        <v>153</v>
      </c>
      <c r="G31" t="s">
        <v>154</v>
      </c>
      <c r="H31" s="2">
        <v>0.8125</v>
      </c>
      <c r="I31" t="s">
        <v>152</v>
      </c>
      <c r="J31" s="1">
        <v>0.44</v>
      </c>
      <c r="K31">
        <v>-78.5</v>
      </c>
      <c r="L31">
        <v>6.5</v>
      </c>
      <c r="M31">
        <v>3.35</v>
      </c>
      <c r="N31">
        <v>3.25</v>
      </c>
      <c r="O31">
        <v>2</v>
      </c>
      <c r="P31">
        <v>2</v>
      </c>
      <c r="Q31" s="3">
        <v>0.70347222222222228</v>
      </c>
      <c r="R31">
        <v>8.9</v>
      </c>
      <c r="S31">
        <v>6.04</v>
      </c>
      <c r="T31">
        <v>23.26</v>
      </c>
      <c r="U31">
        <v>11.18</v>
      </c>
      <c r="V31">
        <v>11.18</v>
      </c>
      <c r="W31">
        <v>100</v>
      </c>
      <c r="Y31">
        <v>66</v>
      </c>
      <c r="Z31">
        <v>2.5</v>
      </c>
      <c r="AA31">
        <v>0</v>
      </c>
      <c r="AB31" s="3">
        <v>0.73958333333333337</v>
      </c>
      <c r="AC31">
        <v>2.8</v>
      </c>
      <c r="AD31">
        <v>0.6</v>
      </c>
    </row>
    <row r="32" spans="1:30" x14ac:dyDescent="0.2">
      <c r="A32" t="s">
        <v>37</v>
      </c>
      <c r="C32">
        <v>0</v>
      </c>
      <c r="D32" t="s">
        <v>12</v>
      </c>
      <c r="E32">
        <v>4300</v>
      </c>
      <c r="F32" t="s">
        <v>150</v>
      </c>
      <c r="G32" t="s">
        <v>151</v>
      </c>
      <c r="H32" s="2">
        <v>0.8125</v>
      </c>
      <c r="I32" t="s">
        <v>152</v>
      </c>
      <c r="J32" s="1">
        <v>0.495</v>
      </c>
      <c r="K32">
        <v>-98</v>
      </c>
      <c r="L32">
        <v>6.5</v>
      </c>
      <c r="M32">
        <v>3.25</v>
      </c>
      <c r="N32">
        <v>3.02</v>
      </c>
      <c r="O32">
        <v>2</v>
      </c>
      <c r="P32">
        <v>2</v>
      </c>
      <c r="Q32" s="3">
        <v>0.80833333333333335</v>
      </c>
      <c r="R32">
        <v>8.4</v>
      </c>
      <c r="S32">
        <v>5.22</v>
      </c>
      <c r="T32">
        <v>21.01</v>
      </c>
      <c r="U32">
        <v>10.57</v>
      </c>
      <c r="V32">
        <v>10.57</v>
      </c>
      <c r="W32">
        <v>100</v>
      </c>
      <c r="Y32">
        <v>69</v>
      </c>
      <c r="Z32">
        <v>2.5</v>
      </c>
      <c r="AA32">
        <v>0</v>
      </c>
      <c r="AB32" s="3">
        <v>0.90625</v>
      </c>
      <c r="AC32">
        <v>1.5</v>
      </c>
      <c r="AD32">
        <v>0.3</v>
      </c>
    </row>
    <row r="33" spans="1:30" x14ac:dyDescent="0.2">
      <c r="A33" t="s">
        <v>24</v>
      </c>
      <c r="C33">
        <v>0</v>
      </c>
      <c r="D33" t="s">
        <v>12</v>
      </c>
      <c r="E33">
        <v>4000</v>
      </c>
      <c r="F33" t="s">
        <v>163</v>
      </c>
      <c r="G33" t="s">
        <v>164</v>
      </c>
      <c r="H33" s="2">
        <v>0.8125</v>
      </c>
      <c r="I33" t="s">
        <v>159</v>
      </c>
      <c r="J33" s="1">
        <v>0.56000000000000005</v>
      </c>
      <c r="K33">
        <v>78.5</v>
      </c>
      <c r="L33">
        <v>6.5</v>
      </c>
      <c r="M33">
        <v>3.25</v>
      </c>
      <c r="N33">
        <v>3.35</v>
      </c>
      <c r="O33">
        <v>2</v>
      </c>
      <c r="P33">
        <v>2</v>
      </c>
      <c r="Q33" s="3">
        <v>0.95625000000000004</v>
      </c>
      <c r="R33">
        <v>8.5</v>
      </c>
      <c r="S33">
        <v>6.24</v>
      </c>
      <c r="T33">
        <v>22.75</v>
      </c>
      <c r="U33">
        <v>10.27</v>
      </c>
      <c r="V33">
        <v>10.27</v>
      </c>
      <c r="W33">
        <v>100</v>
      </c>
      <c r="Y33">
        <v>63</v>
      </c>
      <c r="Z33">
        <v>2.6</v>
      </c>
      <c r="AA33">
        <v>0</v>
      </c>
      <c r="AB33" s="3">
        <v>0.99513888888888891</v>
      </c>
      <c r="AC33">
        <v>12.1</v>
      </c>
      <c r="AD33">
        <v>3</v>
      </c>
    </row>
    <row r="34" spans="1:30" x14ac:dyDescent="0.2">
      <c r="A34" t="s">
        <v>64</v>
      </c>
      <c r="C34">
        <v>0</v>
      </c>
      <c r="D34" t="s">
        <v>12</v>
      </c>
      <c r="E34">
        <v>3900</v>
      </c>
      <c r="F34" t="s">
        <v>153</v>
      </c>
      <c r="G34" t="s">
        <v>154</v>
      </c>
      <c r="H34" s="2">
        <v>0.8125</v>
      </c>
      <c r="I34" t="s">
        <v>152</v>
      </c>
      <c r="J34" s="1">
        <v>0.44</v>
      </c>
      <c r="K34">
        <v>-78.5</v>
      </c>
      <c r="L34">
        <v>6.5</v>
      </c>
      <c r="M34">
        <v>3.35</v>
      </c>
      <c r="N34">
        <v>3.25</v>
      </c>
      <c r="O34">
        <v>2</v>
      </c>
      <c r="P34">
        <v>2</v>
      </c>
      <c r="Q34" s="4">
        <v>1.0680555555555555</v>
      </c>
      <c r="R34">
        <v>8.1</v>
      </c>
      <c r="S34">
        <v>5.16</v>
      </c>
      <c r="T34">
        <v>21.09</v>
      </c>
      <c r="U34">
        <v>10.77</v>
      </c>
      <c r="V34">
        <v>10.77</v>
      </c>
      <c r="W34">
        <v>100</v>
      </c>
      <c r="Y34">
        <v>68</v>
      </c>
      <c r="Z34">
        <v>2.8</v>
      </c>
      <c r="AA34">
        <v>0</v>
      </c>
      <c r="AB34" s="3">
        <v>0.93194444444444446</v>
      </c>
      <c r="AC34">
        <v>7.3</v>
      </c>
      <c r="AD34">
        <v>1.9</v>
      </c>
    </row>
    <row r="35" spans="1:30" x14ac:dyDescent="0.2">
      <c r="A35" t="s">
        <v>47</v>
      </c>
      <c r="C35">
        <v>0</v>
      </c>
      <c r="D35" t="s">
        <v>12</v>
      </c>
      <c r="E35">
        <v>3800</v>
      </c>
      <c r="F35" t="s">
        <v>150</v>
      </c>
      <c r="G35" t="s">
        <v>151</v>
      </c>
      <c r="H35" s="2">
        <v>0.8125</v>
      </c>
      <c r="I35" t="s">
        <v>152</v>
      </c>
      <c r="J35" s="1">
        <v>0.495</v>
      </c>
      <c r="K35">
        <v>-98</v>
      </c>
      <c r="L35">
        <v>6.5</v>
      </c>
      <c r="M35">
        <v>3.25</v>
      </c>
      <c r="N35">
        <v>3.02</v>
      </c>
      <c r="O35">
        <v>2</v>
      </c>
      <c r="Q35" s="3">
        <v>0.75208333333333333</v>
      </c>
      <c r="R35">
        <v>7.3</v>
      </c>
      <c r="S35">
        <v>7.49</v>
      </c>
      <c r="T35">
        <v>25.99</v>
      </c>
      <c r="U35">
        <v>11.01</v>
      </c>
      <c r="V35">
        <v>11.01</v>
      </c>
      <c r="W35">
        <v>100</v>
      </c>
      <c r="Y35">
        <v>49</v>
      </c>
      <c r="Z35">
        <v>2.9</v>
      </c>
      <c r="AA35">
        <v>0</v>
      </c>
      <c r="AB35" s="3">
        <v>0.87152777777777779</v>
      </c>
      <c r="AC35">
        <v>1.5</v>
      </c>
      <c r="AD35">
        <v>0.4</v>
      </c>
    </row>
    <row r="36" spans="1:30" x14ac:dyDescent="0.2">
      <c r="A36" t="s">
        <v>30</v>
      </c>
      <c r="C36">
        <v>0</v>
      </c>
      <c r="D36" t="s">
        <v>15</v>
      </c>
      <c r="E36">
        <v>7900</v>
      </c>
      <c r="F36" t="s">
        <v>153</v>
      </c>
      <c r="G36" t="s">
        <v>154</v>
      </c>
      <c r="H36" s="2">
        <v>0.8125</v>
      </c>
      <c r="I36" t="s">
        <v>152</v>
      </c>
      <c r="J36" s="1">
        <v>0.44</v>
      </c>
      <c r="K36">
        <v>-78.5</v>
      </c>
      <c r="L36">
        <v>6.5</v>
      </c>
      <c r="M36">
        <v>3.35</v>
      </c>
      <c r="N36">
        <v>3.25</v>
      </c>
      <c r="O36" t="s">
        <v>162</v>
      </c>
      <c r="Q36" s="4">
        <v>2.3333333333333335</v>
      </c>
      <c r="R36">
        <v>9.1</v>
      </c>
      <c r="S36">
        <v>9.73</v>
      </c>
      <c r="T36">
        <v>28.66</v>
      </c>
      <c r="U36">
        <v>9.1999999999999993</v>
      </c>
      <c r="V36">
        <v>9.1999999999999993</v>
      </c>
      <c r="W36">
        <v>100</v>
      </c>
      <c r="Y36">
        <v>47</v>
      </c>
      <c r="Z36">
        <v>1.2</v>
      </c>
      <c r="AA36">
        <v>0</v>
      </c>
      <c r="AB36" s="4">
        <v>2.5</v>
      </c>
      <c r="AC36">
        <v>11.6</v>
      </c>
      <c r="AD36">
        <v>1.5</v>
      </c>
    </row>
    <row r="37" spans="1:30" x14ac:dyDescent="0.2">
      <c r="A37" t="s">
        <v>59</v>
      </c>
      <c r="C37">
        <v>0</v>
      </c>
      <c r="D37" t="s">
        <v>15</v>
      </c>
      <c r="E37">
        <v>7100</v>
      </c>
      <c r="F37" t="s">
        <v>160</v>
      </c>
      <c r="G37" t="s">
        <v>161</v>
      </c>
      <c r="H37" s="2">
        <v>0.8125</v>
      </c>
      <c r="I37" t="s">
        <v>159</v>
      </c>
      <c r="J37" s="1">
        <v>0.505</v>
      </c>
      <c r="K37">
        <v>98</v>
      </c>
      <c r="L37">
        <v>6.5</v>
      </c>
      <c r="M37">
        <v>3.02</v>
      </c>
      <c r="N37">
        <v>3.25</v>
      </c>
      <c r="O37" t="s">
        <v>162</v>
      </c>
      <c r="Q37" s="4">
        <v>2.2395833333333335</v>
      </c>
      <c r="R37">
        <v>5.5</v>
      </c>
      <c r="S37">
        <v>7.14</v>
      </c>
      <c r="T37">
        <v>23.66</v>
      </c>
      <c r="U37">
        <v>9.3800000000000008</v>
      </c>
      <c r="V37">
        <v>9.3800000000000008</v>
      </c>
      <c r="W37">
        <v>100</v>
      </c>
      <c r="Y37">
        <v>35</v>
      </c>
      <c r="Z37">
        <v>1.3</v>
      </c>
      <c r="AA37">
        <v>0</v>
      </c>
      <c r="AB37" s="4">
        <v>2.5</v>
      </c>
      <c r="AC37">
        <v>10.199999999999999</v>
      </c>
      <c r="AD37">
        <v>1.4</v>
      </c>
    </row>
    <row r="38" spans="1:30" x14ac:dyDescent="0.2">
      <c r="A38" t="s">
        <v>33</v>
      </c>
      <c r="C38">
        <v>0</v>
      </c>
      <c r="D38" t="s">
        <v>10</v>
      </c>
      <c r="E38">
        <v>5400</v>
      </c>
      <c r="F38" t="s">
        <v>150</v>
      </c>
      <c r="G38" t="s">
        <v>151</v>
      </c>
      <c r="H38" s="2">
        <v>0.8125</v>
      </c>
      <c r="I38" t="s">
        <v>152</v>
      </c>
      <c r="J38" s="1">
        <v>0.495</v>
      </c>
      <c r="K38">
        <v>-98</v>
      </c>
      <c r="L38">
        <v>6.5</v>
      </c>
      <c r="M38">
        <v>3.25</v>
      </c>
      <c r="N38">
        <v>3.02</v>
      </c>
      <c r="O38">
        <v>2</v>
      </c>
      <c r="P38">
        <v>2</v>
      </c>
      <c r="Q38" s="3">
        <v>0.80208333333333337</v>
      </c>
      <c r="R38">
        <v>9.1</v>
      </c>
      <c r="S38">
        <v>6.27</v>
      </c>
      <c r="T38">
        <v>22.23</v>
      </c>
      <c r="U38">
        <v>9.69</v>
      </c>
      <c r="V38">
        <v>9.69</v>
      </c>
      <c r="W38">
        <v>100</v>
      </c>
      <c r="Y38">
        <v>66</v>
      </c>
      <c r="Z38">
        <v>1.8</v>
      </c>
      <c r="AA38">
        <v>0</v>
      </c>
      <c r="AB38" s="3">
        <v>0.70208333333333328</v>
      </c>
      <c r="AC38">
        <v>0</v>
      </c>
    </row>
    <row r="39" spans="1:30" x14ac:dyDescent="0.2">
      <c r="A39" t="s">
        <v>23</v>
      </c>
      <c r="C39">
        <v>0</v>
      </c>
      <c r="D39" t="s">
        <v>10</v>
      </c>
      <c r="E39">
        <v>4600</v>
      </c>
      <c r="F39" t="s">
        <v>153</v>
      </c>
      <c r="G39" t="s">
        <v>154</v>
      </c>
      <c r="H39" s="2">
        <v>0.8125</v>
      </c>
      <c r="I39" t="s">
        <v>152</v>
      </c>
      <c r="J39" s="1">
        <v>0.44</v>
      </c>
      <c r="K39">
        <v>-78.5</v>
      </c>
      <c r="L39">
        <v>6.5</v>
      </c>
      <c r="M39">
        <v>3.35</v>
      </c>
      <c r="N39">
        <v>3.25</v>
      </c>
      <c r="O39">
        <v>1</v>
      </c>
      <c r="P39">
        <v>2</v>
      </c>
      <c r="Q39" s="3">
        <v>0.71458333333333335</v>
      </c>
      <c r="R39">
        <v>7.3</v>
      </c>
      <c r="S39">
        <v>8.25</v>
      </c>
      <c r="T39">
        <v>26.33</v>
      </c>
      <c r="U39">
        <v>9.83</v>
      </c>
      <c r="V39">
        <v>9.83</v>
      </c>
      <c r="W39">
        <v>100</v>
      </c>
      <c r="Y39">
        <v>43</v>
      </c>
      <c r="Z39">
        <v>2.1</v>
      </c>
      <c r="AA39">
        <v>0</v>
      </c>
      <c r="AB39" s="3">
        <v>0.69861111111111107</v>
      </c>
      <c r="AC39">
        <v>1.5</v>
      </c>
      <c r="AD39">
        <v>0.3</v>
      </c>
    </row>
    <row r="40" spans="1:30" x14ac:dyDescent="0.2">
      <c r="A40" t="s">
        <v>46</v>
      </c>
      <c r="C40">
        <v>0</v>
      </c>
      <c r="D40" t="s">
        <v>10</v>
      </c>
      <c r="E40">
        <v>4200</v>
      </c>
      <c r="F40" t="s">
        <v>155</v>
      </c>
      <c r="G40" t="s">
        <v>156</v>
      </c>
      <c r="H40" s="2">
        <v>0.79166666666666663</v>
      </c>
      <c r="I40" t="s">
        <v>152</v>
      </c>
      <c r="J40" s="1">
        <v>0.45800000000000002</v>
      </c>
      <c r="K40">
        <v>-84.5</v>
      </c>
      <c r="L40">
        <v>6.5</v>
      </c>
      <c r="M40">
        <v>3.5</v>
      </c>
      <c r="N40">
        <v>3.25</v>
      </c>
      <c r="O40">
        <v>1</v>
      </c>
      <c r="P40">
        <v>2</v>
      </c>
      <c r="Q40" s="3">
        <v>0.69513888888888886</v>
      </c>
      <c r="R40">
        <v>7.9</v>
      </c>
      <c r="S40">
        <v>7.03</v>
      </c>
      <c r="T40">
        <v>23.15</v>
      </c>
      <c r="U40">
        <v>9.09</v>
      </c>
      <c r="V40">
        <v>9.09</v>
      </c>
      <c r="W40">
        <v>100</v>
      </c>
      <c r="Y40">
        <v>56</v>
      </c>
      <c r="Z40">
        <v>2.2000000000000002</v>
      </c>
      <c r="AA40">
        <v>0</v>
      </c>
      <c r="AB40" s="3">
        <v>0.71527777777777779</v>
      </c>
      <c r="AC40">
        <v>14.5</v>
      </c>
      <c r="AD40">
        <v>3.5</v>
      </c>
    </row>
    <row r="41" spans="1:30" x14ac:dyDescent="0.2">
      <c r="A41" t="s">
        <v>34</v>
      </c>
      <c r="C41">
        <v>0</v>
      </c>
      <c r="D41" t="s">
        <v>5</v>
      </c>
      <c r="E41">
        <v>4100</v>
      </c>
      <c r="F41" t="s">
        <v>153</v>
      </c>
      <c r="G41" t="s">
        <v>154</v>
      </c>
      <c r="H41" s="2">
        <v>0.8125</v>
      </c>
      <c r="I41" t="s">
        <v>152</v>
      </c>
      <c r="J41" s="1">
        <v>0.44</v>
      </c>
      <c r="K41">
        <v>-78.5</v>
      </c>
      <c r="L41">
        <v>6.5</v>
      </c>
      <c r="M41">
        <v>3.35</v>
      </c>
      <c r="N41">
        <v>3.25</v>
      </c>
      <c r="O41">
        <v>3</v>
      </c>
      <c r="P41">
        <v>1</v>
      </c>
      <c r="Q41" s="3">
        <v>0.73541666666666672</v>
      </c>
      <c r="R41">
        <v>7.6</v>
      </c>
      <c r="S41">
        <v>8.23</v>
      </c>
      <c r="T41">
        <v>26.39</v>
      </c>
      <c r="U41">
        <v>9.93</v>
      </c>
      <c r="V41">
        <v>9.93</v>
      </c>
      <c r="W41">
        <v>100</v>
      </c>
      <c r="Y41">
        <v>46</v>
      </c>
      <c r="Z41">
        <v>2.4</v>
      </c>
      <c r="AA41">
        <v>0</v>
      </c>
      <c r="AB41" s="3">
        <v>0.77430555555555558</v>
      </c>
      <c r="AC41">
        <v>15</v>
      </c>
      <c r="AD41">
        <v>3.7</v>
      </c>
    </row>
    <row r="42" spans="1:30" x14ac:dyDescent="0.2">
      <c r="A42" t="s">
        <v>76</v>
      </c>
      <c r="C42">
        <v>0</v>
      </c>
      <c r="D42" t="s">
        <v>12</v>
      </c>
      <c r="E42">
        <v>4200</v>
      </c>
      <c r="F42" t="s">
        <v>157</v>
      </c>
      <c r="G42" t="s">
        <v>158</v>
      </c>
      <c r="H42" s="2">
        <v>0.79166666666666663</v>
      </c>
      <c r="I42" t="s">
        <v>159</v>
      </c>
      <c r="J42" s="1">
        <v>0.54200000000000004</v>
      </c>
      <c r="K42">
        <v>84.5</v>
      </c>
      <c r="L42">
        <v>6.5</v>
      </c>
      <c r="M42">
        <v>3.25</v>
      </c>
      <c r="N42">
        <v>3.5</v>
      </c>
      <c r="O42">
        <v>1</v>
      </c>
      <c r="P42">
        <v>1</v>
      </c>
      <c r="Q42" s="3">
        <v>0.99583333333333335</v>
      </c>
      <c r="R42">
        <v>7.2</v>
      </c>
      <c r="S42">
        <v>5.29</v>
      </c>
      <c r="T42">
        <v>19.420000000000002</v>
      </c>
      <c r="U42">
        <v>8.84</v>
      </c>
      <c r="V42">
        <v>8.84</v>
      </c>
      <c r="W42">
        <v>100</v>
      </c>
      <c r="Y42">
        <v>63</v>
      </c>
      <c r="Z42">
        <v>2.1</v>
      </c>
      <c r="AA42">
        <v>0</v>
      </c>
      <c r="AB42" s="4">
        <v>1.0305555555555554</v>
      </c>
      <c r="AC42">
        <v>9.3000000000000007</v>
      </c>
      <c r="AD42">
        <v>2.2000000000000002</v>
      </c>
    </row>
    <row r="43" spans="1:30" x14ac:dyDescent="0.2">
      <c r="A43" t="s">
        <v>35</v>
      </c>
      <c r="C43">
        <v>0</v>
      </c>
      <c r="D43" t="s">
        <v>12</v>
      </c>
      <c r="E43">
        <v>4100</v>
      </c>
      <c r="F43" t="s">
        <v>150</v>
      </c>
      <c r="G43" t="s">
        <v>151</v>
      </c>
      <c r="H43" s="2">
        <v>0.8125</v>
      </c>
      <c r="I43" t="s">
        <v>152</v>
      </c>
      <c r="J43" s="1">
        <v>0.495</v>
      </c>
      <c r="K43">
        <v>-98</v>
      </c>
      <c r="L43">
        <v>6.5</v>
      </c>
      <c r="M43">
        <v>3.25</v>
      </c>
      <c r="N43">
        <v>3.02</v>
      </c>
      <c r="O43">
        <v>1</v>
      </c>
      <c r="P43">
        <v>2</v>
      </c>
      <c r="Q43" s="3">
        <v>0.70833333333333337</v>
      </c>
      <c r="R43">
        <v>7.5</v>
      </c>
      <c r="S43">
        <v>5.16</v>
      </c>
      <c r="T43">
        <v>19.899999999999999</v>
      </c>
      <c r="U43">
        <v>9.58</v>
      </c>
      <c r="V43">
        <v>9.58</v>
      </c>
      <c r="W43">
        <v>100</v>
      </c>
      <c r="Y43">
        <v>66</v>
      </c>
      <c r="Z43">
        <v>2.2999999999999998</v>
      </c>
      <c r="AA43">
        <v>0</v>
      </c>
      <c r="AB43" s="3">
        <v>0.86944444444444446</v>
      </c>
      <c r="AC43">
        <v>4.3</v>
      </c>
      <c r="AD43">
        <v>1</v>
      </c>
    </row>
    <row r="44" spans="1:30" x14ac:dyDescent="0.2">
      <c r="A44" t="s">
        <v>65</v>
      </c>
      <c r="C44">
        <v>0</v>
      </c>
      <c r="D44" t="s">
        <v>10</v>
      </c>
      <c r="E44">
        <v>4000</v>
      </c>
      <c r="F44" t="s">
        <v>157</v>
      </c>
      <c r="G44" t="s">
        <v>158</v>
      </c>
      <c r="H44" s="2">
        <v>0.79166666666666663</v>
      </c>
      <c r="I44" t="s">
        <v>159</v>
      </c>
      <c r="J44" s="1">
        <v>0.54200000000000004</v>
      </c>
      <c r="K44">
        <v>84.5</v>
      </c>
      <c r="L44">
        <v>6.5</v>
      </c>
      <c r="M44">
        <v>3.25</v>
      </c>
      <c r="N44">
        <v>3.5</v>
      </c>
      <c r="O44">
        <v>2</v>
      </c>
      <c r="P44">
        <v>2</v>
      </c>
      <c r="Q44" s="3">
        <v>0.71458333333333335</v>
      </c>
      <c r="R44">
        <v>7.8</v>
      </c>
      <c r="S44">
        <v>6.48</v>
      </c>
      <c r="T44">
        <v>22.28</v>
      </c>
      <c r="U44">
        <v>9.32</v>
      </c>
      <c r="V44">
        <v>9.32</v>
      </c>
      <c r="W44">
        <v>100</v>
      </c>
      <c r="Y44">
        <v>58</v>
      </c>
      <c r="Z44">
        <v>2.2999999999999998</v>
      </c>
      <c r="AA44">
        <v>0</v>
      </c>
      <c r="AB44" s="3">
        <v>0.59583333333333333</v>
      </c>
      <c r="AC44">
        <v>1.5</v>
      </c>
      <c r="AD44">
        <v>0.4</v>
      </c>
    </row>
    <row r="45" spans="1:30" x14ac:dyDescent="0.2">
      <c r="A45" t="s">
        <v>36</v>
      </c>
      <c r="C45">
        <v>0</v>
      </c>
      <c r="D45" t="s">
        <v>10</v>
      </c>
      <c r="E45">
        <v>3900</v>
      </c>
      <c r="F45" t="s">
        <v>163</v>
      </c>
      <c r="G45" t="s">
        <v>164</v>
      </c>
      <c r="H45" s="2">
        <v>0.8125</v>
      </c>
      <c r="I45" t="s">
        <v>159</v>
      </c>
      <c r="J45" s="1">
        <v>0.56000000000000005</v>
      </c>
      <c r="K45">
        <v>78.5</v>
      </c>
      <c r="L45">
        <v>6.5</v>
      </c>
      <c r="M45">
        <v>3.25</v>
      </c>
      <c r="N45">
        <v>3.35</v>
      </c>
      <c r="O45">
        <v>3</v>
      </c>
      <c r="P45">
        <v>2</v>
      </c>
      <c r="Q45" s="3">
        <v>0.61319444444444449</v>
      </c>
      <c r="R45">
        <v>7.1</v>
      </c>
      <c r="S45">
        <v>6.26</v>
      </c>
      <c r="T45">
        <v>21.61</v>
      </c>
      <c r="U45">
        <v>9.09</v>
      </c>
      <c r="V45">
        <v>9.09</v>
      </c>
      <c r="W45">
        <v>100</v>
      </c>
      <c r="Y45">
        <v>56</v>
      </c>
      <c r="Z45">
        <v>2.2999999999999998</v>
      </c>
      <c r="AA45">
        <v>0</v>
      </c>
      <c r="AB45" s="3">
        <v>0.64652777777777781</v>
      </c>
      <c r="AC45">
        <v>5.8</v>
      </c>
      <c r="AD45">
        <v>1.5</v>
      </c>
    </row>
    <row r="46" spans="1:30" x14ac:dyDescent="0.2">
      <c r="A46" t="s">
        <v>13</v>
      </c>
      <c r="C46">
        <v>0</v>
      </c>
      <c r="D46" t="s">
        <v>10</v>
      </c>
      <c r="E46">
        <v>3800</v>
      </c>
      <c r="F46" t="s">
        <v>155</v>
      </c>
      <c r="G46" t="s">
        <v>156</v>
      </c>
      <c r="H46" s="2">
        <v>0.79166666666666663</v>
      </c>
      <c r="I46" t="s">
        <v>152</v>
      </c>
      <c r="J46" s="1">
        <v>0.45800000000000002</v>
      </c>
      <c r="K46">
        <v>-84.5</v>
      </c>
      <c r="L46">
        <v>6.5</v>
      </c>
      <c r="M46">
        <v>3.5</v>
      </c>
      <c r="N46">
        <v>3.25</v>
      </c>
      <c r="O46">
        <v>2</v>
      </c>
      <c r="P46">
        <v>1</v>
      </c>
      <c r="Q46" s="3">
        <v>0.56111111111111112</v>
      </c>
      <c r="R46">
        <v>6.3</v>
      </c>
      <c r="S46">
        <v>7.08</v>
      </c>
      <c r="T46">
        <v>23.63</v>
      </c>
      <c r="U46">
        <v>9.4700000000000006</v>
      </c>
      <c r="V46">
        <v>9.4700000000000006</v>
      </c>
      <c r="W46">
        <v>100</v>
      </c>
      <c r="Y46">
        <v>44</v>
      </c>
      <c r="Z46">
        <v>2.5</v>
      </c>
      <c r="AA46">
        <v>0</v>
      </c>
      <c r="AB46" s="3">
        <v>0.69444444444444442</v>
      </c>
      <c r="AC46">
        <v>2.8</v>
      </c>
      <c r="AD46">
        <v>0.7</v>
      </c>
    </row>
    <row r="47" spans="1:30" x14ac:dyDescent="0.2">
      <c r="A47" t="s">
        <v>81</v>
      </c>
      <c r="C47">
        <v>0</v>
      </c>
      <c r="D47" t="s">
        <v>5</v>
      </c>
      <c r="E47">
        <v>4200</v>
      </c>
      <c r="F47" t="s">
        <v>160</v>
      </c>
      <c r="G47" t="s">
        <v>161</v>
      </c>
      <c r="H47" s="2">
        <v>0.8125</v>
      </c>
      <c r="I47" t="s">
        <v>159</v>
      </c>
      <c r="J47" s="1">
        <v>0.505</v>
      </c>
      <c r="K47">
        <v>98</v>
      </c>
      <c r="L47">
        <v>6.5</v>
      </c>
      <c r="M47">
        <v>3.02</v>
      </c>
      <c r="N47">
        <v>3.25</v>
      </c>
      <c r="O47">
        <v>3</v>
      </c>
      <c r="Q47" s="3">
        <v>0.77222222222222225</v>
      </c>
      <c r="R47">
        <v>8.9</v>
      </c>
      <c r="S47">
        <v>6.7</v>
      </c>
      <c r="T47">
        <v>21.43</v>
      </c>
      <c r="U47">
        <v>8.0299999999999994</v>
      </c>
      <c r="V47">
        <v>8.0299999999999994</v>
      </c>
      <c r="W47">
        <v>100</v>
      </c>
      <c r="Y47">
        <v>62</v>
      </c>
      <c r="Z47">
        <v>1.9</v>
      </c>
      <c r="AA47">
        <v>0</v>
      </c>
      <c r="AB47" s="3">
        <v>0.92986111111111114</v>
      </c>
      <c r="AC47">
        <v>1.3</v>
      </c>
      <c r="AD47">
        <v>0.3</v>
      </c>
    </row>
    <row r="48" spans="1:30" x14ac:dyDescent="0.2">
      <c r="A48" t="s">
        <v>40</v>
      </c>
      <c r="C48">
        <v>0</v>
      </c>
      <c r="D48" t="s">
        <v>10</v>
      </c>
      <c r="E48">
        <v>3600</v>
      </c>
      <c r="F48" t="s">
        <v>157</v>
      </c>
      <c r="G48" t="s">
        <v>158</v>
      </c>
      <c r="H48" s="2">
        <v>0.79166666666666663</v>
      </c>
      <c r="I48" t="s">
        <v>159</v>
      </c>
      <c r="J48" s="1">
        <v>0.54200000000000004</v>
      </c>
      <c r="K48">
        <v>84.5</v>
      </c>
      <c r="L48">
        <v>6.5</v>
      </c>
      <c r="M48">
        <v>3.25</v>
      </c>
      <c r="N48">
        <v>3.5</v>
      </c>
      <c r="O48">
        <v>2</v>
      </c>
      <c r="P48">
        <v>1</v>
      </c>
      <c r="Q48" s="3">
        <v>0.71527777777777779</v>
      </c>
      <c r="R48">
        <v>7.1</v>
      </c>
      <c r="S48">
        <v>6.38</v>
      </c>
      <c r="T48">
        <v>21.41</v>
      </c>
      <c r="U48">
        <v>8.65</v>
      </c>
      <c r="V48">
        <v>8.65</v>
      </c>
      <c r="W48">
        <v>100</v>
      </c>
      <c r="Y48">
        <v>55</v>
      </c>
      <c r="Z48">
        <v>2.4</v>
      </c>
      <c r="AA48">
        <v>0</v>
      </c>
      <c r="AB48" s="3">
        <v>0.56041666666666667</v>
      </c>
      <c r="AC48">
        <v>3</v>
      </c>
      <c r="AD48">
        <v>0.8</v>
      </c>
    </row>
    <row r="49" spans="1:30" x14ac:dyDescent="0.2">
      <c r="A49" t="s">
        <v>80</v>
      </c>
      <c r="C49">
        <v>0</v>
      </c>
      <c r="D49" t="s">
        <v>12</v>
      </c>
      <c r="E49">
        <v>3600</v>
      </c>
      <c r="F49" t="s">
        <v>153</v>
      </c>
      <c r="G49" t="s">
        <v>154</v>
      </c>
      <c r="H49" s="2">
        <v>0.8125</v>
      </c>
      <c r="I49" t="s">
        <v>152</v>
      </c>
      <c r="J49" s="1">
        <v>0.44</v>
      </c>
      <c r="K49">
        <v>-78.5</v>
      </c>
      <c r="L49">
        <v>6.5</v>
      </c>
      <c r="M49">
        <v>3.35</v>
      </c>
      <c r="N49">
        <v>3.25</v>
      </c>
      <c r="O49">
        <v>2</v>
      </c>
      <c r="P49">
        <v>2</v>
      </c>
      <c r="Q49" s="3">
        <v>0.86597222222222225</v>
      </c>
      <c r="R49">
        <v>7.4</v>
      </c>
      <c r="S49">
        <v>4.7699999999999996</v>
      </c>
      <c r="T49">
        <v>18.7</v>
      </c>
      <c r="U49">
        <v>9.16</v>
      </c>
      <c r="V49">
        <v>9.16</v>
      </c>
      <c r="W49">
        <v>100</v>
      </c>
      <c r="Y49">
        <v>68</v>
      </c>
      <c r="Z49">
        <v>2.5</v>
      </c>
      <c r="AA49">
        <v>0</v>
      </c>
      <c r="AB49" s="3">
        <v>0.70625000000000004</v>
      </c>
      <c r="AC49">
        <v>3</v>
      </c>
      <c r="AD49">
        <v>0.8</v>
      </c>
    </row>
    <row r="50" spans="1:30" x14ac:dyDescent="0.2">
      <c r="A50" t="s">
        <v>48</v>
      </c>
      <c r="C50">
        <v>0</v>
      </c>
      <c r="D50" t="s">
        <v>12</v>
      </c>
      <c r="E50">
        <v>3500</v>
      </c>
      <c r="F50" t="s">
        <v>163</v>
      </c>
      <c r="G50" t="s">
        <v>164</v>
      </c>
      <c r="H50" s="2">
        <v>0.8125</v>
      </c>
      <c r="I50" t="s">
        <v>159</v>
      </c>
      <c r="J50" s="1">
        <v>0.56000000000000005</v>
      </c>
      <c r="K50">
        <v>78.5</v>
      </c>
      <c r="L50">
        <v>6.5</v>
      </c>
      <c r="M50">
        <v>3.25</v>
      </c>
      <c r="N50">
        <v>3.35</v>
      </c>
      <c r="O50">
        <v>1</v>
      </c>
      <c r="Q50" s="4">
        <v>1.0020833333333334</v>
      </c>
      <c r="R50">
        <v>7.8</v>
      </c>
      <c r="S50">
        <v>5.38</v>
      </c>
      <c r="T50">
        <v>20.260000000000002</v>
      </c>
      <c r="U50">
        <v>9.5</v>
      </c>
      <c r="V50">
        <v>9.5</v>
      </c>
      <c r="W50">
        <v>100</v>
      </c>
      <c r="Y50">
        <v>66</v>
      </c>
      <c r="Z50">
        <v>2.7</v>
      </c>
      <c r="AA50">
        <v>0</v>
      </c>
      <c r="AB50" s="3">
        <v>0.98333333333333328</v>
      </c>
      <c r="AC50">
        <v>7.6</v>
      </c>
      <c r="AD50">
        <v>2.2000000000000002</v>
      </c>
    </row>
    <row r="51" spans="1:30" x14ac:dyDescent="0.2">
      <c r="A51" t="s">
        <v>52</v>
      </c>
      <c r="C51">
        <v>0</v>
      </c>
      <c r="D51" t="s">
        <v>12</v>
      </c>
      <c r="E51">
        <v>3100</v>
      </c>
      <c r="F51" t="s">
        <v>155</v>
      </c>
      <c r="G51" t="s">
        <v>156</v>
      </c>
      <c r="H51" s="2">
        <v>0.79166666666666663</v>
      </c>
      <c r="I51" t="s">
        <v>152</v>
      </c>
      <c r="J51" s="1">
        <v>0.45800000000000002</v>
      </c>
      <c r="K51">
        <v>-84.5</v>
      </c>
      <c r="L51">
        <v>6.5</v>
      </c>
      <c r="M51">
        <v>3.5</v>
      </c>
      <c r="N51">
        <v>3.25</v>
      </c>
      <c r="O51">
        <v>2</v>
      </c>
      <c r="Q51" s="3">
        <v>0.86597222222222225</v>
      </c>
      <c r="R51">
        <v>6.5</v>
      </c>
      <c r="S51">
        <v>3.94</v>
      </c>
      <c r="T51">
        <v>17.34</v>
      </c>
      <c r="U51">
        <v>9.4600000000000009</v>
      </c>
      <c r="V51">
        <v>9.4600000000000009</v>
      </c>
      <c r="W51">
        <v>100</v>
      </c>
      <c r="Y51">
        <v>70</v>
      </c>
      <c r="Z51">
        <v>3.1</v>
      </c>
      <c r="AA51">
        <v>0</v>
      </c>
      <c r="AB51" s="3">
        <v>0.72847222222222219</v>
      </c>
      <c r="AC51">
        <v>9.3000000000000007</v>
      </c>
      <c r="AD51">
        <v>3</v>
      </c>
    </row>
    <row r="52" spans="1:30" x14ac:dyDescent="0.2">
      <c r="A52" t="s">
        <v>51</v>
      </c>
      <c r="C52">
        <v>0</v>
      </c>
      <c r="D52" t="s">
        <v>5</v>
      </c>
      <c r="E52">
        <v>3600</v>
      </c>
      <c r="F52" t="s">
        <v>153</v>
      </c>
      <c r="G52" t="s">
        <v>154</v>
      </c>
      <c r="H52" s="2">
        <v>0.8125</v>
      </c>
      <c r="I52" t="s">
        <v>152</v>
      </c>
      <c r="J52" s="1">
        <v>0.44</v>
      </c>
      <c r="K52">
        <v>-78.5</v>
      </c>
      <c r="L52">
        <v>6.5</v>
      </c>
      <c r="M52">
        <v>3.35</v>
      </c>
      <c r="N52">
        <v>3.25</v>
      </c>
      <c r="O52">
        <v>2</v>
      </c>
      <c r="P52">
        <v>2</v>
      </c>
      <c r="Q52" s="3">
        <v>0.74305555555555558</v>
      </c>
      <c r="R52">
        <v>6.5</v>
      </c>
      <c r="S52">
        <v>5.52</v>
      </c>
      <c r="T52">
        <v>19.34</v>
      </c>
      <c r="U52">
        <v>8.3000000000000007</v>
      </c>
      <c r="V52">
        <v>8.3000000000000007</v>
      </c>
      <c r="W52">
        <v>100</v>
      </c>
      <c r="Y52">
        <v>58</v>
      </c>
      <c r="Z52">
        <v>2.2999999999999998</v>
      </c>
      <c r="AA52">
        <v>0</v>
      </c>
      <c r="AB52" s="3">
        <v>0.74930555555555556</v>
      </c>
      <c r="AC52">
        <v>11.3</v>
      </c>
      <c r="AD52">
        <v>3.1</v>
      </c>
    </row>
    <row r="53" spans="1:30" x14ac:dyDescent="0.2">
      <c r="A53" t="s">
        <v>55</v>
      </c>
      <c r="C53">
        <v>0</v>
      </c>
      <c r="D53" t="s">
        <v>12</v>
      </c>
      <c r="E53">
        <v>3000</v>
      </c>
      <c r="F53" t="s">
        <v>163</v>
      </c>
      <c r="G53" t="s">
        <v>164</v>
      </c>
      <c r="H53" s="2">
        <v>0.8125</v>
      </c>
      <c r="I53" t="s">
        <v>159</v>
      </c>
      <c r="J53" s="1">
        <v>0.56000000000000005</v>
      </c>
      <c r="K53">
        <v>78.5</v>
      </c>
      <c r="L53">
        <v>6.5</v>
      </c>
      <c r="M53">
        <v>3.25</v>
      </c>
      <c r="N53">
        <v>3.35</v>
      </c>
      <c r="O53">
        <v>3</v>
      </c>
      <c r="Q53" s="3">
        <v>0.79097222222222219</v>
      </c>
      <c r="R53">
        <v>6.4</v>
      </c>
      <c r="S53">
        <v>4.7699999999999996</v>
      </c>
      <c r="T53">
        <v>18.14</v>
      </c>
      <c r="U53">
        <v>8.6</v>
      </c>
      <c r="V53">
        <v>8.6</v>
      </c>
      <c r="W53">
        <v>100</v>
      </c>
      <c r="Y53">
        <v>63</v>
      </c>
      <c r="Z53">
        <v>2.9</v>
      </c>
      <c r="AA53">
        <v>0</v>
      </c>
      <c r="AB53" s="3">
        <v>0.84097222222222223</v>
      </c>
      <c r="AC53">
        <v>1.3</v>
      </c>
      <c r="AD53">
        <v>0.4</v>
      </c>
    </row>
    <row r="54" spans="1:30" x14ac:dyDescent="0.2">
      <c r="A54" t="s">
        <v>66</v>
      </c>
      <c r="C54">
        <v>0</v>
      </c>
      <c r="D54" t="s">
        <v>5</v>
      </c>
      <c r="E54">
        <v>3500</v>
      </c>
      <c r="F54" t="s">
        <v>155</v>
      </c>
      <c r="G54" t="s">
        <v>156</v>
      </c>
      <c r="H54" s="2">
        <v>0.79166666666666663</v>
      </c>
      <c r="I54" t="s">
        <v>152</v>
      </c>
      <c r="J54" s="1">
        <v>0.45800000000000002</v>
      </c>
      <c r="K54">
        <v>-84.5</v>
      </c>
      <c r="L54">
        <v>6.5</v>
      </c>
      <c r="M54">
        <v>3.5</v>
      </c>
      <c r="N54">
        <v>3.25</v>
      </c>
      <c r="O54">
        <v>3</v>
      </c>
      <c r="Q54" s="3">
        <v>0.64583333333333337</v>
      </c>
      <c r="R54">
        <v>6.1</v>
      </c>
      <c r="S54">
        <v>5.77</v>
      </c>
      <c r="T54">
        <v>19.12</v>
      </c>
      <c r="U54">
        <v>7.58</v>
      </c>
      <c r="V54">
        <v>7.58</v>
      </c>
      <c r="W54">
        <v>100</v>
      </c>
      <c r="Y54">
        <v>53</v>
      </c>
      <c r="Z54">
        <v>2.2000000000000002</v>
      </c>
      <c r="AA54">
        <v>0</v>
      </c>
      <c r="AB54" s="3">
        <v>0.56319444444444444</v>
      </c>
      <c r="AC54">
        <v>19.3</v>
      </c>
      <c r="AD54">
        <v>5.5</v>
      </c>
    </row>
    <row r="55" spans="1:30" x14ac:dyDescent="0.2">
      <c r="A55" t="s">
        <v>67</v>
      </c>
      <c r="C55">
        <v>0</v>
      </c>
      <c r="D55" t="s">
        <v>10</v>
      </c>
      <c r="E55">
        <v>3500</v>
      </c>
      <c r="F55" t="s">
        <v>160</v>
      </c>
      <c r="G55" t="s">
        <v>161</v>
      </c>
      <c r="H55" s="2">
        <v>0.8125</v>
      </c>
      <c r="I55" t="s">
        <v>159</v>
      </c>
      <c r="J55" s="1">
        <v>0.505</v>
      </c>
      <c r="K55">
        <v>98</v>
      </c>
      <c r="L55">
        <v>6.5</v>
      </c>
      <c r="M55">
        <v>3.02</v>
      </c>
      <c r="N55">
        <v>3.25</v>
      </c>
      <c r="O55">
        <v>1</v>
      </c>
      <c r="P55">
        <v>2</v>
      </c>
      <c r="Q55" s="3">
        <v>0.72152777777777777</v>
      </c>
      <c r="R55">
        <v>7.1</v>
      </c>
      <c r="S55">
        <v>5.23</v>
      </c>
      <c r="T55">
        <v>18.829999999999998</v>
      </c>
      <c r="U55">
        <v>8.3699999999999992</v>
      </c>
      <c r="V55">
        <v>8.3699999999999992</v>
      </c>
      <c r="W55">
        <v>100</v>
      </c>
      <c r="Y55">
        <v>63</v>
      </c>
      <c r="Z55">
        <v>2.4</v>
      </c>
      <c r="AA55">
        <v>0</v>
      </c>
      <c r="AB55" s="3">
        <v>0.7319444444444444</v>
      </c>
      <c r="AC55">
        <v>14.5</v>
      </c>
      <c r="AD55">
        <v>4.0999999999999996</v>
      </c>
    </row>
    <row r="56" spans="1:30" x14ac:dyDescent="0.2">
      <c r="A56" t="s">
        <v>63</v>
      </c>
      <c r="C56">
        <v>0</v>
      </c>
      <c r="D56" t="s">
        <v>10</v>
      </c>
      <c r="E56">
        <v>3400</v>
      </c>
      <c r="F56" t="s">
        <v>163</v>
      </c>
      <c r="G56" t="s">
        <v>164</v>
      </c>
      <c r="H56" s="2">
        <v>0.8125</v>
      </c>
      <c r="I56" t="s">
        <v>159</v>
      </c>
      <c r="J56" s="1">
        <v>0.56000000000000005</v>
      </c>
      <c r="K56">
        <v>78.5</v>
      </c>
      <c r="L56">
        <v>6.5</v>
      </c>
      <c r="M56">
        <v>3.25</v>
      </c>
      <c r="N56">
        <v>3.35</v>
      </c>
      <c r="O56">
        <v>3</v>
      </c>
      <c r="P56">
        <v>1</v>
      </c>
      <c r="Q56" s="3">
        <v>0.64236111111111116</v>
      </c>
      <c r="R56">
        <v>6.7</v>
      </c>
      <c r="S56">
        <v>5.96</v>
      </c>
      <c r="T56">
        <v>20.03</v>
      </c>
      <c r="U56">
        <v>8.11</v>
      </c>
      <c r="V56">
        <v>8.11</v>
      </c>
      <c r="W56">
        <v>100</v>
      </c>
      <c r="Y56">
        <v>56</v>
      </c>
      <c r="Z56">
        <v>2.4</v>
      </c>
      <c r="AA56">
        <v>0</v>
      </c>
      <c r="AB56" s="3">
        <v>0.66111111111111109</v>
      </c>
      <c r="AC56">
        <v>1.3</v>
      </c>
      <c r="AD56">
        <v>0.4</v>
      </c>
    </row>
    <row r="57" spans="1:30" x14ac:dyDescent="0.2">
      <c r="A57" t="s">
        <v>73</v>
      </c>
      <c r="C57">
        <v>0</v>
      </c>
      <c r="D57" t="s">
        <v>10</v>
      </c>
      <c r="E57">
        <v>3200</v>
      </c>
      <c r="F57" t="s">
        <v>153</v>
      </c>
      <c r="G57" t="s">
        <v>154</v>
      </c>
      <c r="H57" s="2">
        <v>0.8125</v>
      </c>
      <c r="I57" t="s">
        <v>152</v>
      </c>
      <c r="J57" s="1">
        <v>0.44</v>
      </c>
      <c r="K57">
        <v>-78.5</v>
      </c>
      <c r="L57">
        <v>6.5</v>
      </c>
      <c r="M57">
        <v>3.35</v>
      </c>
      <c r="N57">
        <v>3.25</v>
      </c>
      <c r="O57">
        <v>4</v>
      </c>
      <c r="Q57" s="3">
        <v>0.62430555555555556</v>
      </c>
      <c r="R57">
        <v>7.9</v>
      </c>
      <c r="S57">
        <v>7.22</v>
      </c>
      <c r="T57">
        <v>22.77</v>
      </c>
      <c r="U57">
        <v>8.33</v>
      </c>
      <c r="V57">
        <v>8.33</v>
      </c>
      <c r="W57">
        <v>100</v>
      </c>
      <c r="Y57">
        <v>54</v>
      </c>
      <c r="Z57">
        <v>2.6</v>
      </c>
      <c r="AA57">
        <v>0</v>
      </c>
      <c r="AB57" s="3">
        <v>0.35972222222222222</v>
      </c>
      <c r="AC57">
        <v>0</v>
      </c>
    </row>
    <row r="58" spans="1:30" x14ac:dyDescent="0.2">
      <c r="A58" t="s">
        <v>94</v>
      </c>
      <c r="C58">
        <v>0</v>
      </c>
      <c r="D58" t="s">
        <v>10</v>
      </c>
      <c r="E58">
        <v>3200</v>
      </c>
      <c r="F58" t="s">
        <v>160</v>
      </c>
      <c r="G58" t="s">
        <v>161</v>
      </c>
      <c r="H58" s="2">
        <v>0.8125</v>
      </c>
      <c r="I58" t="s">
        <v>159</v>
      </c>
      <c r="J58" s="1">
        <v>0.505</v>
      </c>
      <c r="K58">
        <v>98</v>
      </c>
      <c r="L58">
        <v>6.5</v>
      </c>
      <c r="M58">
        <v>3.02</v>
      </c>
      <c r="N58">
        <v>3.25</v>
      </c>
      <c r="O58">
        <v>4</v>
      </c>
      <c r="P58">
        <v>2</v>
      </c>
      <c r="Q58" s="3">
        <v>0.58402777777777781</v>
      </c>
      <c r="R58">
        <v>6.4</v>
      </c>
      <c r="S58">
        <v>6.6</v>
      </c>
      <c r="T58">
        <v>21.63</v>
      </c>
      <c r="U58">
        <v>8.43</v>
      </c>
      <c r="V58">
        <v>8.43</v>
      </c>
      <c r="W58">
        <v>100</v>
      </c>
      <c r="Y58">
        <v>48</v>
      </c>
      <c r="Z58">
        <v>2.6</v>
      </c>
      <c r="AA58">
        <v>0</v>
      </c>
      <c r="AB58" s="3">
        <v>0.51111111111111107</v>
      </c>
      <c r="AC58">
        <v>1.5</v>
      </c>
      <c r="AD58">
        <v>0.5</v>
      </c>
    </row>
    <row r="59" spans="1:30" x14ac:dyDescent="0.2">
      <c r="A59" t="s">
        <v>38</v>
      </c>
      <c r="C59">
        <v>0</v>
      </c>
      <c r="D59" t="s">
        <v>10</v>
      </c>
      <c r="E59">
        <v>3100</v>
      </c>
      <c r="F59" t="s">
        <v>160</v>
      </c>
      <c r="G59" t="s">
        <v>161</v>
      </c>
      <c r="H59" s="2">
        <v>0.8125</v>
      </c>
      <c r="I59" t="s">
        <v>159</v>
      </c>
      <c r="J59" s="1">
        <v>0.505</v>
      </c>
      <c r="K59">
        <v>98</v>
      </c>
      <c r="L59">
        <v>6.5</v>
      </c>
      <c r="M59">
        <v>3.02</v>
      </c>
      <c r="N59">
        <v>3.25</v>
      </c>
      <c r="O59">
        <v>2</v>
      </c>
      <c r="P59">
        <v>2</v>
      </c>
      <c r="Q59" s="3">
        <v>0.68680555555555556</v>
      </c>
      <c r="R59">
        <v>6.8</v>
      </c>
      <c r="S59">
        <v>4.91</v>
      </c>
      <c r="T59">
        <v>18.28</v>
      </c>
      <c r="U59">
        <v>8.4600000000000009</v>
      </c>
      <c r="V59">
        <v>8.4600000000000009</v>
      </c>
      <c r="W59">
        <v>100</v>
      </c>
      <c r="Y59">
        <v>64</v>
      </c>
      <c r="Z59">
        <v>2.7</v>
      </c>
      <c r="AA59">
        <v>0</v>
      </c>
      <c r="AB59" s="3">
        <v>0.78125</v>
      </c>
      <c r="AC59">
        <v>10</v>
      </c>
      <c r="AD59">
        <v>3.2</v>
      </c>
    </row>
    <row r="60" spans="1:30" x14ac:dyDescent="0.2">
      <c r="A60" t="s">
        <v>85</v>
      </c>
      <c r="C60">
        <v>0</v>
      </c>
      <c r="D60" t="s">
        <v>10</v>
      </c>
      <c r="E60">
        <v>3000</v>
      </c>
      <c r="F60" t="s">
        <v>153</v>
      </c>
      <c r="G60" t="s">
        <v>154</v>
      </c>
      <c r="H60" s="2">
        <v>0.8125</v>
      </c>
      <c r="I60" t="s">
        <v>152</v>
      </c>
      <c r="J60" s="1">
        <v>0.44</v>
      </c>
      <c r="K60">
        <v>-78.5</v>
      </c>
      <c r="L60">
        <v>6.5</v>
      </c>
      <c r="M60">
        <v>3.35</v>
      </c>
      <c r="N60">
        <v>3.25</v>
      </c>
      <c r="O60">
        <v>3</v>
      </c>
      <c r="Q60" s="3">
        <v>0.6479166666666667</v>
      </c>
      <c r="R60">
        <v>6.1</v>
      </c>
      <c r="S60">
        <v>5.98</v>
      </c>
      <c r="T60">
        <v>20.3</v>
      </c>
      <c r="U60">
        <v>8.34</v>
      </c>
      <c r="V60">
        <v>8.34</v>
      </c>
      <c r="W60">
        <v>100</v>
      </c>
      <c r="Y60">
        <v>51</v>
      </c>
      <c r="Z60">
        <v>2.8</v>
      </c>
      <c r="AA60">
        <v>0</v>
      </c>
      <c r="AB60" s="3">
        <v>0.59027777777777779</v>
      </c>
      <c r="AC60">
        <v>11.5</v>
      </c>
      <c r="AD60">
        <v>3.8</v>
      </c>
    </row>
    <row r="61" spans="1:30" x14ac:dyDescent="0.2">
      <c r="A61" t="s">
        <v>41</v>
      </c>
      <c r="C61">
        <v>0</v>
      </c>
      <c r="D61" t="s">
        <v>12</v>
      </c>
      <c r="E61">
        <v>3400</v>
      </c>
      <c r="F61" t="s">
        <v>163</v>
      </c>
      <c r="G61" t="s">
        <v>164</v>
      </c>
      <c r="H61" s="2">
        <v>0.8125</v>
      </c>
      <c r="I61" t="s">
        <v>159</v>
      </c>
      <c r="J61" s="1">
        <v>0.56000000000000005</v>
      </c>
      <c r="K61">
        <v>78.5</v>
      </c>
      <c r="L61">
        <v>6.5</v>
      </c>
      <c r="M61">
        <v>3.25</v>
      </c>
      <c r="N61">
        <v>3.35</v>
      </c>
      <c r="O61">
        <v>2</v>
      </c>
      <c r="P61">
        <v>1</v>
      </c>
      <c r="Q61" s="3">
        <v>0.88888888888888884</v>
      </c>
      <c r="R61">
        <v>5.8</v>
      </c>
      <c r="S61">
        <v>4.4800000000000004</v>
      </c>
      <c r="T61">
        <v>15.63</v>
      </c>
      <c r="U61">
        <v>6.67</v>
      </c>
      <c r="V61">
        <v>6.67</v>
      </c>
      <c r="W61">
        <v>100</v>
      </c>
      <c r="Y61">
        <v>61</v>
      </c>
      <c r="Z61">
        <v>2</v>
      </c>
      <c r="AA61">
        <v>0</v>
      </c>
      <c r="AB61" s="4">
        <v>1.1152777777777778</v>
      </c>
      <c r="AC61">
        <v>9.5</v>
      </c>
      <c r="AD61">
        <v>2.8</v>
      </c>
    </row>
    <row r="62" spans="1:30" x14ac:dyDescent="0.2">
      <c r="A62" t="s">
        <v>68</v>
      </c>
      <c r="C62">
        <v>0</v>
      </c>
      <c r="D62" t="s">
        <v>5</v>
      </c>
      <c r="E62">
        <v>3400</v>
      </c>
      <c r="F62" t="s">
        <v>163</v>
      </c>
      <c r="G62" t="s">
        <v>164</v>
      </c>
      <c r="H62" s="2">
        <v>0.8125</v>
      </c>
      <c r="I62" t="s">
        <v>159</v>
      </c>
      <c r="J62" s="1">
        <v>0.56000000000000005</v>
      </c>
      <c r="K62">
        <v>78.5</v>
      </c>
      <c r="L62">
        <v>6.5</v>
      </c>
      <c r="M62">
        <v>3.25</v>
      </c>
      <c r="N62">
        <v>3.35</v>
      </c>
      <c r="O62">
        <v>2</v>
      </c>
      <c r="Q62" s="3">
        <v>0.72013888888888888</v>
      </c>
      <c r="R62">
        <v>6.2</v>
      </c>
      <c r="S62">
        <v>6.49</v>
      </c>
      <c r="T62">
        <v>20.05</v>
      </c>
      <c r="U62">
        <v>7.07</v>
      </c>
      <c r="V62">
        <v>7.07</v>
      </c>
      <c r="W62">
        <v>100</v>
      </c>
      <c r="Y62">
        <v>48</v>
      </c>
      <c r="Z62">
        <v>2.1</v>
      </c>
      <c r="AA62">
        <v>0</v>
      </c>
      <c r="AB62" s="3">
        <v>0.65347222222222223</v>
      </c>
      <c r="AC62">
        <v>4.3</v>
      </c>
      <c r="AD62">
        <v>1.3</v>
      </c>
    </row>
    <row r="63" spans="1:30" x14ac:dyDescent="0.2">
      <c r="A63" t="s">
        <v>42</v>
      </c>
      <c r="C63">
        <v>0</v>
      </c>
      <c r="D63" t="s">
        <v>10</v>
      </c>
      <c r="E63">
        <v>3300</v>
      </c>
      <c r="F63" t="s">
        <v>155</v>
      </c>
      <c r="G63" t="s">
        <v>156</v>
      </c>
      <c r="H63" s="2">
        <v>0.79166666666666663</v>
      </c>
      <c r="I63" t="s">
        <v>152</v>
      </c>
      <c r="J63" s="1">
        <v>0.45800000000000002</v>
      </c>
      <c r="K63">
        <v>-84.5</v>
      </c>
      <c r="L63">
        <v>6.5</v>
      </c>
      <c r="M63">
        <v>3.5</v>
      </c>
      <c r="N63">
        <v>3.25</v>
      </c>
      <c r="O63">
        <v>3</v>
      </c>
      <c r="P63">
        <v>2</v>
      </c>
      <c r="Q63" s="3">
        <v>0.68402777777777779</v>
      </c>
      <c r="R63">
        <v>6</v>
      </c>
      <c r="S63">
        <v>6.44</v>
      </c>
      <c r="T63">
        <v>20.68</v>
      </c>
      <c r="U63">
        <v>7.8</v>
      </c>
      <c r="V63">
        <v>7.8</v>
      </c>
      <c r="W63">
        <v>100</v>
      </c>
      <c r="Y63">
        <v>46</v>
      </c>
      <c r="Z63">
        <v>2.4</v>
      </c>
      <c r="AA63">
        <v>0</v>
      </c>
      <c r="AB63" s="3">
        <v>0.66180555555555554</v>
      </c>
      <c r="AC63">
        <v>24.5</v>
      </c>
      <c r="AD63">
        <v>7.4</v>
      </c>
    </row>
    <row r="64" spans="1:30" x14ac:dyDescent="0.2">
      <c r="A64" t="s">
        <v>84</v>
      </c>
      <c r="C64">
        <v>0</v>
      </c>
      <c r="D64" t="s">
        <v>12</v>
      </c>
      <c r="E64">
        <v>3300</v>
      </c>
      <c r="F64" t="s">
        <v>153</v>
      </c>
      <c r="G64" t="s">
        <v>154</v>
      </c>
      <c r="H64" s="2">
        <v>0.8125</v>
      </c>
      <c r="I64" t="s">
        <v>152</v>
      </c>
      <c r="J64" s="1">
        <v>0.44</v>
      </c>
      <c r="K64">
        <v>-78.5</v>
      </c>
      <c r="L64">
        <v>6.5</v>
      </c>
      <c r="M64">
        <v>3.35</v>
      </c>
      <c r="N64">
        <v>3.25</v>
      </c>
      <c r="O64">
        <v>1</v>
      </c>
      <c r="Q64" s="3">
        <v>0.8520833333333333</v>
      </c>
      <c r="R64">
        <v>6</v>
      </c>
      <c r="S64">
        <v>4.6900000000000004</v>
      </c>
      <c r="T64">
        <v>17.88</v>
      </c>
      <c r="U64">
        <v>8.5</v>
      </c>
      <c r="V64">
        <v>8.5</v>
      </c>
      <c r="W64">
        <v>100</v>
      </c>
      <c r="Y64">
        <v>61</v>
      </c>
      <c r="Z64">
        <v>2.6</v>
      </c>
      <c r="AA64">
        <v>0</v>
      </c>
      <c r="AB64" s="3">
        <v>0.9291666666666667</v>
      </c>
      <c r="AC64">
        <v>9.3000000000000007</v>
      </c>
      <c r="AD64">
        <v>2.8</v>
      </c>
    </row>
    <row r="65" spans="1:30" x14ac:dyDescent="0.2">
      <c r="A65" t="s">
        <v>74</v>
      </c>
      <c r="C65">
        <v>0</v>
      </c>
      <c r="D65" t="s">
        <v>12</v>
      </c>
      <c r="E65">
        <v>3200</v>
      </c>
      <c r="F65" t="s">
        <v>163</v>
      </c>
      <c r="G65" t="s">
        <v>164</v>
      </c>
      <c r="H65" s="2">
        <v>0.8125</v>
      </c>
      <c r="I65" t="s">
        <v>159</v>
      </c>
      <c r="J65" s="1">
        <v>0.56000000000000005</v>
      </c>
      <c r="K65">
        <v>78.5</v>
      </c>
      <c r="L65">
        <v>6.5</v>
      </c>
      <c r="M65">
        <v>3.25</v>
      </c>
      <c r="N65">
        <v>3.35</v>
      </c>
      <c r="O65">
        <v>1</v>
      </c>
      <c r="Q65" s="3">
        <v>0.85972222222222228</v>
      </c>
      <c r="R65">
        <v>6.3</v>
      </c>
      <c r="S65">
        <v>4.08</v>
      </c>
      <c r="T65">
        <v>16.68</v>
      </c>
      <c r="U65">
        <v>8.52</v>
      </c>
      <c r="V65">
        <v>8.52</v>
      </c>
      <c r="W65">
        <v>100</v>
      </c>
      <c r="Y65">
        <v>68</v>
      </c>
      <c r="Z65">
        <v>2.7</v>
      </c>
      <c r="AA65">
        <v>0</v>
      </c>
      <c r="AB65" s="3">
        <v>4.2361111111111113E-2</v>
      </c>
      <c r="AC65">
        <v>0</v>
      </c>
    </row>
    <row r="66" spans="1:30" x14ac:dyDescent="0.2">
      <c r="A66" t="s">
        <v>72</v>
      </c>
      <c r="C66">
        <v>0</v>
      </c>
      <c r="D66" t="s">
        <v>5</v>
      </c>
      <c r="E66">
        <v>3300</v>
      </c>
      <c r="F66" t="s">
        <v>163</v>
      </c>
      <c r="G66" t="s">
        <v>164</v>
      </c>
      <c r="H66" s="2">
        <v>0.8125</v>
      </c>
      <c r="I66" t="s">
        <v>159</v>
      </c>
      <c r="J66" s="1">
        <v>0.56000000000000005</v>
      </c>
      <c r="K66">
        <v>78.5</v>
      </c>
      <c r="L66">
        <v>6.5</v>
      </c>
      <c r="M66">
        <v>3.25</v>
      </c>
      <c r="N66">
        <v>3.35</v>
      </c>
      <c r="O66">
        <v>3</v>
      </c>
      <c r="P66">
        <v>2</v>
      </c>
      <c r="Q66" s="3">
        <v>0.67777777777777781</v>
      </c>
      <c r="R66">
        <v>6.7</v>
      </c>
      <c r="S66">
        <v>6.29</v>
      </c>
      <c r="T66">
        <v>19.73</v>
      </c>
      <c r="U66">
        <v>7.15</v>
      </c>
      <c r="V66">
        <v>7.15</v>
      </c>
      <c r="W66">
        <v>100</v>
      </c>
      <c r="Y66">
        <v>53</v>
      </c>
      <c r="Z66">
        <v>2.2000000000000002</v>
      </c>
      <c r="AA66">
        <v>0</v>
      </c>
      <c r="AB66" s="3">
        <v>0.61805555555555558</v>
      </c>
      <c r="AC66">
        <v>1.3</v>
      </c>
      <c r="AD66">
        <v>0.4</v>
      </c>
    </row>
    <row r="67" spans="1:30" x14ac:dyDescent="0.2">
      <c r="A67" t="s">
        <v>62</v>
      </c>
      <c r="C67">
        <v>0</v>
      </c>
      <c r="D67" t="s">
        <v>12</v>
      </c>
      <c r="E67">
        <v>3000</v>
      </c>
      <c r="F67" t="s">
        <v>157</v>
      </c>
      <c r="G67" t="s">
        <v>158</v>
      </c>
      <c r="H67" s="2">
        <v>0.79166666666666663</v>
      </c>
      <c r="I67" t="s">
        <v>159</v>
      </c>
      <c r="J67" s="1">
        <v>0.54200000000000004</v>
      </c>
      <c r="K67">
        <v>84.5</v>
      </c>
      <c r="L67">
        <v>6.5</v>
      </c>
      <c r="M67">
        <v>3.25</v>
      </c>
      <c r="N67">
        <v>3.5</v>
      </c>
      <c r="O67">
        <v>1</v>
      </c>
      <c r="Q67" s="3">
        <v>0.84097222222222223</v>
      </c>
      <c r="R67">
        <v>5.8</v>
      </c>
      <c r="S67">
        <v>4.12</v>
      </c>
      <c r="T67">
        <v>15.43</v>
      </c>
      <c r="U67">
        <v>7.19</v>
      </c>
      <c r="V67">
        <v>7.19</v>
      </c>
      <c r="W67">
        <v>100</v>
      </c>
      <c r="Y67">
        <v>64</v>
      </c>
      <c r="Z67">
        <v>2.4</v>
      </c>
      <c r="AA67">
        <v>0</v>
      </c>
      <c r="AB67" s="3">
        <v>0.95277777777777772</v>
      </c>
      <c r="AC67">
        <v>5.8</v>
      </c>
      <c r="AD67">
        <v>1.9</v>
      </c>
    </row>
    <row r="68" spans="1:30" x14ac:dyDescent="0.2">
      <c r="A68" t="s">
        <v>70</v>
      </c>
      <c r="C68">
        <v>0</v>
      </c>
      <c r="D68" t="s">
        <v>10</v>
      </c>
      <c r="E68">
        <v>2900</v>
      </c>
      <c r="F68" t="s">
        <v>163</v>
      </c>
      <c r="G68" t="s">
        <v>164</v>
      </c>
      <c r="H68" s="2">
        <v>0.8125</v>
      </c>
      <c r="I68" t="s">
        <v>159</v>
      </c>
      <c r="J68" s="1">
        <v>0.56000000000000005</v>
      </c>
      <c r="K68">
        <v>78.5</v>
      </c>
      <c r="L68">
        <v>6.5</v>
      </c>
      <c r="M68">
        <v>3.25</v>
      </c>
      <c r="N68">
        <v>3.35</v>
      </c>
      <c r="O68">
        <v>2</v>
      </c>
      <c r="P68">
        <v>2</v>
      </c>
      <c r="Q68" s="3">
        <v>0.57222222222222219</v>
      </c>
      <c r="R68">
        <v>5.3</v>
      </c>
      <c r="S68">
        <v>5.53</v>
      </c>
      <c r="T68">
        <v>19.09</v>
      </c>
      <c r="U68">
        <v>8.0299999999999994</v>
      </c>
      <c r="V68">
        <v>8.0299999999999994</v>
      </c>
      <c r="W68">
        <v>100</v>
      </c>
      <c r="Y68">
        <v>48</v>
      </c>
      <c r="Z68">
        <v>2.8</v>
      </c>
      <c r="AA68">
        <v>0</v>
      </c>
      <c r="AB68" s="3">
        <v>0.59166666666666667</v>
      </c>
      <c r="AC68">
        <v>1.5</v>
      </c>
      <c r="AD68">
        <v>0.5</v>
      </c>
    </row>
    <row r="69" spans="1:30" x14ac:dyDescent="0.2">
      <c r="A69" t="s">
        <v>93</v>
      </c>
      <c r="C69">
        <v>0</v>
      </c>
      <c r="D69" t="s">
        <v>12</v>
      </c>
      <c r="E69">
        <v>2500</v>
      </c>
      <c r="F69" t="s">
        <v>155</v>
      </c>
      <c r="G69" t="s">
        <v>156</v>
      </c>
      <c r="H69" s="2">
        <v>0.79166666666666663</v>
      </c>
      <c r="I69" t="s">
        <v>152</v>
      </c>
      <c r="J69" s="1">
        <v>0.45800000000000002</v>
      </c>
      <c r="K69">
        <v>-84.5</v>
      </c>
      <c r="L69">
        <v>6.5</v>
      </c>
      <c r="M69">
        <v>3.5</v>
      </c>
      <c r="N69">
        <v>3.25</v>
      </c>
      <c r="O69">
        <v>3</v>
      </c>
      <c r="Q69" s="3">
        <v>0.72291666666666665</v>
      </c>
      <c r="R69">
        <v>5.0999999999999996</v>
      </c>
      <c r="S69">
        <v>4.46</v>
      </c>
      <c r="T69">
        <v>15.99</v>
      </c>
      <c r="U69">
        <v>7.07</v>
      </c>
      <c r="V69">
        <v>7.07</v>
      </c>
      <c r="W69">
        <v>100</v>
      </c>
      <c r="Y69">
        <v>56</v>
      </c>
      <c r="Z69">
        <v>2.8</v>
      </c>
      <c r="AA69">
        <v>0</v>
      </c>
      <c r="AB69" s="3">
        <v>0.69305555555555554</v>
      </c>
      <c r="AC69">
        <v>4.3</v>
      </c>
      <c r="AD69">
        <v>1.7</v>
      </c>
    </row>
    <row r="70" spans="1:30" x14ac:dyDescent="0.2">
      <c r="A70" t="s">
        <v>61</v>
      </c>
      <c r="C70">
        <v>0</v>
      </c>
      <c r="D70" t="s">
        <v>15</v>
      </c>
      <c r="E70">
        <v>7300</v>
      </c>
      <c r="F70" t="s">
        <v>157</v>
      </c>
      <c r="G70" t="s">
        <v>158</v>
      </c>
      <c r="H70" s="2">
        <v>0.79166666666666663</v>
      </c>
      <c r="I70" t="s">
        <v>159</v>
      </c>
      <c r="J70" s="1">
        <v>0.54200000000000004</v>
      </c>
      <c r="K70">
        <v>84.5</v>
      </c>
      <c r="L70">
        <v>6.5</v>
      </c>
      <c r="M70">
        <v>3.25</v>
      </c>
      <c r="N70">
        <v>3.5</v>
      </c>
      <c r="O70" t="s">
        <v>162</v>
      </c>
      <c r="Q70" s="4">
        <v>1.9215277777777777</v>
      </c>
      <c r="R70">
        <v>4</v>
      </c>
      <c r="S70">
        <v>6.91</v>
      </c>
      <c r="T70">
        <v>19.62</v>
      </c>
      <c r="U70">
        <v>5.8</v>
      </c>
      <c r="V70">
        <v>5.8</v>
      </c>
      <c r="W70">
        <v>100</v>
      </c>
      <c r="Y70">
        <v>14</v>
      </c>
      <c r="Z70">
        <v>0.8</v>
      </c>
      <c r="AA70">
        <v>0</v>
      </c>
      <c r="AB70" s="4">
        <v>2.5</v>
      </c>
      <c r="AC70">
        <v>4.2</v>
      </c>
      <c r="AD70">
        <v>0.6</v>
      </c>
    </row>
    <row r="71" spans="1:30" x14ac:dyDescent="0.2">
      <c r="A71" t="s">
        <v>103</v>
      </c>
      <c r="C71">
        <v>0</v>
      </c>
      <c r="D71" t="s">
        <v>10</v>
      </c>
      <c r="E71">
        <v>2500</v>
      </c>
      <c r="F71" t="s">
        <v>153</v>
      </c>
      <c r="G71" t="s">
        <v>154</v>
      </c>
      <c r="H71" s="2">
        <v>0.8125</v>
      </c>
      <c r="I71" t="s">
        <v>152</v>
      </c>
      <c r="J71" s="1">
        <v>0.44</v>
      </c>
      <c r="K71">
        <v>-78.5</v>
      </c>
      <c r="L71">
        <v>6.5</v>
      </c>
      <c r="M71">
        <v>3.35</v>
      </c>
      <c r="N71">
        <v>3.25</v>
      </c>
      <c r="O71">
        <v>4</v>
      </c>
      <c r="Q71" s="3">
        <v>0.54861111111111116</v>
      </c>
      <c r="R71">
        <v>5.3</v>
      </c>
      <c r="S71">
        <v>5.48</v>
      </c>
      <c r="T71">
        <v>17.73</v>
      </c>
      <c r="U71">
        <v>6.77</v>
      </c>
      <c r="V71">
        <v>6.77</v>
      </c>
      <c r="W71">
        <v>100</v>
      </c>
      <c r="Y71">
        <v>48</v>
      </c>
      <c r="Z71">
        <v>2.7</v>
      </c>
      <c r="AA71">
        <v>0</v>
      </c>
      <c r="AB71" s="3">
        <v>0.3125</v>
      </c>
      <c r="AC71">
        <v>1.3</v>
      </c>
      <c r="AD71">
        <v>0.5</v>
      </c>
    </row>
    <row r="72" spans="1:30" x14ac:dyDescent="0.2">
      <c r="A72" t="s">
        <v>6</v>
      </c>
      <c r="C72">
        <v>0</v>
      </c>
      <c r="D72" t="s">
        <v>10</v>
      </c>
      <c r="E72">
        <v>4300</v>
      </c>
      <c r="F72" t="s">
        <v>150</v>
      </c>
      <c r="G72" t="s">
        <v>151</v>
      </c>
      <c r="H72" s="2">
        <v>0.8125</v>
      </c>
      <c r="I72" t="s">
        <v>152</v>
      </c>
      <c r="J72" s="1">
        <v>0.495</v>
      </c>
      <c r="K72">
        <v>-98</v>
      </c>
      <c r="L72">
        <v>6.5</v>
      </c>
      <c r="M72">
        <v>3.25</v>
      </c>
      <c r="N72">
        <v>3.02</v>
      </c>
      <c r="O72">
        <v>1</v>
      </c>
      <c r="P72">
        <v>1</v>
      </c>
      <c r="Q72" s="3">
        <v>0.56597222222222221</v>
      </c>
      <c r="R72">
        <v>7</v>
      </c>
      <c r="S72">
        <v>9.11</v>
      </c>
      <c r="T72">
        <v>23.73</v>
      </c>
      <c r="U72">
        <v>5.51</v>
      </c>
      <c r="V72">
        <v>5.51</v>
      </c>
      <c r="W72">
        <v>100</v>
      </c>
      <c r="Y72">
        <v>35</v>
      </c>
      <c r="Z72">
        <v>1.3</v>
      </c>
      <c r="AA72">
        <v>0</v>
      </c>
      <c r="AB72" s="3">
        <v>0.64027777777777772</v>
      </c>
      <c r="AC72">
        <v>3</v>
      </c>
      <c r="AD72">
        <v>0.7</v>
      </c>
    </row>
    <row r="73" spans="1:30" x14ac:dyDescent="0.2">
      <c r="A73" t="s">
        <v>71</v>
      </c>
      <c r="C73">
        <v>0</v>
      </c>
      <c r="D73" t="s">
        <v>10</v>
      </c>
      <c r="E73">
        <v>3700</v>
      </c>
      <c r="F73" t="s">
        <v>153</v>
      </c>
      <c r="G73" t="s">
        <v>154</v>
      </c>
      <c r="H73" s="2">
        <v>0.8125</v>
      </c>
      <c r="I73" t="s">
        <v>152</v>
      </c>
      <c r="J73" s="1">
        <v>0.44</v>
      </c>
      <c r="K73">
        <v>-78.5</v>
      </c>
      <c r="L73">
        <v>6.5</v>
      </c>
      <c r="M73">
        <v>3.35</v>
      </c>
      <c r="N73">
        <v>3.25</v>
      </c>
      <c r="O73">
        <v>2</v>
      </c>
      <c r="P73">
        <v>1</v>
      </c>
      <c r="Q73" s="3">
        <v>0.57916666666666672</v>
      </c>
      <c r="R73">
        <v>4.8</v>
      </c>
      <c r="S73">
        <v>4.1900000000000004</v>
      </c>
      <c r="T73">
        <v>14.03</v>
      </c>
      <c r="U73">
        <v>5.65</v>
      </c>
      <c r="V73">
        <v>5.65</v>
      </c>
      <c r="W73">
        <v>100</v>
      </c>
      <c r="Y73">
        <v>56</v>
      </c>
      <c r="Z73">
        <v>1.5</v>
      </c>
      <c r="AA73">
        <v>0</v>
      </c>
      <c r="AB73" s="3">
        <v>0.52500000000000002</v>
      </c>
      <c r="AC73">
        <v>8</v>
      </c>
      <c r="AD73">
        <v>2.2000000000000002</v>
      </c>
    </row>
    <row r="74" spans="1:30" x14ac:dyDescent="0.2">
      <c r="A74" t="s">
        <v>79</v>
      </c>
      <c r="C74">
        <v>0</v>
      </c>
      <c r="D74" t="s">
        <v>12</v>
      </c>
      <c r="E74">
        <v>2900</v>
      </c>
      <c r="F74" t="s">
        <v>160</v>
      </c>
      <c r="G74" t="s">
        <v>161</v>
      </c>
      <c r="H74" s="2">
        <v>0.8125</v>
      </c>
      <c r="I74" t="s">
        <v>159</v>
      </c>
      <c r="J74" s="1">
        <v>0.505</v>
      </c>
      <c r="K74">
        <v>98</v>
      </c>
      <c r="L74">
        <v>6.5</v>
      </c>
      <c r="M74">
        <v>3.02</v>
      </c>
      <c r="N74">
        <v>3.25</v>
      </c>
      <c r="O74">
        <v>1</v>
      </c>
      <c r="Q74" s="3">
        <v>0.83194444444444449</v>
      </c>
      <c r="R74">
        <v>6.4</v>
      </c>
      <c r="S74">
        <v>5.89</v>
      </c>
      <c r="T74">
        <v>17.86</v>
      </c>
      <c r="U74">
        <v>6.08</v>
      </c>
      <c r="V74">
        <v>6.08</v>
      </c>
      <c r="W74">
        <v>100</v>
      </c>
      <c r="Y74">
        <v>54</v>
      </c>
      <c r="Z74">
        <v>2.1</v>
      </c>
      <c r="AA74">
        <v>0</v>
      </c>
      <c r="AB74" s="3">
        <v>0.91319444444444442</v>
      </c>
      <c r="AC74">
        <v>12.8</v>
      </c>
      <c r="AD74">
        <v>4.4000000000000004</v>
      </c>
    </row>
    <row r="75" spans="1:30" x14ac:dyDescent="0.2">
      <c r="A75" t="s">
        <v>75</v>
      </c>
      <c r="C75">
        <v>0</v>
      </c>
      <c r="D75" t="s">
        <v>12</v>
      </c>
      <c r="E75">
        <v>2800</v>
      </c>
      <c r="F75" t="s">
        <v>153</v>
      </c>
      <c r="G75" t="s">
        <v>154</v>
      </c>
      <c r="H75" s="2">
        <v>0.8125</v>
      </c>
      <c r="I75" t="s">
        <v>152</v>
      </c>
      <c r="J75" s="1">
        <v>0.44</v>
      </c>
      <c r="K75">
        <v>-78.5</v>
      </c>
      <c r="L75">
        <v>6.5</v>
      </c>
      <c r="M75">
        <v>3.35</v>
      </c>
      <c r="N75">
        <v>3.25</v>
      </c>
      <c r="O75">
        <v>3</v>
      </c>
      <c r="Q75" s="3">
        <v>0.74444444444444446</v>
      </c>
      <c r="R75">
        <v>4.9000000000000004</v>
      </c>
      <c r="S75">
        <v>3.83</v>
      </c>
      <c r="T75">
        <v>13.52</v>
      </c>
      <c r="U75">
        <v>5.86</v>
      </c>
      <c r="V75">
        <v>5.86</v>
      </c>
      <c r="W75">
        <v>100</v>
      </c>
      <c r="Y75">
        <v>61</v>
      </c>
      <c r="Z75">
        <v>2.1</v>
      </c>
      <c r="AA75">
        <v>0</v>
      </c>
      <c r="AB75" s="3">
        <v>0.77430555555555558</v>
      </c>
      <c r="AC75">
        <v>11.5</v>
      </c>
      <c r="AD75">
        <v>4.0999999999999996</v>
      </c>
    </row>
    <row r="76" spans="1:30" x14ac:dyDescent="0.2">
      <c r="A76" t="s">
        <v>89</v>
      </c>
      <c r="C76">
        <v>0</v>
      </c>
      <c r="D76" t="s">
        <v>10</v>
      </c>
      <c r="E76">
        <v>2800</v>
      </c>
      <c r="F76" t="s">
        <v>153</v>
      </c>
      <c r="G76" t="s">
        <v>154</v>
      </c>
      <c r="H76" s="2">
        <v>0.8125</v>
      </c>
      <c r="I76" t="s">
        <v>152</v>
      </c>
      <c r="J76" s="1">
        <v>0.44</v>
      </c>
      <c r="K76">
        <v>-78.5</v>
      </c>
      <c r="L76">
        <v>6.5</v>
      </c>
      <c r="M76">
        <v>3.35</v>
      </c>
      <c r="N76">
        <v>3.25</v>
      </c>
      <c r="O76">
        <v>3</v>
      </c>
      <c r="Q76" s="3">
        <v>0.60138888888888886</v>
      </c>
      <c r="R76">
        <v>5.0999999999999996</v>
      </c>
      <c r="S76">
        <v>6.92</v>
      </c>
      <c r="T76">
        <v>19.88</v>
      </c>
      <c r="U76">
        <v>6.04</v>
      </c>
      <c r="V76">
        <v>6.04</v>
      </c>
      <c r="W76">
        <v>100</v>
      </c>
      <c r="Y76">
        <v>32</v>
      </c>
      <c r="Z76">
        <v>2.2000000000000002</v>
      </c>
      <c r="AA76">
        <v>0</v>
      </c>
      <c r="AB76" s="3">
        <v>0.58611111111111114</v>
      </c>
      <c r="AC76">
        <v>17.8</v>
      </c>
      <c r="AD76">
        <v>6.4</v>
      </c>
    </row>
    <row r="77" spans="1:30" x14ac:dyDescent="0.2">
      <c r="A77" t="s">
        <v>92</v>
      </c>
      <c r="C77">
        <v>0</v>
      </c>
      <c r="D77" t="s">
        <v>12</v>
      </c>
      <c r="E77">
        <v>2800</v>
      </c>
      <c r="F77" t="s">
        <v>160</v>
      </c>
      <c r="G77" t="s">
        <v>161</v>
      </c>
      <c r="H77" s="2">
        <v>0.8125</v>
      </c>
      <c r="I77" t="s">
        <v>159</v>
      </c>
      <c r="J77" s="1">
        <v>0.505</v>
      </c>
      <c r="K77">
        <v>98</v>
      </c>
      <c r="L77">
        <v>6.5</v>
      </c>
      <c r="M77">
        <v>3.02</v>
      </c>
      <c r="N77">
        <v>3.25</v>
      </c>
      <c r="O77">
        <v>3</v>
      </c>
      <c r="P77">
        <v>2</v>
      </c>
      <c r="Q77" s="3">
        <v>0.72847222222222219</v>
      </c>
      <c r="R77">
        <v>5.2</v>
      </c>
      <c r="S77">
        <v>5.29</v>
      </c>
      <c r="T77">
        <v>16.04</v>
      </c>
      <c r="U77">
        <v>5.46</v>
      </c>
      <c r="V77">
        <v>5.46</v>
      </c>
      <c r="W77">
        <v>100</v>
      </c>
      <c r="Y77">
        <v>49</v>
      </c>
      <c r="Z77">
        <v>2</v>
      </c>
      <c r="AA77">
        <v>0</v>
      </c>
      <c r="AB77" s="3">
        <v>0.62916666666666665</v>
      </c>
      <c r="AC77">
        <v>7.6</v>
      </c>
      <c r="AD77">
        <v>2.7</v>
      </c>
    </row>
    <row r="78" spans="1:30" x14ac:dyDescent="0.2">
      <c r="A78" t="s">
        <v>87</v>
      </c>
      <c r="C78">
        <v>0</v>
      </c>
      <c r="D78" t="s">
        <v>5</v>
      </c>
      <c r="E78">
        <v>2800</v>
      </c>
      <c r="F78" t="s">
        <v>150</v>
      </c>
      <c r="G78" t="s">
        <v>151</v>
      </c>
      <c r="H78" s="2">
        <v>0.8125</v>
      </c>
      <c r="I78" t="s">
        <v>152</v>
      </c>
      <c r="J78" s="1">
        <v>0.495</v>
      </c>
      <c r="K78">
        <v>-98</v>
      </c>
      <c r="L78">
        <v>6.5</v>
      </c>
      <c r="M78">
        <v>3.25</v>
      </c>
      <c r="N78">
        <v>3.02</v>
      </c>
      <c r="O78">
        <v>3</v>
      </c>
      <c r="Q78" s="3">
        <v>0.6118055555555556</v>
      </c>
      <c r="R78">
        <v>5.0999999999999996</v>
      </c>
      <c r="S78">
        <v>4.78</v>
      </c>
      <c r="T78">
        <v>15.39</v>
      </c>
      <c r="U78">
        <v>5.83</v>
      </c>
      <c r="V78">
        <v>5.83</v>
      </c>
      <c r="W78">
        <v>100</v>
      </c>
      <c r="Y78">
        <v>53</v>
      </c>
      <c r="Z78">
        <v>2.1</v>
      </c>
      <c r="AA78">
        <v>0</v>
      </c>
      <c r="AB78" s="3">
        <v>0.6875</v>
      </c>
      <c r="AC78">
        <v>6.5</v>
      </c>
      <c r="AD78">
        <v>2.2999999999999998</v>
      </c>
    </row>
    <row r="79" spans="1:30" x14ac:dyDescent="0.2">
      <c r="A79" t="s">
        <v>88</v>
      </c>
      <c r="C79">
        <v>0</v>
      </c>
      <c r="D79" t="s">
        <v>12</v>
      </c>
      <c r="E79">
        <v>2700</v>
      </c>
      <c r="F79" t="s">
        <v>157</v>
      </c>
      <c r="G79" t="s">
        <v>158</v>
      </c>
      <c r="H79" s="2">
        <v>0.79166666666666663</v>
      </c>
      <c r="I79" t="s">
        <v>159</v>
      </c>
      <c r="J79" s="1">
        <v>0.54200000000000004</v>
      </c>
      <c r="K79">
        <v>84.5</v>
      </c>
      <c r="L79">
        <v>6.5</v>
      </c>
      <c r="M79">
        <v>3.25</v>
      </c>
      <c r="N79">
        <v>3.5</v>
      </c>
      <c r="O79">
        <v>3</v>
      </c>
      <c r="P79">
        <v>2</v>
      </c>
      <c r="Q79" s="3">
        <v>0.65833333333333333</v>
      </c>
      <c r="R79">
        <v>4.3</v>
      </c>
      <c r="S79">
        <v>3.65</v>
      </c>
      <c r="T79">
        <v>13.06</v>
      </c>
      <c r="U79">
        <v>5.76</v>
      </c>
      <c r="V79">
        <v>5.76</v>
      </c>
      <c r="W79">
        <v>100</v>
      </c>
      <c r="Y79">
        <v>58</v>
      </c>
      <c r="Z79">
        <v>2.1</v>
      </c>
      <c r="AA79">
        <v>0</v>
      </c>
      <c r="AB79" s="3">
        <v>0.55763888888888891</v>
      </c>
      <c r="AC79">
        <v>0</v>
      </c>
    </row>
    <row r="80" spans="1:30" x14ac:dyDescent="0.2">
      <c r="A80" t="s">
        <v>83</v>
      </c>
      <c r="C80">
        <v>0</v>
      </c>
      <c r="D80" t="s">
        <v>12</v>
      </c>
      <c r="E80">
        <v>2700</v>
      </c>
      <c r="F80" t="s">
        <v>157</v>
      </c>
      <c r="G80" t="s">
        <v>158</v>
      </c>
      <c r="H80" s="2">
        <v>0.79166666666666663</v>
      </c>
      <c r="I80" t="s">
        <v>159</v>
      </c>
      <c r="J80" s="1">
        <v>0.54200000000000004</v>
      </c>
      <c r="K80">
        <v>84.5</v>
      </c>
      <c r="L80">
        <v>6.5</v>
      </c>
      <c r="M80">
        <v>3.25</v>
      </c>
      <c r="N80">
        <v>3.5</v>
      </c>
      <c r="O80">
        <v>2</v>
      </c>
      <c r="Q80" s="3">
        <v>0.69652777777777775</v>
      </c>
      <c r="R80">
        <v>4.9000000000000004</v>
      </c>
      <c r="S80">
        <v>4.76</v>
      </c>
      <c r="T80">
        <v>15.93</v>
      </c>
      <c r="U80">
        <v>6.41</v>
      </c>
      <c r="V80">
        <v>6.41</v>
      </c>
      <c r="W80">
        <v>100</v>
      </c>
      <c r="Y80">
        <v>51</v>
      </c>
      <c r="Z80">
        <v>2.4</v>
      </c>
      <c r="AA80">
        <v>0</v>
      </c>
      <c r="AB80" s="3">
        <v>0.92638888888888893</v>
      </c>
      <c r="AC80">
        <v>4.0999999999999996</v>
      </c>
      <c r="AD80">
        <v>1.5</v>
      </c>
    </row>
    <row r="81" spans="1:30" x14ac:dyDescent="0.2">
      <c r="A81" t="s">
        <v>58</v>
      </c>
      <c r="C81">
        <v>0</v>
      </c>
      <c r="D81" t="s">
        <v>10</v>
      </c>
      <c r="E81">
        <v>3300</v>
      </c>
      <c r="F81" t="s">
        <v>155</v>
      </c>
      <c r="G81" t="s">
        <v>156</v>
      </c>
      <c r="H81" s="2">
        <v>0.79166666666666663</v>
      </c>
      <c r="I81" t="s">
        <v>152</v>
      </c>
      <c r="J81" s="1">
        <v>0.45800000000000002</v>
      </c>
      <c r="K81">
        <v>-84.5</v>
      </c>
      <c r="L81">
        <v>6.5</v>
      </c>
      <c r="M81">
        <v>3.5</v>
      </c>
      <c r="N81">
        <v>3.25</v>
      </c>
      <c r="O81">
        <v>2</v>
      </c>
      <c r="P81">
        <v>1</v>
      </c>
      <c r="Q81" s="3">
        <v>0.72569444444444442</v>
      </c>
      <c r="R81">
        <v>5.0999999999999996</v>
      </c>
      <c r="S81">
        <v>4.5999999999999996</v>
      </c>
      <c r="T81">
        <v>14.44</v>
      </c>
      <c r="U81">
        <v>5.24</v>
      </c>
      <c r="V81">
        <v>5.24</v>
      </c>
      <c r="W81">
        <v>100</v>
      </c>
      <c r="Y81">
        <v>55</v>
      </c>
      <c r="Z81">
        <v>1.6</v>
      </c>
      <c r="AA81">
        <v>0</v>
      </c>
      <c r="AB81" s="3">
        <v>0.68263888888888891</v>
      </c>
      <c r="AC81">
        <v>1.5</v>
      </c>
      <c r="AD81">
        <v>0.5</v>
      </c>
    </row>
    <row r="82" spans="1:30" x14ac:dyDescent="0.2">
      <c r="A82" t="s">
        <v>97</v>
      </c>
      <c r="C82">
        <v>0</v>
      </c>
      <c r="D82" t="s">
        <v>10</v>
      </c>
      <c r="E82">
        <v>2700</v>
      </c>
      <c r="F82" t="s">
        <v>163</v>
      </c>
      <c r="G82" t="s">
        <v>164</v>
      </c>
      <c r="H82" s="2">
        <v>0.8125</v>
      </c>
      <c r="I82" t="s">
        <v>159</v>
      </c>
      <c r="J82" s="1">
        <v>0.56000000000000005</v>
      </c>
      <c r="K82">
        <v>78.5</v>
      </c>
      <c r="L82">
        <v>6.5</v>
      </c>
      <c r="M82">
        <v>3.25</v>
      </c>
      <c r="N82">
        <v>3.35</v>
      </c>
      <c r="O82">
        <v>4</v>
      </c>
      <c r="Q82" s="3">
        <v>0.52847222222222223</v>
      </c>
      <c r="R82">
        <v>5.2</v>
      </c>
      <c r="S82">
        <v>5.49</v>
      </c>
      <c r="T82">
        <v>16.670000000000002</v>
      </c>
      <c r="U82">
        <v>5.69</v>
      </c>
      <c r="V82">
        <v>5.69</v>
      </c>
      <c r="W82">
        <v>100</v>
      </c>
      <c r="Y82">
        <v>47</v>
      </c>
      <c r="Z82">
        <v>2.1</v>
      </c>
      <c r="AA82">
        <v>0</v>
      </c>
      <c r="AB82" s="3">
        <v>0.41249999999999998</v>
      </c>
      <c r="AC82">
        <v>1.3</v>
      </c>
      <c r="AD82">
        <v>0.5</v>
      </c>
    </row>
    <row r="83" spans="1:30" x14ac:dyDescent="0.2">
      <c r="A83" t="s">
        <v>78</v>
      </c>
      <c r="C83">
        <v>0</v>
      </c>
      <c r="D83" t="s">
        <v>5</v>
      </c>
      <c r="E83">
        <v>2700</v>
      </c>
      <c r="F83" t="s">
        <v>150</v>
      </c>
      <c r="G83" t="s">
        <v>151</v>
      </c>
      <c r="H83" s="2">
        <v>0.8125</v>
      </c>
      <c r="I83" t="s">
        <v>152</v>
      </c>
      <c r="J83" s="1">
        <v>0.495</v>
      </c>
      <c r="K83">
        <v>-98</v>
      </c>
      <c r="L83">
        <v>6.5</v>
      </c>
      <c r="M83">
        <v>3.25</v>
      </c>
      <c r="N83">
        <v>3.02</v>
      </c>
      <c r="O83">
        <v>4</v>
      </c>
      <c r="Q83" s="3">
        <v>0.51597222222222228</v>
      </c>
      <c r="R83">
        <v>5.6</v>
      </c>
      <c r="S83">
        <v>6.37</v>
      </c>
      <c r="T83">
        <v>18.78</v>
      </c>
      <c r="U83">
        <v>6.04</v>
      </c>
      <c r="V83">
        <v>6.04</v>
      </c>
      <c r="W83">
        <v>100</v>
      </c>
      <c r="Y83">
        <v>43</v>
      </c>
      <c r="Z83">
        <v>2.2000000000000002</v>
      </c>
      <c r="AA83">
        <v>0</v>
      </c>
      <c r="AB83" s="3">
        <v>0.58611111111111114</v>
      </c>
      <c r="AC83">
        <v>12.8</v>
      </c>
      <c r="AD83">
        <v>4.7</v>
      </c>
    </row>
    <row r="84" spans="1:30" x14ac:dyDescent="0.2">
      <c r="A84" t="s">
        <v>90</v>
      </c>
      <c r="C84">
        <v>0</v>
      </c>
      <c r="D84" t="s">
        <v>5</v>
      </c>
      <c r="E84">
        <v>2600</v>
      </c>
      <c r="F84" t="s">
        <v>157</v>
      </c>
      <c r="G84" t="s">
        <v>158</v>
      </c>
      <c r="H84" s="2">
        <v>0.79166666666666663</v>
      </c>
      <c r="I84" t="s">
        <v>159</v>
      </c>
      <c r="J84" s="1">
        <v>0.54200000000000004</v>
      </c>
      <c r="K84">
        <v>84.5</v>
      </c>
      <c r="L84">
        <v>6.5</v>
      </c>
      <c r="M84">
        <v>3.25</v>
      </c>
      <c r="N84">
        <v>3.5</v>
      </c>
      <c r="O84">
        <v>3</v>
      </c>
      <c r="P84">
        <v>2</v>
      </c>
      <c r="Q84" s="3">
        <v>0.56180555555555556</v>
      </c>
      <c r="R84">
        <v>4.5999999999999996</v>
      </c>
      <c r="S84">
        <v>4.59</v>
      </c>
      <c r="T84">
        <v>14.69</v>
      </c>
      <c r="U84">
        <v>5.51</v>
      </c>
      <c r="V84">
        <v>5.51</v>
      </c>
      <c r="W84">
        <v>100</v>
      </c>
      <c r="Y84">
        <v>50</v>
      </c>
      <c r="Z84">
        <v>2.1</v>
      </c>
      <c r="AA84">
        <v>0</v>
      </c>
      <c r="AB84" s="3">
        <v>0.60069444444444442</v>
      </c>
      <c r="AC84">
        <v>6.3</v>
      </c>
      <c r="AD84">
        <v>2.4</v>
      </c>
    </row>
    <row r="85" spans="1:30" x14ac:dyDescent="0.2">
      <c r="A85" t="s">
        <v>95</v>
      </c>
      <c r="C85">
        <v>0</v>
      </c>
      <c r="D85" t="s">
        <v>12</v>
      </c>
      <c r="E85">
        <v>2600</v>
      </c>
      <c r="F85" t="s">
        <v>160</v>
      </c>
      <c r="G85" t="s">
        <v>161</v>
      </c>
      <c r="H85" s="2">
        <v>0.8125</v>
      </c>
      <c r="I85" t="s">
        <v>159</v>
      </c>
      <c r="J85" s="1">
        <v>0.505</v>
      </c>
      <c r="K85">
        <v>98</v>
      </c>
      <c r="L85">
        <v>6.5</v>
      </c>
      <c r="M85">
        <v>3.02</v>
      </c>
      <c r="N85">
        <v>3.25</v>
      </c>
      <c r="O85">
        <v>2</v>
      </c>
      <c r="Q85" s="3">
        <v>0.70277777777777772</v>
      </c>
      <c r="R85">
        <v>4.7</v>
      </c>
      <c r="S85">
        <v>4.8</v>
      </c>
      <c r="T85">
        <v>15.15</v>
      </c>
      <c r="U85">
        <v>5.55</v>
      </c>
      <c r="V85">
        <v>5.55</v>
      </c>
      <c r="W85">
        <v>100</v>
      </c>
      <c r="Y85">
        <v>49</v>
      </c>
      <c r="Z85">
        <v>2.1</v>
      </c>
      <c r="AA85">
        <v>0</v>
      </c>
      <c r="AB85" s="3">
        <v>0.71111111111111114</v>
      </c>
      <c r="AC85">
        <v>5</v>
      </c>
      <c r="AD85">
        <v>1.9</v>
      </c>
    </row>
    <row r="86" spans="1:30" x14ac:dyDescent="0.2">
      <c r="A86" t="s">
        <v>86</v>
      </c>
      <c r="C86">
        <v>0</v>
      </c>
      <c r="D86" t="s">
        <v>12</v>
      </c>
      <c r="E86">
        <v>2600</v>
      </c>
      <c r="F86" t="s">
        <v>150</v>
      </c>
      <c r="G86" t="s">
        <v>151</v>
      </c>
      <c r="H86" s="2">
        <v>0.8125</v>
      </c>
      <c r="I86" t="s">
        <v>152</v>
      </c>
      <c r="J86" s="1">
        <v>0.495</v>
      </c>
      <c r="K86">
        <v>-98</v>
      </c>
      <c r="L86">
        <v>6.5</v>
      </c>
      <c r="M86">
        <v>3.25</v>
      </c>
      <c r="N86">
        <v>3.02</v>
      </c>
      <c r="O86">
        <v>3</v>
      </c>
      <c r="Q86" s="3">
        <v>0.74583333333333335</v>
      </c>
      <c r="R86">
        <v>4.4000000000000004</v>
      </c>
      <c r="S86">
        <v>4.43</v>
      </c>
      <c r="T86">
        <v>14.24</v>
      </c>
      <c r="U86">
        <v>5.38</v>
      </c>
      <c r="V86">
        <v>5.38</v>
      </c>
      <c r="W86">
        <v>100</v>
      </c>
      <c r="Y86">
        <v>50</v>
      </c>
      <c r="Z86">
        <v>2.1</v>
      </c>
      <c r="AA86">
        <v>0</v>
      </c>
      <c r="AB86" s="3">
        <v>0.71111111111111114</v>
      </c>
      <c r="AC86">
        <v>0</v>
      </c>
    </row>
    <row r="87" spans="1:30" x14ac:dyDescent="0.2">
      <c r="A87" t="s">
        <v>101</v>
      </c>
      <c r="C87">
        <v>0</v>
      </c>
      <c r="D87" t="s">
        <v>10</v>
      </c>
      <c r="E87">
        <v>2600</v>
      </c>
      <c r="F87" t="s">
        <v>150</v>
      </c>
      <c r="G87" t="s">
        <v>151</v>
      </c>
      <c r="H87" s="2">
        <v>0.8125</v>
      </c>
      <c r="I87" t="s">
        <v>152</v>
      </c>
      <c r="J87" s="1">
        <v>0.495</v>
      </c>
      <c r="K87">
        <v>-98</v>
      </c>
      <c r="L87">
        <v>6.5</v>
      </c>
      <c r="M87">
        <v>3.25</v>
      </c>
      <c r="N87">
        <v>3.02</v>
      </c>
      <c r="O87">
        <v>3</v>
      </c>
      <c r="P87">
        <v>2</v>
      </c>
      <c r="Q87" s="3">
        <v>0.43680555555555556</v>
      </c>
      <c r="R87">
        <v>4.2</v>
      </c>
      <c r="S87">
        <v>5.04</v>
      </c>
      <c r="T87">
        <v>15.53</v>
      </c>
      <c r="U87">
        <v>5.45</v>
      </c>
      <c r="V87">
        <v>5.45</v>
      </c>
      <c r="W87">
        <v>100</v>
      </c>
      <c r="Y87">
        <v>40</v>
      </c>
      <c r="Z87">
        <v>2.1</v>
      </c>
      <c r="AA87">
        <v>0</v>
      </c>
      <c r="AB87" s="3">
        <v>0.36319444444444443</v>
      </c>
      <c r="AC87">
        <v>1.5</v>
      </c>
      <c r="AD87">
        <v>0.6</v>
      </c>
    </row>
    <row r="88" spans="1:30" x14ac:dyDescent="0.2">
      <c r="A88" t="s">
        <v>69</v>
      </c>
      <c r="C88">
        <v>0</v>
      </c>
      <c r="D88" t="s">
        <v>10</v>
      </c>
      <c r="E88">
        <v>2500</v>
      </c>
      <c r="F88" t="s">
        <v>155</v>
      </c>
      <c r="G88" t="s">
        <v>156</v>
      </c>
      <c r="H88" s="2">
        <v>0.79166666666666663</v>
      </c>
      <c r="I88" t="s">
        <v>152</v>
      </c>
      <c r="J88" s="1">
        <v>0.45800000000000002</v>
      </c>
      <c r="K88">
        <v>-84.5</v>
      </c>
      <c r="L88">
        <v>6.5</v>
      </c>
      <c r="M88">
        <v>3.5</v>
      </c>
      <c r="N88">
        <v>3.25</v>
      </c>
      <c r="O88">
        <v>1</v>
      </c>
      <c r="Q88" s="3">
        <v>0.52916666666666667</v>
      </c>
      <c r="R88">
        <v>4.2</v>
      </c>
      <c r="S88">
        <v>4.55</v>
      </c>
      <c r="T88">
        <v>14.92</v>
      </c>
      <c r="U88">
        <v>5.82</v>
      </c>
      <c r="V88">
        <v>5.82</v>
      </c>
      <c r="W88">
        <v>100</v>
      </c>
      <c r="Y88">
        <v>46</v>
      </c>
      <c r="Z88">
        <v>2.2999999999999998</v>
      </c>
      <c r="AA88">
        <v>0</v>
      </c>
      <c r="AB88" s="3">
        <v>0.49513888888888891</v>
      </c>
      <c r="AC88">
        <v>17.8</v>
      </c>
      <c r="AD88">
        <v>7.1</v>
      </c>
    </row>
    <row r="89" spans="1:30" x14ac:dyDescent="0.2">
      <c r="A89" t="s">
        <v>91</v>
      </c>
      <c r="C89">
        <v>0</v>
      </c>
      <c r="D89" t="s">
        <v>12</v>
      </c>
      <c r="E89">
        <v>2500</v>
      </c>
      <c r="F89" t="s">
        <v>157</v>
      </c>
      <c r="G89" t="s">
        <v>158</v>
      </c>
      <c r="H89" s="2">
        <v>0.79166666666666663</v>
      </c>
      <c r="I89" t="s">
        <v>159</v>
      </c>
      <c r="J89" s="1">
        <v>0.54200000000000004</v>
      </c>
      <c r="K89">
        <v>84.5</v>
      </c>
      <c r="L89">
        <v>6.5</v>
      </c>
      <c r="M89">
        <v>3.25</v>
      </c>
      <c r="N89">
        <v>3.5</v>
      </c>
      <c r="O89">
        <v>2</v>
      </c>
      <c r="Q89" s="3">
        <v>0.77083333333333337</v>
      </c>
      <c r="R89">
        <v>4.8</v>
      </c>
      <c r="S89">
        <v>3.76</v>
      </c>
      <c r="T89">
        <v>13.4</v>
      </c>
      <c r="U89">
        <v>5.88</v>
      </c>
      <c r="V89">
        <v>5.88</v>
      </c>
      <c r="W89">
        <v>100</v>
      </c>
      <c r="Y89">
        <v>61</v>
      </c>
      <c r="Z89">
        <v>2.4</v>
      </c>
      <c r="AA89">
        <v>0</v>
      </c>
      <c r="AB89" s="3">
        <v>0.85972222222222228</v>
      </c>
      <c r="AC89">
        <v>7.6</v>
      </c>
      <c r="AD89">
        <v>3</v>
      </c>
    </row>
    <row r="90" spans="1:30" x14ac:dyDescent="0.2">
      <c r="A90" t="s">
        <v>118</v>
      </c>
      <c r="C90">
        <v>0</v>
      </c>
      <c r="D90" t="s">
        <v>12</v>
      </c>
      <c r="E90">
        <v>2500</v>
      </c>
      <c r="F90" t="s">
        <v>160</v>
      </c>
      <c r="G90" t="s">
        <v>161</v>
      </c>
      <c r="H90" s="2">
        <v>0.8125</v>
      </c>
      <c r="I90" t="s">
        <v>159</v>
      </c>
      <c r="J90" s="1">
        <v>0.505</v>
      </c>
      <c r="K90">
        <v>98</v>
      </c>
      <c r="L90">
        <v>6.5</v>
      </c>
      <c r="M90">
        <v>3.02</v>
      </c>
      <c r="N90">
        <v>3.25</v>
      </c>
      <c r="O90">
        <v>3</v>
      </c>
      <c r="Q90" s="3">
        <v>0.69861111111111107</v>
      </c>
      <c r="R90">
        <v>5.2</v>
      </c>
      <c r="S90">
        <v>3.74</v>
      </c>
      <c r="T90">
        <v>13.54</v>
      </c>
      <c r="U90">
        <v>6.06</v>
      </c>
      <c r="V90">
        <v>6.06</v>
      </c>
      <c r="W90">
        <v>100</v>
      </c>
      <c r="Y90">
        <v>64</v>
      </c>
      <c r="Z90">
        <v>2.4</v>
      </c>
      <c r="AA90">
        <v>0</v>
      </c>
      <c r="AB90" s="3">
        <v>0.58263888888888893</v>
      </c>
      <c r="AC90">
        <v>7.8</v>
      </c>
      <c r="AD90">
        <v>3.1</v>
      </c>
    </row>
    <row r="91" spans="1:30" x14ac:dyDescent="0.2">
      <c r="A91" t="s">
        <v>166</v>
      </c>
      <c r="C91">
        <v>0</v>
      </c>
      <c r="D91" t="s">
        <v>12</v>
      </c>
      <c r="E91">
        <v>2500</v>
      </c>
      <c r="F91" t="s">
        <v>157</v>
      </c>
      <c r="G91" t="s">
        <v>158</v>
      </c>
      <c r="H91" s="2">
        <v>0.79166666666666663</v>
      </c>
      <c r="I91" t="s">
        <v>159</v>
      </c>
      <c r="J91" s="1">
        <v>0.54200000000000004</v>
      </c>
      <c r="K91">
        <v>84.5</v>
      </c>
      <c r="L91">
        <v>6.5</v>
      </c>
      <c r="M91">
        <v>3.25</v>
      </c>
      <c r="N91">
        <v>3.5</v>
      </c>
      <c r="O91">
        <v>3</v>
      </c>
      <c r="Q91" s="3">
        <v>0.57638888888888884</v>
      </c>
      <c r="R91">
        <v>2.8</v>
      </c>
      <c r="S91">
        <v>1.86</v>
      </c>
      <c r="T91">
        <v>7.57</v>
      </c>
      <c r="U91">
        <v>3.85</v>
      </c>
      <c r="V91">
        <v>3.85</v>
      </c>
      <c r="W91">
        <v>100</v>
      </c>
      <c r="Y91">
        <v>67</v>
      </c>
      <c r="Z91">
        <v>1.5</v>
      </c>
      <c r="AA91">
        <v>0</v>
      </c>
      <c r="AB91" s="3">
        <v>0.57916666666666672</v>
      </c>
      <c r="AC91">
        <v>2.8</v>
      </c>
      <c r="AD91">
        <v>1.1000000000000001</v>
      </c>
    </row>
    <row r="92" spans="1:30" x14ac:dyDescent="0.2">
      <c r="A92" t="s">
        <v>105</v>
      </c>
      <c r="C92">
        <v>0</v>
      </c>
      <c r="D92" t="s">
        <v>12</v>
      </c>
      <c r="E92">
        <v>2500</v>
      </c>
      <c r="F92" t="s">
        <v>155</v>
      </c>
      <c r="G92" t="s">
        <v>156</v>
      </c>
      <c r="H92" s="2">
        <v>0.79166666666666663</v>
      </c>
      <c r="I92" t="s">
        <v>152</v>
      </c>
      <c r="J92" s="1">
        <v>0.45800000000000002</v>
      </c>
      <c r="K92">
        <v>-84.5</v>
      </c>
      <c r="L92">
        <v>6.5</v>
      </c>
      <c r="M92">
        <v>3.5</v>
      </c>
      <c r="N92">
        <v>3.25</v>
      </c>
      <c r="O92">
        <v>3</v>
      </c>
      <c r="P92">
        <v>2</v>
      </c>
      <c r="Q92" s="3">
        <v>0.53472222222222221</v>
      </c>
      <c r="R92">
        <v>2.2999999999999998</v>
      </c>
      <c r="S92">
        <v>2.77</v>
      </c>
      <c r="T92">
        <v>9.6199999999999992</v>
      </c>
      <c r="U92">
        <v>4.08</v>
      </c>
      <c r="V92">
        <v>4.08</v>
      </c>
      <c r="W92">
        <v>100</v>
      </c>
      <c r="Y92">
        <v>40</v>
      </c>
      <c r="Z92">
        <v>1.6</v>
      </c>
      <c r="AA92">
        <v>0</v>
      </c>
    </row>
    <row r="93" spans="1:30" x14ac:dyDescent="0.2">
      <c r="A93" t="s">
        <v>98</v>
      </c>
      <c r="C93">
        <v>0</v>
      </c>
      <c r="D93" t="s">
        <v>12</v>
      </c>
      <c r="E93">
        <v>2500</v>
      </c>
      <c r="F93" t="s">
        <v>155</v>
      </c>
      <c r="G93" t="s">
        <v>156</v>
      </c>
      <c r="H93" s="2">
        <v>0.79166666666666663</v>
      </c>
      <c r="I93" t="s">
        <v>152</v>
      </c>
      <c r="J93" s="1">
        <v>0.45800000000000002</v>
      </c>
      <c r="K93">
        <v>-84.5</v>
      </c>
      <c r="L93">
        <v>6.5</v>
      </c>
      <c r="M93">
        <v>3.5</v>
      </c>
      <c r="N93">
        <v>3.25</v>
      </c>
      <c r="O93">
        <v>1</v>
      </c>
      <c r="Q93" s="3">
        <v>0.73819444444444449</v>
      </c>
      <c r="R93">
        <v>3.9</v>
      </c>
      <c r="S93">
        <v>3.94</v>
      </c>
      <c r="T93">
        <v>12.78</v>
      </c>
      <c r="U93">
        <v>4.9000000000000004</v>
      </c>
      <c r="V93">
        <v>4.9000000000000004</v>
      </c>
      <c r="W93">
        <v>100</v>
      </c>
      <c r="Y93">
        <v>49</v>
      </c>
      <c r="Z93">
        <v>2</v>
      </c>
      <c r="AA93">
        <v>0</v>
      </c>
      <c r="AB93" s="3">
        <v>0.71180555555555558</v>
      </c>
      <c r="AC93">
        <v>1.3</v>
      </c>
      <c r="AD93">
        <v>0.5</v>
      </c>
    </row>
    <row r="94" spans="1:30" x14ac:dyDescent="0.2">
      <c r="A94" t="s">
        <v>167</v>
      </c>
      <c r="C94">
        <v>0</v>
      </c>
      <c r="D94" t="s">
        <v>10</v>
      </c>
      <c r="E94">
        <v>2500</v>
      </c>
      <c r="F94" t="s">
        <v>157</v>
      </c>
      <c r="G94" t="s">
        <v>158</v>
      </c>
      <c r="H94" s="2">
        <v>0.79166666666666663</v>
      </c>
      <c r="I94" t="s">
        <v>159</v>
      </c>
      <c r="J94" s="1">
        <v>0.54200000000000004</v>
      </c>
      <c r="K94">
        <v>84.5</v>
      </c>
      <c r="L94">
        <v>6.5</v>
      </c>
      <c r="M94">
        <v>3.25</v>
      </c>
      <c r="N94">
        <v>3.5</v>
      </c>
      <c r="O94">
        <v>4</v>
      </c>
      <c r="P94">
        <v>2</v>
      </c>
      <c r="Q94" s="3">
        <v>0.46180555555555558</v>
      </c>
      <c r="R94">
        <v>3.9</v>
      </c>
      <c r="S94">
        <v>4.41</v>
      </c>
      <c r="T94">
        <v>13.65</v>
      </c>
      <c r="U94">
        <v>4.83</v>
      </c>
      <c r="V94">
        <v>4.83</v>
      </c>
      <c r="W94">
        <v>100</v>
      </c>
      <c r="Y94">
        <v>43</v>
      </c>
      <c r="Z94">
        <v>1.9</v>
      </c>
      <c r="AA94">
        <v>0</v>
      </c>
      <c r="AB94" s="3">
        <v>0.4236111111111111</v>
      </c>
      <c r="AC94">
        <v>1.3</v>
      </c>
      <c r="AD94">
        <v>0.5</v>
      </c>
    </row>
    <row r="95" spans="1:30" x14ac:dyDescent="0.2">
      <c r="A95" t="s">
        <v>168</v>
      </c>
      <c r="C95">
        <v>0</v>
      </c>
      <c r="D95" t="s">
        <v>10</v>
      </c>
      <c r="E95">
        <v>2500</v>
      </c>
      <c r="F95" t="s">
        <v>157</v>
      </c>
      <c r="G95" t="s">
        <v>158</v>
      </c>
      <c r="H95" s="2">
        <v>0.79166666666666663</v>
      </c>
      <c r="I95" t="s">
        <v>159</v>
      </c>
      <c r="J95" s="1">
        <v>0.54200000000000004</v>
      </c>
      <c r="K95">
        <v>84.5</v>
      </c>
      <c r="L95">
        <v>6.5</v>
      </c>
      <c r="M95">
        <v>3.25</v>
      </c>
      <c r="N95">
        <v>3.5</v>
      </c>
      <c r="O95">
        <v>3</v>
      </c>
      <c r="Q95" s="3">
        <v>0.39861111111111114</v>
      </c>
      <c r="R95">
        <v>2.7</v>
      </c>
      <c r="S95">
        <v>2.68</v>
      </c>
      <c r="T95">
        <v>9.08</v>
      </c>
      <c r="U95">
        <v>3.72</v>
      </c>
      <c r="V95">
        <v>3.72</v>
      </c>
      <c r="W95">
        <v>100</v>
      </c>
      <c r="Y95">
        <v>50</v>
      </c>
      <c r="Z95">
        <v>1.5</v>
      </c>
      <c r="AA95">
        <v>0</v>
      </c>
      <c r="AB95" s="3">
        <v>0.57499999999999996</v>
      </c>
      <c r="AC95">
        <v>0</v>
      </c>
    </row>
    <row r="96" spans="1:30" x14ac:dyDescent="0.2">
      <c r="A96" t="s">
        <v>169</v>
      </c>
      <c r="C96">
        <v>0</v>
      </c>
      <c r="D96" t="s">
        <v>10</v>
      </c>
      <c r="E96">
        <v>2500</v>
      </c>
      <c r="F96" t="s">
        <v>155</v>
      </c>
      <c r="G96" t="s">
        <v>156</v>
      </c>
      <c r="H96" s="2">
        <v>0.79166666666666663</v>
      </c>
      <c r="I96" t="s">
        <v>152</v>
      </c>
      <c r="J96" s="1">
        <v>0.45800000000000002</v>
      </c>
      <c r="K96">
        <v>-84.5</v>
      </c>
      <c r="L96">
        <v>6.5</v>
      </c>
      <c r="M96">
        <v>3.5</v>
      </c>
      <c r="N96">
        <v>3.25</v>
      </c>
      <c r="O96">
        <v>4</v>
      </c>
      <c r="Q96" s="3">
        <v>0.43263888888888891</v>
      </c>
      <c r="R96">
        <v>3.3</v>
      </c>
      <c r="S96">
        <v>2.44</v>
      </c>
      <c r="T96">
        <v>9.6</v>
      </c>
      <c r="U96">
        <v>4.72</v>
      </c>
      <c r="V96">
        <v>4.72</v>
      </c>
      <c r="W96">
        <v>100</v>
      </c>
      <c r="Y96">
        <v>63</v>
      </c>
      <c r="Z96">
        <v>1.9</v>
      </c>
      <c r="AA96">
        <v>0</v>
      </c>
      <c r="AB96" s="3">
        <v>0.46041666666666664</v>
      </c>
      <c r="AC96">
        <v>7.8</v>
      </c>
      <c r="AD96">
        <v>3.1</v>
      </c>
    </row>
    <row r="97" spans="1:30" x14ac:dyDescent="0.2">
      <c r="A97" t="s">
        <v>106</v>
      </c>
      <c r="C97">
        <v>0</v>
      </c>
      <c r="D97" t="s">
        <v>5</v>
      </c>
      <c r="E97">
        <v>2500</v>
      </c>
      <c r="F97" t="s">
        <v>155</v>
      </c>
      <c r="G97" t="s">
        <v>156</v>
      </c>
      <c r="H97" s="2">
        <v>0.79166666666666663</v>
      </c>
      <c r="I97" t="s">
        <v>152</v>
      </c>
      <c r="J97" s="1">
        <v>0.45800000000000002</v>
      </c>
      <c r="K97">
        <v>-84.5</v>
      </c>
      <c r="L97">
        <v>6.5</v>
      </c>
      <c r="M97">
        <v>3.5</v>
      </c>
      <c r="N97">
        <v>3.25</v>
      </c>
      <c r="O97">
        <v>4</v>
      </c>
      <c r="Q97" s="3">
        <v>0.48125000000000001</v>
      </c>
      <c r="R97">
        <v>3.6</v>
      </c>
      <c r="S97">
        <v>4.41</v>
      </c>
      <c r="T97">
        <v>14.19</v>
      </c>
      <c r="U97">
        <v>5.37</v>
      </c>
      <c r="V97">
        <v>5.37</v>
      </c>
      <c r="W97">
        <v>100</v>
      </c>
      <c r="Y97">
        <v>39</v>
      </c>
      <c r="Z97">
        <v>2.1</v>
      </c>
      <c r="AA97">
        <v>0</v>
      </c>
      <c r="AB97" s="3">
        <v>0.54652777777777772</v>
      </c>
      <c r="AC97">
        <v>0</v>
      </c>
    </row>
    <row r="98" spans="1:30" x14ac:dyDescent="0.2">
      <c r="A98" t="s">
        <v>115</v>
      </c>
      <c r="C98">
        <v>0</v>
      </c>
      <c r="D98" t="s">
        <v>10</v>
      </c>
      <c r="E98">
        <v>2500</v>
      </c>
      <c r="F98" t="s">
        <v>157</v>
      </c>
      <c r="G98" t="s">
        <v>158</v>
      </c>
      <c r="H98" s="2">
        <v>0.79166666666666663</v>
      </c>
      <c r="I98" t="s">
        <v>159</v>
      </c>
      <c r="J98" s="1">
        <v>0.54200000000000004</v>
      </c>
      <c r="K98">
        <v>84.5</v>
      </c>
      <c r="L98">
        <v>6.5</v>
      </c>
      <c r="M98">
        <v>3.25</v>
      </c>
      <c r="N98">
        <v>3.5</v>
      </c>
      <c r="O98">
        <v>4</v>
      </c>
      <c r="Q98" s="3">
        <v>0.38472222222222224</v>
      </c>
      <c r="R98">
        <v>1.6</v>
      </c>
      <c r="S98">
        <v>2.52</v>
      </c>
      <c r="T98">
        <v>8.27</v>
      </c>
      <c r="U98">
        <v>3.23</v>
      </c>
      <c r="V98">
        <v>3.23</v>
      </c>
      <c r="W98">
        <v>100</v>
      </c>
      <c r="Y98">
        <v>21</v>
      </c>
      <c r="Z98">
        <v>1.3</v>
      </c>
      <c r="AA98">
        <v>0</v>
      </c>
      <c r="AB98" s="3">
        <v>0.40902777777777777</v>
      </c>
      <c r="AC98">
        <v>0</v>
      </c>
    </row>
    <row r="99" spans="1:30" x14ac:dyDescent="0.2">
      <c r="A99" t="s">
        <v>170</v>
      </c>
      <c r="C99">
        <v>0</v>
      </c>
      <c r="D99" t="s">
        <v>10</v>
      </c>
      <c r="E99">
        <v>2500</v>
      </c>
      <c r="F99" t="s">
        <v>157</v>
      </c>
      <c r="G99" t="s">
        <v>158</v>
      </c>
      <c r="H99" s="2">
        <v>0.79166666666666663</v>
      </c>
      <c r="I99" t="s">
        <v>159</v>
      </c>
      <c r="J99" s="1">
        <v>0.54200000000000004</v>
      </c>
      <c r="K99">
        <v>84.5</v>
      </c>
      <c r="L99">
        <v>6.5</v>
      </c>
      <c r="M99">
        <v>3.25</v>
      </c>
      <c r="N99">
        <v>3.5</v>
      </c>
      <c r="O99">
        <v>3</v>
      </c>
      <c r="Q99" s="3">
        <v>0.49930555555555556</v>
      </c>
      <c r="R99">
        <v>3.7</v>
      </c>
      <c r="S99">
        <v>7.16</v>
      </c>
      <c r="T99">
        <v>17.940000000000001</v>
      </c>
      <c r="U99">
        <v>3.62</v>
      </c>
      <c r="V99">
        <v>3.62</v>
      </c>
      <c r="W99">
        <v>100</v>
      </c>
      <c r="Y99">
        <v>3</v>
      </c>
      <c r="Z99">
        <v>1.4</v>
      </c>
      <c r="AA99">
        <v>0</v>
      </c>
      <c r="AB99" s="3">
        <v>0.56111111111111112</v>
      </c>
      <c r="AC99">
        <v>10</v>
      </c>
      <c r="AD99">
        <v>4</v>
      </c>
    </row>
    <row r="100" spans="1:30" x14ac:dyDescent="0.2">
      <c r="A100" t="s">
        <v>171</v>
      </c>
      <c r="C100">
        <v>0</v>
      </c>
      <c r="D100" t="s">
        <v>10</v>
      </c>
      <c r="E100">
        <v>2500</v>
      </c>
      <c r="F100" t="s">
        <v>155</v>
      </c>
      <c r="G100" t="s">
        <v>156</v>
      </c>
      <c r="H100" s="2">
        <v>0.79166666666666663</v>
      </c>
      <c r="I100" t="s">
        <v>152</v>
      </c>
      <c r="J100" s="1">
        <v>0.45800000000000002</v>
      </c>
      <c r="K100">
        <v>-84.5</v>
      </c>
      <c r="L100">
        <v>6.5</v>
      </c>
      <c r="M100">
        <v>3.5</v>
      </c>
      <c r="N100">
        <v>3.25</v>
      </c>
      <c r="O100">
        <v>4</v>
      </c>
      <c r="Q100" s="3">
        <v>0.44861111111111113</v>
      </c>
      <c r="R100">
        <v>2.6</v>
      </c>
      <c r="S100">
        <v>2.92</v>
      </c>
      <c r="T100">
        <v>9.48</v>
      </c>
      <c r="U100">
        <v>3.64</v>
      </c>
      <c r="V100">
        <v>3.64</v>
      </c>
      <c r="W100">
        <v>100</v>
      </c>
      <c r="Y100">
        <v>44</v>
      </c>
      <c r="Z100">
        <v>1.5</v>
      </c>
      <c r="AA100">
        <v>0</v>
      </c>
      <c r="AB100" s="3">
        <v>0.5083333333333333</v>
      </c>
      <c r="AC100">
        <v>6.3</v>
      </c>
      <c r="AD100">
        <v>2.5</v>
      </c>
    </row>
    <row r="101" spans="1:30" x14ac:dyDescent="0.2">
      <c r="A101" t="s">
        <v>111</v>
      </c>
      <c r="C101">
        <v>0</v>
      </c>
      <c r="D101" t="s">
        <v>5</v>
      </c>
      <c r="E101">
        <v>2500</v>
      </c>
      <c r="F101" t="s">
        <v>157</v>
      </c>
      <c r="G101" t="s">
        <v>158</v>
      </c>
      <c r="H101" s="2">
        <v>0.79166666666666663</v>
      </c>
      <c r="I101" t="s">
        <v>159</v>
      </c>
      <c r="J101" s="1">
        <v>0.54200000000000004</v>
      </c>
      <c r="K101">
        <v>84.5</v>
      </c>
      <c r="L101">
        <v>6.5</v>
      </c>
      <c r="M101">
        <v>3.25</v>
      </c>
      <c r="N101">
        <v>3.5</v>
      </c>
      <c r="O101">
        <v>4</v>
      </c>
      <c r="Q101" s="3">
        <v>0.43680555555555556</v>
      </c>
      <c r="R101">
        <v>3.2</v>
      </c>
      <c r="S101">
        <v>3.8</v>
      </c>
      <c r="T101">
        <v>11.01</v>
      </c>
      <c r="U101">
        <v>3.41</v>
      </c>
      <c r="V101">
        <v>3.41</v>
      </c>
      <c r="W101">
        <v>100</v>
      </c>
      <c r="Y101">
        <v>41</v>
      </c>
      <c r="Z101">
        <v>1.4</v>
      </c>
      <c r="AA101">
        <v>0</v>
      </c>
      <c r="AB101" s="3">
        <v>0.40972222222222221</v>
      </c>
      <c r="AC101">
        <v>1.5</v>
      </c>
      <c r="AD101">
        <v>0.6</v>
      </c>
    </row>
    <row r="102" spans="1:30" x14ac:dyDescent="0.2">
      <c r="A102" t="s">
        <v>172</v>
      </c>
      <c r="C102">
        <v>0</v>
      </c>
      <c r="D102" t="s">
        <v>12</v>
      </c>
      <c r="E102">
        <v>2500</v>
      </c>
      <c r="F102" t="s">
        <v>163</v>
      </c>
      <c r="G102" t="s">
        <v>164</v>
      </c>
      <c r="H102" s="2">
        <v>0.8125</v>
      </c>
      <c r="I102" t="s">
        <v>159</v>
      </c>
      <c r="J102" s="1">
        <v>0.56000000000000005</v>
      </c>
      <c r="K102">
        <v>78.5</v>
      </c>
      <c r="L102">
        <v>6.5</v>
      </c>
      <c r="M102">
        <v>3.25</v>
      </c>
      <c r="N102">
        <v>3.35</v>
      </c>
      <c r="O102">
        <v>3</v>
      </c>
      <c r="Q102" s="3">
        <v>0.58402777777777781</v>
      </c>
      <c r="R102">
        <v>3.2</v>
      </c>
      <c r="S102">
        <v>3.29</v>
      </c>
      <c r="T102">
        <v>10.76</v>
      </c>
      <c r="U102">
        <v>4.18</v>
      </c>
      <c r="V102">
        <v>4.18</v>
      </c>
      <c r="W102">
        <v>100</v>
      </c>
      <c r="Y102">
        <v>49</v>
      </c>
      <c r="Z102">
        <v>1.7</v>
      </c>
      <c r="AA102">
        <v>0</v>
      </c>
      <c r="AB102" s="3">
        <v>0.63749999999999996</v>
      </c>
      <c r="AC102">
        <v>6.3</v>
      </c>
      <c r="AD102">
        <v>2.5</v>
      </c>
    </row>
    <row r="103" spans="1:30" x14ac:dyDescent="0.2">
      <c r="A103" t="s">
        <v>100</v>
      </c>
      <c r="C103">
        <v>0</v>
      </c>
      <c r="D103" t="s">
        <v>12</v>
      </c>
      <c r="E103">
        <v>2500</v>
      </c>
      <c r="F103" t="s">
        <v>153</v>
      </c>
      <c r="G103" t="s">
        <v>154</v>
      </c>
      <c r="H103" s="2">
        <v>0.8125</v>
      </c>
      <c r="I103" t="s">
        <v>152</v>
      </c>
      <c r="J103" s="1">
        <v>0.44</v>
      </c>
      <c r="K103">
        <v>-78.5</v>
      </c>
      <c r="L103">
        <v>6.5</v>
      </c>
      <c r="M103">
        <v>3.35</v>
      </c>
      <c r="N103">
        <v>3.25</v>
      </c>
      <c r="O103">
        <v>3</v>
      </c>
      <c r="Q103" s="3">
        <v>0.59791666666666665</v>
      </c>
      <c r="R103">
        <v>3.3</v>
      </c>
      <c r="S103">
        <v>2.4300000000000002</v>
      </c>
      <c r="T103">
        <v>9.58</v>
      </c>
      <c r="U103">
        <v>4.72</v>
      </c>
      <c r="V103">
        <v>4.72</v>
      </c>
      <c r="W103">
        <v>100</v>
      </c>
      <c r="Y103">
        <v>63</v>
      </c>
      <c r="Z103">
        <v>1.9</v>
      </c>
      <c r="AA103">
        <v>0</v>
      </c>
      <c r="AB103" s="3">
        <v>0.56805555555555554</v>
      </c>
      <c r="AC103">
        <v>9.9</v>
      </c>
      <c r="AD103">
        <v>4</v>
      </c>
    </row>
    <row r="104" spans="1:30" x14ac:dyDescent="0.2">
      <c r="A104" t="s">
        <v>173</v>
      </c>
      <c r="C104">
        <v>0</v>
      </c>
      <c r="D104" t="s">
        <v>12</v>
      </c>
      <c r="E104">
        <v>2500</v>
      </c>
      <c r="F104" t="s">
        <v>150</v>
      </c>
      <c r="G104" t="s">
        <v>151</v>
      </c>
      <c r="H104" s="2">
        <v>0.8125</v>
      </c>
      <c r="I104" t="s">
        <v>152</v>
      </c>
      <c r="J104" s="1">
        <v>0.495</v>
      </c>
      <c r="K104">
        <v>-98</v>
      </c>
      <c r="L104">
        <v>6.5</v>
      </c>
      <c r="M104">
        <v>3.25</v>
      </c>
      <c r="N104">
        <v>3.02</v>
      </c>
      <c r="O104">
        <v>3</v>
      </c>
      <c r="T104">
        <v>5.13</v>
      </c>
      <c r="U104">
        <v>5.13</v>
      </c>
      <c r="V104">
        <v>5.13</v>
      </c>
      <c r="W104">
        <v>100</v>
      </c>
      <c r="Y104">
        <v>0</v>
      </c>
      <c r="Z104">
        <v>2.1</v>
      </c>
      <c r="AA104">
        <v>0</v>
      </c>
      <c r="AB104" s="3">
        <v>0.43263888888888891</v>
      </c>
      <c r="AC104">
        <v>5</v>
      </c>
      <c r="AD104">
        <v>2</v>
      </c>
    </row>
    <row r="105" spans="1:30" x14ac:dyDescent="0.2">
      <c r="A105" t="s">
        <v>120</v>
      </c>
      <c r="C105">
        <v>0</v>
      </c>
      <c r="D105" t="s">
        <v>10</v>
      </c>
      <c r="E105">
        <v>2500</v>
      </c>
      <c r="F105" t="s">
        <v>163</v>
      </c>
      <c r="G105" t="s">
        <v>164</v>
      </c>
      <c r="H105" s="2">
        <v>0.8125</v>
      </c>
      <c r="I105" t="s">
        <v>159</v>
      </c>
      <c r="J105" s="1">
        <v>0.56000000000000005</v>
      </c>
      <c r="K105">
        <v>78.5</v>
      </c>
      <c r="L105">
        <v>6.5</v>
      </c>
      <c r="M105">
        <v>3.25</v>
      </c>
      <c r="N105">
        <v>3.35</v>
      </c>
      <c r="O105">
        <v>4</v>
      </c>
      <c r="Q105" s="3">
        <v>0.47152777777777777</v>
      </c>
      <c r="R105">
        <v>2.9</v>
      </c>
      <c r="S105">
        <v>4.21</v>
      </c>
      <c r="T105">
        <v>12.06</v>
      </c>
      <c r="U105">
        <v>3.64</v>
      </c>
      <c r="V105">
        <v>3.64</v>
      </c>
      <c r="W105">
        <v>100</v>
      </c>
      <c r="Y105">
        <v>27</v>
      </c>
      <c r="Z105">
        <v>1.5</v>
      </c>
      <c r="AA105">
        <v>0</v>
      </c>
      <c r="AB105" s="3">
        <v>0.42777777777777776</v>
      </c>
      <c r="AC105">
        <v>1.3</v>
      </c>
      <c r="AD105">
        <v>0.5</v>
      </c>
    </row>
    <row r="106" spans="1:30" x14ac:dyDescent="0.2">
      <c r="A106" t="s">
        <v>174</v>
      </c>
      <c r="C106">
        <v>0</v>
      </c>
      <c r="D106" t="s">
        <v>5</v>
      </c>
      <c r="E106">
        <v>2500</v>
      </c>
      <c r="F106" t="s">
        <v>153</v>
      </c>
      <c r="G106" t="s">
        <v>154</v>
      </c>
      <c r="H106" s="2">
        <v>0.8125</v>
      </c>
      <c r="I106" t="s">
        <v>152</v>
      </c>
      <c r="J106" s="1">
        <v>0.44</v>
      </c>
      <c r="K106">
        <v>-78.5</v>
      </c>
      <c r="L106">
        <v>6.5</v>
      </c>
      <c r="M106">
        <v>3.35</v>
      </c>
      <c r="N106">
        <v>3.25</v>
      </c>
      <c r="O106">
        <v>4</v>
      </c>
      <c r="Q106" s="3">
        <v>0.50902777777777775</v>
      </c>
      <c r="R106">
        <v>2.8</v>
      </c>
      <c r="S106">
        <v>3.35</v>
      </c>
      <c r="T106">
        <v>10.58</v>
      </c>
      <c r="U106">
        <v>3.88</v>
      </c>
      <c r="V106">
        <v>3.88</v>
      </c>
      <c r="W106">
        <v>100</v>
      </c>
      <c r="Y106">
        <v>40</v>
      </c>
      <c r="Z106">
        <v>1.6</v>
      </c>
      <c r="AA106">
        <v>0</v>
      </c>
      <c r="AB106" s="3">
        <v>0.5</v>
      </c>
      <c r="AC106">
        <v>2.8</v>
      </c>
      <c r="AD106">
        <v>1.1000000000000001</v>
      </c>
    </row>
    <row r="107" spans="1:30" x14ac:dyDescent="0.2">
      <c r="A107" t="s">
        <v>175</v>
      </c>
      <c r="C107">
        <v>0</v>
      </c>
      <c r="D107" t="s">
        <v>5</v>
      </c>
      <c r="E107">
        <v>2500</v>
      </c>
      <c r="F107" t="s">
        <v>160</v>
      </c>
      <c r="G107" t="s">
        <v>161</v>
      </c>
      <c r="H107" s="2">
        <v>0.8125</v>
      </c>
      <c r="I107" t="s">
        <v>159</v>
      </c>
      <c r="J107" s="1">
        <v>0.505</v>
      </c>
      <c r="K107">
        <v>98</v>
      </c>
      <c r="L107">
        <v>6.5</v>
      </c>
      <c r="M107">
        <v>3.02</v>
      </c>
      <c r="N107">
        <v>3.25</v>
      </c>
      <c r="O107">
        <v>4</v>
      </c>
      <c r="Q107" s="3">
        <v>0.27986111111111112</v>
      </c>
      <c r="R107">
        <v>4.5</v>
      </c>
      <c r="S107">
        <v>0</v>
      </c>
      <c r="T107">
        <v>3.82</v>
      </c>
      <c r="U107">
        <v>3.82</v>
      </c>
      <c r="V107">
        <v>3.82</v>
      </c>
      <c r="W107">
        <v>100</v>
      </c>
      <c r="Y107">
        <v>0</v>
      </c>
      <c r="Z107">
        <v>1.5</v>
      </c>
      <c r="AA107">
        <v>0</v>
      </c>
      <c r="AB107" s="3">
        <v>0.21666666666666667</v>
      </c>
      <c r="AC107">
        <v>0</v>
      </c>
    </row>
    <row r="108" spans="1:30" x14ac:dyDescent="0.2">
      <c r="A108" t="s">
        <v>176</v>
      </c>
      <c r="C108">
        <v>0</v>
      </c>
      <c r="D108" t="s">
        <v>5</v>
      </c>
      <c r="E108">
        <v>2500</v>
      </c>
      <c r="F108" t="s">
        <v>163</v>
      </c>
      <c r="G108" t="s">
        <v>164</v>
      </c>
      <c r="H108" s="2">
        <v>0.8125</v>
      </c>
      <c r="I108" t="s">
        <v>159</v>
      </c>
      <c r="J108" s="1">
        <v>0.56000000000000005</v>
      </c>
      <c r="K108">
        <v>78.5</v>
      </c>
      <c r="L108">
        <v>6.5</v>
      </c>
      <c r="M108">
        <v>3.25</v>
      </c>
      <c r="N108">
        <v>3.35</v>
      </c>
      <c r="O108">
        <v>4</v>
      </c>
      <c r="Q108" s="3">
        <v>0.39027777777777778</v>
      </c>
      <c r="R108">
        <v>0.7</v>
      </c>
      <c r="S108">
        <v>0.65</v>
      </c>
      <c r="T108">
        <v>4.08</v>
      </c>
      <c r="U108">
        <v>2.78</v>
      </c>
      <c r="V108">
        <v>2.78</v>
      </c>
      <c r="W108">
        <v>100</v>
      </c>
      <c r="Y108">
        <v>54</v>
      </c>
      <c r="Z108">
        <v>1.1000000000000001</v>
      </c>
      <c r="AA108">
        <v>0</v>
      </c>
      <c r="AB108" s="3">
        <v>0.28333333333333333</v>
      </c>
      <c r="AC108">
        <v>1.3</v>
      </c>
      <c r="AD108">
        <v>0.5</v>
      </c>
    </row>
    <row r="109" spans="1:30" x14ac:dyDescent="0.2">
      <c r="A109" t="s">
        <v>177</v>
      </c>
      <c r="C109">
        <v>0</v>
      </c>
      <c r="D109" t="s">
        <v>10</v>
      </c>
      <c r="E109">
        <v>2500</v>
      </c>
      <c r="F109" t="s">
        <v>160</v>
      </c>
      <c r="G109" t="s">
        <v>161</v>
      </c>
      <c r="H109" s="2">
        <v>0.8125</v>
      </c>
      <c r="I109" t="s">
        <v>159</v>
      </c>
      <c r="J109" s="1">
        <v>0.505</v>
      </c>
      <c r="K109">
        <v>98</v>
      </c>
      <c r="L109">
        <v>6.5</v>
      </c>
      <c r="M109">
        <v>3.02</v>
      </c>
      <c r="N109">
        <v>3.25</v>
      </c>
      <c r="O109">
        <v>3</v>
      </c>
      <c r="Q109" s="3">
        <v>0.42986111111111114</v>
      </c>
      <c r="R109">
        <v>3.5</v>
      </c>
      <c r="S109">
        <v>3.93</v>
      </c>
      <c r="T109">
        <v>11.53</v>
      </c>
      <c r="U109">
        <v>3.67</v>
      </c>
      <c r="V109">
        <v>3.67</v>
      </c>
      <c r="W109">
        <v>100</v>
      </c>
      <c r="Y109">
        <v>44</v>
      </c>
      <c r="Z109">
        <v>1.5</v>
      </c>
      <c r="AA109">
        <v>0</v>
      </c>
      <c r="AB109" s="3">
        <v>0.69722222222222219</v>
      </c>
      <c r="AC109">
        <v>14.3</v>
      </c>
      <c r="AD109">
        <v>5.7</v>
      </c>
    </row>
    <row r="110" spans="1:30" x14ac:dyDescent="0.2">
      <c r="A110" t="s">
        <v>109</v>
      </c>
      <c r="C110">
        <v>0</v>
      </c>
      <c r="D110" t="s">
        <v>10</v>
      </c>
      <c r="E110">
        <v>2500</v>
      </c>
      <c r="F110" t="s">
        <v>160</v>
      </c>
      <c r="G110" t="s">
        <v>161</v>
      </c>
      <c r="H110" s="2">
        <v>0.8125</v>
      </c>
      <c r="I110" t="s">
        <v>159</v>
      </c>
      <c r="J110" s="1">
        <v>0.505</v>
      </c>
      <c r="K110">
        <v>98</v>
      </c>
      <c r="L110">
        <v>6.5</v>
      </c>
      <c r="M110">
        <v>3.02</v>
      </c>
      <c r="N110">
        <v>3.25</v>
      </c>
      <c r="O110">
        <v>3</v>
      </c>
      <c r="Q110" s="3">
        <v>0.64375000000000004</v>
      </c>
      <c r="R110">
        <v>4.8</v>
      </c>
      <c r="S110">
        <v>4.9000000000000004</v>
      </c>
      <c r="T110">
        <v>14.39</v>
      </c>
      <c r="U110">
        <v>4.59</v>
      </c>
      <c r="V110">
        <v>4.59</v>
      </c>
      <c r="W110">
        <v>100</v>
      </c>
      <c r="Y110">
        <v>49</v>
      </c>
      <c r="Z110">
        <v>1.8</v>
      </c>
      <c r="AA110">
        <v>0</v>
      </c>
      <c r="AB110" s="3">
        <v>0.84236111111111112</v>
      </c>
      <c r="AC110">
        <v>2.6</v>
      </c>
      <c r="AD110">
        <v>1</v>
      </c>
    </row>
    <row r="111" spans="1:30" x14ac:dyDescent="0.2">
      <c r="A111" t="s">
        <v>178</v>
      </c>
      <c r="C111">
        <v>0</v>
      </c>
      <c r="D111" t="s">
        <v>10</v>
      </c>
      <c r="E111">
        <v>2500</v>
      </c>
      <c r="F111" t="s">
        <v>150</v>
      </c>
      <c r="G111" t="s">
        <v>151</v>
      </c>
      <c r="H111" s="2">
        <v>0.8125</v>
      </c>
      <c r="I111" t="s">
        <v>152</v>
      </c>
      <c r="J111" s="1">
        <v>0.495</v>
      </c>
      <c r="K111">
        <v>-98</v>
      </c>
      <c r="L111">
        <v>6.5</v>
      </c>
      <c r="M111">
        <v>3.25</v>
      </c>
      <c r="N111">
        <v>3.02</v>
      </c>
      <c r="O111">
        <v>4</v>
      </c>
      <c r="Q111" s="3">
        <v>0.31388888888888888</v>
      </c>
      <c r="R111">
        <v>2.8</v>
      </c>
      <c r="S111">
        <v>3.41</v>
      </c>
      <c r="T111">
        <v>10.130000000000001</v>
      </c>
      <c r="U111">
        <v>3.31</v>
      </c>
      <c r="V111">
        <v>3.31</v>
      </c>
      <c r="W111">
        <v>100</v>
      </c>
      <c r="Y111">
        <v>39</v>
      </c>
      <c r="Z111">
        <v>1.3</v>
      </c>
      <c r="AA111">
        <v>0</v>
      </c>
      <c r="AB111" s="3">
        <v>0.19583333333333333</v>
      </c>
      <c r="AC111">
        <v>1.5</v>
      </c>
      <c r="AD111">
        <v>0.6</v>
      </c>
    </row>
    <row r="112" spans="1:30" x14ac:dyDescent="0.2">
      <c r="A112" t="s">
        <v>113</v>
      </c>
      <c r="C112">
        <v>0</v>
      </c>
      <c r="D112" t="s">
        <v>10</v>
      </c>
      <c r="E112">
        <v>2500</v>
      </c>
      <c r="F112" t="s">
        <v>150</v>
      </c>
      <c r="G112" t="s">
        <v>151</v>
      </c>
      <c r="H112" s="2">
        <v>0.8125</v>
      </c>
      <c r="I112" t="s">
        <v>152</v>
      </c>
      <c r="J112" s="1">
        <v>0.495</v>
      </c>
      <c r="K112">
        <v>-98</v>
      </c>
      <c r="L112">
        <v>6.5</v>
      </c>
      <c r="M112">
        <v>3.25</v>
      </c>
      <c r="N112">
        <v>3.02</v>
      </c>
      <c r="O112">
        <v>4</v>
      </c>
      <c r="Q112" s="3">
        <v>0.41041666666666665</v>
      </c>
      <c r="R112">
        <v>2.6</v>
      </c>
      <c r="S112">
        <v>3.17</v>
      </c>
      <c r="T112">
        <v>9.81</v>
      </c>
      <c r="U112">
        <v>3.47</v>
      </c>
      <c r="V112">
        <v>3.47</v>
      </c>
      <c r="W112">
        <v>100</v>
      </c>
      <c r="Y112">
        <v>39</v>
      </c>
      <c r="Z112">
        <v>1.4</v>
      </c>
      <c r="AA112">
        <v>0</v>
      </c>
      <c r="AB112" s="3">
        <v>0.48680555555555555</v>
      </c>
      <c r="AC112">
        <v>2.6</v>
      </c>
      <c r="AD112">
        <v>1</v>
      </c>
    </row>
    <row r="113" spans="1:30" x14ac:dyDescent="0.2">
      <c r="A113" t="s">
        <v>179</v>
      </c>
      <c r="C113">
        <v>0</v>
      </c>
      <c r="D113" t="s">
        <v>5</v>
      </c>
      <c r="E113">
        <v>2500</v>
      </c>
      <c r="F113" t="s">
        <v>160</v>
      </c>
      <c r="G113" t="s">
        <v>161</v>
      </c>
      <c r="H113" s="2">
        <v>0.8125</v>
      </c>
      <c r="I113" t="s">
        <v>159</v>
      </c>
      <c r="J113" s="1">
        <v>0.505</v>
      </c>
      <c r="K113">
        <v>98</v>
      </c>
      <c r="L113">
        <v>6.5</v>
      </c>
      <c r="M113">
        <v>3.02</v>
      </c>
      <c r="N113">
        <v>3.25</v>
      </c>
      <c r="O113">
        <v>4</v>
      </c>
      <c r="Q113" s="3">
        <v>0.5180555555555556</v>
      </c>
      <c r="R113">
        <v>3.8</v>
      </c>
      <c r="S113">
        <v>4.21</v>
      </c>
      <c r="T113">
        <v>11.84</v>
      </c>
      <c r="U113">
        <v>3.42</v>
      </c>
      <c r="V113">
        <v>3.42</v>
      </c>
      <c r="W113">
        <v>100</v>
      </c>
      <c r="Y113">
        <v>45</v>
      </c>
      <c r="Z113">
        <v>1.4</v>
      </c>
      <c r="AA113">
        <v>0</v>
      </c>
      <c r="AB113" s="3">
        <v>0.34305555555555556</v>
      </c>
      <c r="AC113">
        <v>1.5</v>
      </c>
      <c r="AD113">
        <v>0.6</v>
      </c>
    </row>
    <row r="114" spans="1:30" x14ac:dyDescent="0.2">
      <c r="A114" t="s">
        <v>107</v>
      </c>
      <c r="C114">
        <v>0</v>
      </c>
      <c r="D114" t="s">
        <v>15</v>
      </c>
      <c r="E114">
        <v>8300</v>
      </c>
      <c r="F114" t="s">
        <v>150</v>
      </c>
      <c r="G114" t="s">
        <v>151</v>
      </c>
      <c r="H114" s="2">
        <v>0.8125</v>
      </c>
      <c r="I114" t="s">
        <v>152</v>
      </c>
      <c r="J114" s="1">
        <v>0.495</v>
      </c>
      <c r="K114">
        <v>-98</v>
      </c>
      <c r="L114">
        <v>6.5</v>
      </c>
      <c r="M114">
        <v>3.25</v>
      </c>
      <c r="N114">
        <v>3.02</v>
      </c>
      <c r="O114" t="s">
        <v>180</v>
      </c>
      <c r="Q114" s="4">
        <v>2.3631944444444444</v>
      </c>
      <c r="R114">
        <v>13.3</v>
      </c>
      <c r="S114">
        <v>9.11</v>
      </c>
      <c r="T114">
        <v>0</v>
      </c>
      <c r="U114">
        <v>0</v>
      </c>
      <c r="V114">
        <v>0</v>
      </c>
      <c r="W114">
        <v>100</v>
      </c>
      <c r="Y114">
        <v>66</v>
      </c>
      <c r="Z114">
        <v>0</v>
      </c>
      <c r="AA114">
        <v>0</v>
      </c>
      <c r="AB114" s="3">
        <v>0</v>
      </c>
      <c r="AC114">
        <v>0</v>
      </c>
    </row>
    <row r="115" spans="1:30" x14ac:dyDescent="0.2">
      <c r="A115" t="s">
        <v>77</v>
      </c>
      <c r="C115">
        <v>0</v>
      </c>
      <c r="D115" t="s">
        <v>15</v>
      </c>
      <c r="E115">
        <v>8100</v>
      </c>
      <c r="F115" t="s">
        <v>155</v>
      </c>
      <c r="G115" t="s">
        <v>156</v>
      </c>
      <c r="H115" s="2">
        <v>0.79166666666666663</v>
      </c>
      <c r="I115" t="s">
        <v>152</v>
      </c>
      <c r="J115" s="1">
        <v>0.45800000000000002</v>
      </c>
      <c r="K115">
        <v>-84.5</v>
      </c>
      <c r="L115">
        <v>6.5</v>
      </c>
      <c r="M115">
        <v>3.5</v>
      </c>
      <c r="N115">
        <v>3.25</v>
      </c>
      <c r="O115" t="s">
        <v>180</v>
      </c>
      <c r="Q115" s="4">
        <v>2.4888888888888889</v>
      </c>
      <c r="R115">
        <v>14.2</v>
      </c>
      <c r="S115">
        <v>12.32</v>
      </c>
      <c r="T115">
        <v>0</v>
      </c>
      <c r="U115">
        <v>0</v>
      </c>
      <c r="V115">
        <v>0</v>
      </c>
      <c r="W115">
        <v>100</v>
      </c>
      <c r="Y115">
        <v>57</v>
      </c>
      <c r="Z115">
        <v>0</v>
      </c>
      <c r="AA115">
        <v>0</v>
      </c>
      <c r="AB115" s="3">
        <v>0</v>
      </c>
      <c r="AC115">
        <v>0</v>
      </c>
    </row>
    <row r="116" spans="1:30" x14ac:dyDescent="0.2">
      <c r="A116" t="s">
        <v>181</v>
      </c>
      <c r="C116">
        <v>0</v>
      </c>
      <c r="D116" t="s">
        <v>15</v>
      </c>
      <c r="E116">
        <v>7900</v>
      </c>
      <c r="F116" t="s">
        <v>155</v>
      </c>
      <c r="G116" t="s">
        <v>156</v>
      </c>
      <c r="H116" s="2">
        <v>0.79166666666666663</v>
      </c>
      <c r="I116" t="s">
        <v>152</v>
      </c>
      <c r="J116" s="1">
        <v>0.45800000000000002</v>
      </c>
      <c r="K116">
        <v>-84.5</v>
      </c>
      <c r="L116">
        <v>6.5</v>
      </c>
      <c r="M116">
        <v>3.5</v>
      </c>
      <c r="N116">
        <v>3.25</v>
      </c>
      <c r="O116" t="s">
        <v>180</v>
      </c>
      <c r="T116">
        <v>0</v>
      </c>
      <c r="U116">
        <v>0</v>
      </c>
      <c r="V116">
        <v>0</v>
      </c>
      <c r="W116">
        <v>100</v>
      </c>
      <c r="Y116">
        <v>0</v>
      </c>
      <c r="Z116">
        <v>0</v>
      </c>
      <c r="AA116">
        <v>0</v>
      </c>
    </row>
    <row r="117" spans="1:30" x14ac:dyDescent="0.2">
      <c r="A117" t="s">
        <v>104</v>
      </c>
      <c r="C117">
        <v>0</v>
      </c>
      <c r="D117" t="s">
        <v>15</v>
      </c>
      <c r="E117">
        <v>7900</v>
      </c>
      <c r="F117" t="s">
        <v>153</v>
      </c>
      <c r="G117" t="s">
        <v>154</v>
      </c>
      <c r="H117" s="2">
        <v>0.8125</v>
      </c>
      <c r="I117" t="s">
        <v>152</v>
      </c>
      <c r="J117" s="1">
        <v>0.44</v>
      </c>
      <c r="K117">
        <v>-78.5</v>
      </c>
      <c r="L117">
        <v>6.5</v>
      </c>
      <c r="M117">
        <v>3.35</v>
      </c>
      <c r="N117">
        <v>3.25</v>
      </c>
      <c r="O117" t="s">
        <v>180</v>
      </c>
      <c r="Q117" s="4">
        <v>2.4743055555555555</v>
      </c>
      <c r="R117">
        <v>12.5</v>
      </c>
      <c r="S117">
        <v>8.2100000000000009</v>
      </c>
      <c r="T117">
        <v>0</v>
      </c>
      <c r="U117">
        <v>0</v>
      </c>
      <c r="V117">
        <v>0</v>
      </c>
      <c r="W117">
        <v>100</v>
      </c>
      <c r="Y117">
        <v>67</v>
      </c>
      <c r="Z117">
        <v>0</v>
      </c>
      <c r="AA117">
        <v>0</v>
      </c>
      <c r="AB117" s="3">
        <v>0</v>
      </c>
      <c r="AC117">
        <v>0</v>
      </c>
    </row>
    <row r="118" spans="1:30" x14ac:dyDescent="0.2">
      <c r="A118" t="s">
        <v>96</v>
      </c>
      <c r="C118">
        <v>0</v>
      </c>
      <c r="D118" t="s">
        <v>10</v>
      </c>
      <c r="E118">
        <v>7700</v>
      </c>
      <c r="F118" t="s">
        <v>157</v>
      </c>
      <c r="G118" t="s">
        <v>158</v>
      </c>
      <c r="H118" s="2">
        <v>0.79166666666666663</v>
      </c>
      <c r="I118" t="s">
        <v>159</v>
      </c>
      <c r="J118" s="1">
        <v>0.54200000000000004</v>
      </c>
      <c r="K118">
        <v>84.5</v>
      </c>
      <c r="L118">
        <v>6.5</v>
      </c>
      <c r="M118">
        <v>3.25</v>
      </c>
      <c r="N118">
        <v>3.5</v>
      </c>
      <c r="Q118" s="3">
        <v>0.86944444444444446</v>
      </c>
      <c r="R118">
        <v>12.6</v>
      </c>
      <c r="S118">
        <v>9.58</v>
      </c>
      <c r="T118">
        <v>0</v>
      </c>
      <c r="U118">
        <v>0</v>
      </c>
      <c r="V118">
        <v>0</v>
      </c>
      <c r="W118">
        <v>100</v>
      </c>
      <c r="Y118">
        <v>62</v>
      </c>
      <c r="Z118">
        <v>0</v>
      </c>
      <c r="AA118">
        <v>0</v>
      </c>
    </row>
    <row r="119" spans="1:30" x14ac:dyDescent="0.2">
      <c r="A119" t="s">
        <v>182</v>
      </c>
      <c r="C119">
        <v>0</v>
      </c>
      <c r="D119" t="s">
        <v>15</v>
      </c>
      <c r="E119">
        <v>7500</v>
      </c>
      <c r="F119" t="s">
        <v>163</v>
      </c>
      <c r="G119" t="s">
        <v>164</v>
      </c>
      <c r="H119" s="2">
        <v>0.8125</v>
      </c>
      <c r="I119" t="s">
        <v>159</v>
      </c>
      <c r="J119" s="1">
        <v>0.56000000000000005</v>
      </c>
      <c r="K119">
        <v>78.5</v>
      </c>
      <c r="L119">
        <v>6.5</v>
      </c>
      <c r="M119">
        <v>3.25</v>
      </c>
      <c r="N119">
        <v>3.35</v>
      </c>
      <c r="O119" t="s">
        <v>180</v>
      </c>
      <c r="Q119" s="4">
        <v>1.25</v>
      </c>
      <c r="R119">
        <v>0.8</v>
      </c>
      <c r="S119">
        <v>7.56</v>
      </c>
      <c r="T119">
        <v>0</v>
      </c>
      <c r="U119">
        <v>0</v>
      </c>
      <c r="V119">
        <v>0</v>
      </c>
      <c r="W119">
        <v>100</v>
      </c>
      <c r="Y119">
        <v>0</v>
      </c>
      <c r="Z119">
        <v>0</v>
      </c>
      <c r="AA119">
        <v>0</v>
      </c>
    </row>
    <row r="120" spans="1:30" x14ac:dyDescent="0.2">
      <c r="A120" t="s">
        <v>112</v>
      </c>
      <c r="C120">
        <v>0</v>
      </c>
      <c r="D120" t="s">
        <v>15</v>
      </c>
      <c r="E120">
        <v>7500</v>
      </c>
      <c r="F120" t="s">
        <v>163</v>
      </c>
      <c r="G120" t="s">
        <v>164</v>
      </c>
      <c r="H120" s="2">
        <v>0.8125</v>
      </c>
      <c r="I120" t="s">
        <v>159</v>
      </c>
      <c r="J120" s="1">
        <v>0.56000000000000005</v>
      </c>
      <c r="K120">
        <v>78.5</v>
      </c>
      <c r="L120">
        <v>6.5</v>
      </c>
      <c r="M120">
        <v>3.25</v>
      </c>
      <c r="N120">
        <v>3.35</v>
      </c>
      <c r="O120" t="s">
        <v>180</v>
      </c>
      <c r="Q120" s="4">
        <v>2.432638888888889</v>
      </c>
      <c r="R120">
        <v>5</v>
      </c>
      <c r="S120">
        <v>8.84</v>
      </c>
      <c r="T120">
        <v>0</v>
      </c>
      <c r="U120">
        <v>0</v>
      </c>
      <c r="V120">
        <v>0</v>
      </c>
      <c r="W120">
        <v>100</v>
      </c>
      <c r="Y120">
        <v>12</v>
      </c>
      <c r="Z120">
        <v>0</v>
      </c>
      <c r="AA120">
        <v>0</v>
      </c>
      <c r="AB120" s="3">
        <v>0</v>
      </c>
      <c r="AC120">
        <v>0</v>
      </c>
    </row>
    <row r="121" spans="1:30" x14ac:dyDescent="0.2">
      <c r="A121" t="s">
        <v>114</v>
      </c>
      <c r="C121">
        <v>0</v>
      </c>
      <c r="D121" t="s">
        <v>15</v>
      </c>
      <c r="E121">
        <v>7300</v>
      </c>
      <c r="F121" t="s">
        <v>157</v>
      </c>
      <c r="G121" t="s">
        <v>158</v>
      </c>
      <c r="H121" s="2">
        <v>0.79166666666666663</v>
      </c>
      <c r="I121" t="s">
        <v>159</v>
      </c>
      <c r="J121" s="1">
        <v>0.54200000000000004</v>
      </c>
      <c r="K121">
        <v>84.5</v>
      </c>
      <c r="L121">
        <v>6.5</v>
      </c>
      <c r="M121">
        <v>3.25</v>
      </c>
      <c r="N121">
        <v>3.5</v>
      </c>
      <c r="O121" t="s">
        <v>180</v>
      </c>
      <c r="Q121" s="4">
        <v>2.3256944444444443</v>
      </c>
      <c r="R121">
        <v>7.1</v>
      </c>
      <c r="S121">
        <v>11.04</v>
      </c>
      <c r="T121">
        <v>0</v>
      </c>
      <c r="U121">
        <v>0</v>
      </c>
      <c r="V121">
        <v>0</v>
      </c>
      <c r="W121">
        <v>100</v>
      </c>
      <c r="Y121">
        <v>22</v>
      </c>
      <c r="Z121">
        <v>0</v>
      </c>
      <c r="AA121">
        <v>0</v>
      </c>
      <c r="AB121" s="3">
        <v>0</v>
      </c>
      <c r="AC121">
        <v>0</v>
      </c>
    </row>
    <row r="122" spans="1:30" x14ac:dyDescent="0.2">
      <c r="A122" t="s">
        <v>183</v>
      </c>
      <c r="C122">
        <v>0</v>
      </c>
      <c r="D122" t="s">
        <v>15</v>
      </c>
      <c r="E122">
        <v>7100</v>
      </c>
      <c r="F122" t="s">
        <v>157</v>
      </c>
      <c r="G122" t="s">
        <v>158</v>
      </c>
      <c r="H122" s="2">
        <v>0.79166666666666663</v>
      </c>
      <c r="I122" t="s">
        <v>159</v>
      </c>
      <c r="J122" s="1">
        <v>0.54200000000000004</v>
      </c>
      <c r="K122">
        <v>84.5</v>
      </c>
      <c r="L122">
        <v>6.5</v>
      </c>
      <c r="M122">
        <v>3.25</v>
      </c>
      <c r="N122">
        <v>3.5</v>
      </c>
      <c r="O122" t="s">
        <v>180</v>
      </c>
      <c r="Q122" s="4">
        <v>2.4534722222222221</v>
      </c>
      <c r="R122">
        <v>12.7</v>
      </c>
      <c r="S122">
        <v>8.94</v>
      </c>
      <c r="T122">
        <v>0</v>
      </c>
      <c r="U122">
        <v>0</v>
      </c>
      <c r="V122">
        <v>0</v>
      </c>
      <c r="W122">
        <v>100</v>
      </c>
      <c r="Y122">
        <v>65</v>
      </c>
      <c r="Z122">
        <v>0</v>
      </c>
      <c r="AA122">
        <v>0</v>
      </c>
    </row>
    <row r="123" spans="1:30" x14ac:dyDescent="0.2">
      <c r="A123" t="s">
        <v>110</v>
      </c>
      <c r="C123">
        <v>0</v>
      </c>
      <c r="D123" t="s">
        <v>15</v>
      </c>
      <c r="E123">
        <v>7100</v>
      </c>
      <c r="F123" t="s">
        <v>160</v>
      </c>
      <c r="G123" t="s">
        <v>161</v>
      </c>
      <c r="H123" s="2">
        <v>0.8125</v>
      </c>
      <c r="I123" t="s">
        <v>159</v>
      </c>
      <c r="J123" s="1">
        <v>0.505</v>
      </c>
      <c r="K123">
        <v>98</v>
      </c>
      <c r="L123">
        <v>6.5</v>
      </c>
      <c r="M123">
        <v>3.02</v>
      </c>
      <c r="N123">
        <v>3.25</v>
      </c>
      <c r="O123" t="s">
        <v>180</v>
      </c>
      <c r="Q123" s="4">
        <v>2.4659722222222222</v>
      </c>
      <c r="R123">
        <v>8.1999999999999993</v>
      </c>
      <c r="S123">
        <v>8.15</v>
      </c>
      <c r="T123">
        <v>0</v>
      </c>
      <c r="U123">
        <v>0</v>
      </c>
      <c r="V123">
        <v>0</v>
      </c>
      <c r="W123">
        <v>100</v>
      </c>
      <c r="Y123">
        <v>50</v>
      </c>
      <c r="Z123">
        <v>0</v>
      </c>
      <c r="AA123">
        <v>0</v>
      </c>
      <c r="AB123" s="3">
        <v>0</v>
      </c>
      <c r="AC123">
        <v>0</v>
      </c>
    </row>
    <row r="124" spans="1:30" x14ac:dyDescent="0.2">
      <c r="A124" t="s">
        <v>184</v>
      </c>
      <c r="C124">
        <v>0</v>
      </c>
      <c r="D124" t="s">
        <v>15</v>
      </c>
      <c r="E124">
        <v>6900</v>
      </c>
      <c r="F124" t="s">
        <v>160</v>
      </c>
      <c r="G124" t="s">
        <v>161</v>
      </c>
      <c r="H124" s="2">
        <v>0.8125</v>
      </c>
      <c r="I124" t="s">
        <v>159</v>
      </c>
      <c r="J124" s="1">
        <v>0.505</v>
      </c>
      <c r="K124">
        <v>98</v>
      </c>
      <c r="L124">
        <v>6.5</v>
      </c>
      <c r="M124">
        <v>3.02</v>
      </c>
      <c r="N124">
        <v>3.25</v>
      </c>
      <c r="O124" t="s">
        <v>180</v>
      </c>
      <c r="Q124" s="4">
        <v>1.3840277777777779</v>
      </c>
      <c r="R124">
        <v>2.2000000000000002</v>
      </c>
      <c r="S124">
        <v>10.51</v>
      </c>
      <c r="T124">
        <v>0</v>
      </c>
      <c r="U124">
        <v>0</v>
      </c>
      <c r="V124">
        <v>0</v>
      </c>
      <c r="W124">
        <v>100</v>
      </c>
      <c r="Y124">
        <v>0</v>
      </c>
      <c r="Z124">
        <v>0</v>
      </c>
      <c r="AA124">
        <v>0</v>
      </c>
    </row>
    <row r="125" spans="1:30" x14ac:dyDescent="0.2">
      <c r="A125" t="s">
        <v>185</v>
      </c>
      <c r="C125">
        <v>0</v>
      </c>
      <c r="D125" t="s">
        <v>15</v>
      </c>
      <c r="E125">
        <v>6500</v>
      </c>
      <c r="F125" t="s">
        <v>155</v>
      </c>
      <c r="G125" t="s">
        <v>156</v>
      </c>
      <c r="H125" s="2">
        <v>0.79166666666666663</v>
      </c>
      <c r="I125" t="s">
        <v>152</v>
      </c>
      <c r="J125" s="1">
        <v>0.45800000000000002</v>
      </c>
      <c r="K125">
        <v>-84.5</v>
      </c>
      <c r="L125">
        <v>6.5</v>
      </c>
      <c r="M125">
        <v>3.5</v>
      </c>
      <c r="N125">
        <v>3.25</v>
      </c>
      <c r="O125" t="s">
        <v>180</v>
      </c>
      <c r="Q125" s="3">
        <v>0.56180555555555556</v>
      </c>
      <c r="R125">
        <v>-3.5</v>
      </c>
      <c r="S125">
        <v>0</v>
      </c>
      <c r="T125">
        <v>0</v>
      </c>
      <c r="U125">
        <v>0</v>
      </c>
      <c r="V125">
        <v>0</v>
      </c>
      <c r="W125">
        <v>100</v>
      </c>
      <c r="Y125">
        <v>0</v>
      </c>
      <c r="Z125">
        <v>0</v>
      </c>
      <c r="AA125">
        <v>0</v>
      </c>
    </row>
    <row r="126" spans="1:30" x14ac:dyDescent="0.2">
      <c r="A126" t="s">
        <v>186</v>
      </c>
      <c r="C126">
        <v>0</v>
      </c>
      <c r="D126" t="s">
        <v>15</v>
      </c>
      <c r="E126">
        <v>6500</v>
      </c>
      <c r="F126" t="s">
        <v>160</v>
      </c>
      <c r="G126" t="s">
        <v>161</v>
      </c>
      <c r="H126" s="2">
        <v>0.8125</v>
      </c>
      <c r="I126" t="s">
        <v>159</v>
      </c>
      <c r="J126" s="1">
        <v>0.505</v>
      </c>
      <c r="K126">
        <v>98</v>
      </c>
      <c r="L126">
        <v>6.5</v>
      </c>
      <c r="M126">
        <v>3.02</v>
      </c>
      <c r="N126">
        <v>3.25</v>
      </c>
      <c r="O126" t="s">
        <v>180</v>
      </c>
      <c r="Q126" s="4">
        <v>2.2444444444444445</v>
      </c>
      <c r="R126">
        <v>4.0999999999999996</v>
      </c>
      <c r="S126">
        <v>8.7100000000000009</v>
      </c>
      <c r="T126">
        <v>0</v>
      </c>
      <c r="U126">
        <v>0</v>
      </c>
      <c r="V126">
        <v>0</v>
      </c>
      <c r="W126">
        <v>100</v>
      </c>
      <c r="Y126">
        <v>0</v>
      </c>
      <c r="Z126">
        <v>0</v>
      </c>
      <c r="AA126">
        <v>0</v>
      </c>
    </row>
    <row r="127" spans="1:30" x14ac:dyDescent="0.2">
      <c r="A127" t="s">
        <v>187</v>
      </c>
      <c r="C127">
        <v>0</v>
      </c>
      <c r="D127" t="s">
        <v>15</v>
      </c>
      <c r="E127">
        <v>6500</v>
      </c>
      <c r="F127" t="s">
        <v>150</v>
      </c>
      <c r="G127" t="s">
        <v>151</v>
      </c>
      <c r="H127" s="2">
        <v>0.8125</v>
      </c>
      <c r="I127" t="s">
        <v>152</v>
      </c>
      <c r="J127" s="1">
        <v>0.495</v>
      </c>
      <c r="K127">
        <v>-98</v>
      </c>
      <c r="L127">
        <v>6.5</v>
      </c>
      <c r="M127">
        <v>3.25</v>
      </c>
      <c r="N127">
        <v>3.02</v>
      </c>
      <c r="O127" t="s">
        <v>180</v>
      </c>
      <c r="Q127" s="4">
        <v>2.2006944444444443</v>
      </c>
      <c r="R127">
        <v>12.7</v>
      </c>
      <c r="S127">
        <v>10.8</v>
      </c>
      <c r="T127">
        <v>0</v>
      </c>
      <c r="U127">
        <v>0</v>
      </c>
      <c r="V127">
        <v>0</v>
      </c>
      <c r="W127">
        <v>100</v>
      </c>
      <c r="Y127">
        <v>57</v>
      </c>
      <c r="Z127">
        <v>0</v>
      </c>
      <c r="AA127">
        <v>0</v>
      </c>
    </row>
    <row r="128" spans="1:30" x14ac:dyDescent="0.2">
      <c r="A128" t="s">
        <v>188</v>
      </c>
      <c r="C128">
        <v>0</v>
      </c>
      <c r="D128" t="s">
        <v>12</v>
      </c>
      <c r="E128">
        <v>6400</v>
      </c>
      <c r="F128" t="s">
        <v>157</v>
      </c>
      <c r="G128" t="s">
        <v>158</v>
      </c>
      <c r="H128" s="2">
        <v>0.79166666666666663</v>
      </c>
      <c r="I128" t="s">
        <v>159</v>
      </c>
      <c r="J128" s="1">
        <v>0.54200000000000004</v>
      </c>
      <c r="K128">
        <v>84.5</v>
      </c>
      <c r="L128">
        <v>6.5</v>
      </c>
      <c r="M128">
        <v>3.25</v>
      </c>
      <c r="N128">
        <v>3.5</v>
      </c>
      <c r="Q128" s="3">
        <v>0.9770833333333333</v>
      </c>
      <c r="R128">
        <v>11</v>
      </c>
      <c r="S128">
        <v>6.33</v>
      </c>
      <c r="T128">
        <v>0</v>
      </c>
      <c r="U128">
        <v>0</v>
      </c>
      <c r="V128">
        <v>0</v>
      </c>
      <c r="W128">
        <v>100</v>
      </c>
      <c r="Y128">
        <v>71</v>
      </c>
      <c r="Z128">
        <v>0</v>
      </c>
      <c r="AA128">
        <v>0</v>
      </c>
    </row>
    <row r="129" spans="1:30" x14ac:dyDescent="0.2">
      <c r="A129" t="s">
        <v>189</v>
      </c>
      <c r="C129">
        <v>0</v>
      </c>
      <c r="D129" t="s">
        <v>10</v>
      </c>
      <c r="E129">
        <v>5200</v>
      </c>
      <c r="F129" t="s">
        <v>150</v>
      </c>
      <c r="G129" t="s">
        <v>151</v>
      </c>
      <c r="H129" s="2">
        <v>0.8125</v>
      </c>
      <c r="I129" t="s">
        <v>152</v>
      </c>
      <c r="J129" s="1">
        <v>0.495</v>
      </c>
      <c r="K129">
        <v>-98</v>
      </c>
      <c r="L129">
        <v>6.5</v>
      </c>
      <c r="M129">
        <v>3.25</v>
      </c>
      <c r="N129">
        <v>3.02</v>
      </c>
      <c r="Q129" s="3">
        <v>0.66041666666666665</v>
      </c>
      <c r="R129">
        <v>7.6</v>
      </c>
      <c r="S129">
        <v>6.78</v>
      </c>
      <c r="T129">
        <v>0</v>
      </c>
      <c r="U129">
        <v>0</v>
      </c>
      <c r="V129">
        <v>0</v>
      </c>
      <c r="W129">
        <v>100</v>
      </c>
      <c r="Y129">
        <v>55</v>
      </c>
      <c r="Z129">
        <v>0</v>
      </c>
      <c r="AA129">
        <v>0</v>
      </c>
    </row>
    <row r="130" spans="1:30" x14ac:dyDescent="0.2">
      <c r="A130" t="s">
        <v>190</v>
      </c>
      <c r="C130">
        <v>0</v>
      </c>
      <c r="D130" t="s">
        <v>10</v>
      </c>
      <c r="E130">
        <v>4100</v>
      </c>
      <c r="F130" t="s">
        <v>150</v>
      </c>
      <c r="G130" t="s">
        <v>151</v>
      </c>
      <c r="H130" s="2">
        <v>0.8125</v>
      </c>
      <c r="I130" t="s">
        <v>152</v>
      </c>
      <c r="J130" s="1">
        <v>0.495</v>
      </c>
      <c r="K130">
        <v>-98</v>
      </c>
      <c r="L130">
        <v>6.5</v>
      </c>
      <c r="M130">
        <v>3.25</v>
      </c>
      <c r="N130">
        <v>3.02</v>
      </c>
      <c r="Q130" s="3">
        <v>0.53888888888888886</v>
      </c>
      <c r="R130">
        <v>7.1</v>
      </c>
      <c r="S130">
        <v>5.55</v>
      </c>
      <c r="T130">
        <v>0</v>
      </c>
      <c r="U130">
        <v>0</v>
      </c>
      <c r="V130">
        <v>0</v>
      </c>
      <c r="W130">
        <v>100</v>
      </c>
      <c r="Y130">
        <v>61</v>
      </c>
      <c r="Z130">
        <v>0</v>
      </c>
      <c r="AA130">
        <v>0</v>
      </c>
    </row>
    <row r="131" spans="1:30" x14ac:dyDescent="0.2">
      <c r="A131" t="s">
        <v>99</v>
      </c>
      <c r="C131">
        <v>0</v>
      </c>
      <c r="D131" t="s">
        <v>12</v>
      </c>
      <c r="E131">
        <v>3700</v>
      </c>
      <c r="F131" t="s">
        <v>155</v>
      </c>
      <c r="G131" t="s">
        <v>156</v>
      </c>
      <c r="H131" s="2">
        <v>0.79166666666666663</v>
      </c>
      <c r="I131" t="s">
        <v>152</v>
      </c>
      <c r="J131" s="1">
        <v>0.45800000000000002</v>
      </c>
      <c r="K131">
        <v>-84.5</v>
      </c>
      <c r="L131">
        <v>6.5</v>
      </c>
      <c r="M131">
        <v>3.5</v>
      </c>
      <c r="N131">
        <v>3.25</v>
      </c>
      <c r="Q131" s="3">
        <v>0.87361111111111112</v>
      </c>
      <c r="R131">
        <v>7.2</v>
      </c>
      <c r="S131">
        <v>5.86</v>
      </c>
      <c r="T131">
        <v>0</v>
      </c>
      <c r="U131">
        <v>0</v>
      </c>
      <c r="V131">
        <v>0</v>
      </c>
      <c r="W131">
        <v>100</v>
      </c>
      <c r="Y131">
        <v>59</v>
      </c>
      <c r="Z131">
        <v>0</v>
      </c>
      <c r="AA131">
        <v>0</v>
      </c>
      <c r="AB131" s="3">
        <v>0.82847222222222228</v>
      </c>
      <c r="AC131">
        <v>1.5</v>
      </c>
      <c r="AD131">
        <v>0.4</v>
      </c>
    </row>
    <row r="132" spans="1:30" x14ac:dyDescent="0.2">
      <c r="A132" t="s">
        <v>191</v>
      </c>
      <c r="C132">
        <v>0</v>
      </c>
      <c r="D132" t="s">
        <v>10</v>
      </c>
      <c r="E132">
        <v>3400</v>
      </c>
      <c r="F132" t="s">
        <v>163</v>
      </c>
      <c r="G132" t="s">
        <v>164</v>
      </c>
      <c r="H132" s="2">
        <v>0.8125</v>
      </c>
      <c r="I132" t="s">
        <v>159</v>
      </c>
      <c r="J132" s="1">
        <v>0.56000000000000005</v>
      </c>
      <c r="K132">
        <v>78.5</v>
      </c>
      <c r="L132">
        <v>6.5</v>
      </c>
      <c r="M132">
        <v>3.25</v>
      </c>
      <c r="N132">
        <v>3.35</v>
      </c>
      <c r="Q132" s="3">
        <v>0.72361111111111109</v>
      </c>
      <c r="R132">
        <v>9.3000000000000007</v>
      </c>
      <c r="S132">
        <v>5.57</v>
      </c>
      <c r="T132">
        <v>0</v>
      </c>
      <c r="U132">
        <v>0</v>
      </c>
      <c r="V132">
        <v>0</v>
      </c>
      <c r="W132">
        <v>100</v>
      </c>
      <c r="Y132">
        <v>70</v>
      </c>
      <c r="Z132">
        <v>0</v>
      </c>
      <c r="AA132">
        <v>0</v>
      </c>
    </row>
    <row r="133" spans="1:30" x14ac:dyDescent="0.2">
      <c r="A133" t="s">
        <v>192</v>
      </c>
      <c r="C133">
        <v>0</v>
      </c>
      <c r="D133" t="s">
        <v>12</v>
      </c>
      <c r="E133">
        <v>3400</v>
      </c>
      <c r="F133" t="s">
        <v>150</v>
      </c>
      <c r="G133" t="s">
        <v>151</v>
      </c>
      <c r="H133" s="2">
        <v>0.8125</v>
      </c>
      <c r="I133" t="s">
        <v>152</v>
      </c>
      <c r="J133" s="1">
        <v>0.495</v>
      </c>
      <c r="K133">
        <v>-98</v>
      </c>
      <c r="L133">
        <v>6.5</v>
      </c>
      <c r="M133">
        <v>3.25</v>
      </c>
      <c r="N133">
        <v>3.02</v>
      </c>
      <c r="Q133" s="3">
        <v>0.92986111111111114</v>
      </c>
      <c r="R133">
        <v>7</v>
      </c>
      <c r="S133">
        <v>4.38</v>
      </c>
      <c r="T133">
        <v>0</v>
      </c>
      <c r="U133">
        <v>0</v>
      </c>
      <c r="V133">
        <v>0</v>
      </c>
      <c r="W133">
        <v>100</v>
      </c>
      <c r="Y133">
        <v>69</v>
      </c>
      <c r="Z133">
        <v>0</v>
      </c>
      <c r="AA133">
        <v>0</v>
      </c>
    </row>
    <row r="134" spans="1:30" x14ac:dyDescent="0.2">
      <c r="A134" t="s">
        <v>82</v>
      </c>
      <c r="C134">
        <v>0</v>
      </c>
      <c r="D134" t="s">
        <v>10</v>
      </c>
      <c r="E134">
        <v>3100</v>
      </c>
      <c r="F134" t="s">
        <v>157</v>
      </c>
      <c r="G134" t="s">
        <v>158</v>
      </c>
      <c r="H134" s="2">
        <v>0.79166666666666663</v>
      </c>
      <c r="I134" t="s">
        <v>159</v>
      </c>
      <c r="J134" s="1">
        <v>0.54200000000000004</v>
      </c>
      <c r="K134">
        <v>84.5</v>
      </c>
      <c r="L134">
        <v>6.5</v>
      </c>
      <c r="M134">
        <v>3.25</v>
      </c>
      <c r="N134">
        <v>3.5</v>
      </c>
      <c r="Q134" s="3">
        <v>0.61041666666666672</v>
      </c>
      <c r="R134">
        <v>4.8</v>
      </c>
      <c r="S134">
        <v>4.6900000000000004</v>
      </c>
      <c r="T134">
        <v>0</v>
      </c>
      <c r="U134">
        <v>0</v>
      </c>
      <c r="V134">
        <v>0</v>
      </c>
      <c r="W134">
        <v>100</v>
      </c>
      <c r="Y134">
        <v>51</v>
      </c>
      <c r="Z134">
        <v>0</v>
      </c>
      <c r="AA134">
        <v>0</v>
      </c>
      <c r="AB134" s="3">
        <v>0.67847222222222225</v>
      </c>
      <c r="AC134">
        <v>2.8</v>
      </c>
      <c r="AD134">
        <v>0.9</v>
      </c>
    </row>
    <row r="135" spans="1:30" x14ac:dyDescent="0.2">
      <c r="A135" t="s">
        <v>193</v>
      </c>
      <c r="C135">
        <v>0</v>
      </c>
      <c r="D135" t="s">
        <v>12</v>
      </c>
      <c r="E135">
        <v>2900</v>
      </c>
      <c r="F135" t="s">
        <v>153</v>
      </c>
      <c r="G135" t="s">
        <v>154</v>
      </c>
      <c r="H135" s="2">
        <v>0.8125</v>
      </c>
      <c r="I135" t="s">
        <v>152</v>
      </c>
      <c r="J135" s="1">
        <v>0.44</v>
      </c>
      <c r="K135">
        <v>-78.5</v>
      </c>
      <c r="L135">
        <v>6.5</v>
      </c>
      <c r="M135">
        <v>3.35</v>
      </c>
      <c r="N135">
        <v>3.25</v>
      </c>
      <c r="Q135" s="3">
        <v>0.67222222222222228</v>
      </c>
      <c r="R135">
        <v>5.4</v>
      </c>
      <c r="S135">
        <v>4.29</v>
      </c>
      <c r="T135">
        <v>0</v>
      </c>
      <c r="U135">
        <v>0</v>
      </c>
      <c r="V135">
        <v>0</v>
      </c>
      <c r="W135">
        <v>100</v>
      </c>
      <c r="Y135">
        <v>60</v>
      </c>
      <c r="Z135">
        <v>0</v>
      </c>
      <c r="AA135">
        <v>0</v>
      </c>
    </row>
    <row r="136" spans="1:30" x14ac:dyDescent="0.2">
      <c r="A136" t="s">
        <v>102</v>
      </c>
      <c r="C136">
        <v>0</v>
      </c>
      <c r="D136" t="s">
        <v>10</v>
      </c>
      <c r="E136">
        <v>2800</v>
      </c>
      <c r="F136" t="s">
        <v>155</v>
      </c>
      <c r="G136" t="s">
        <v>156</v>
      </c>
      <c r="H136" s="2">
        <v>0.79166666666666663</v>
      </c>
      <c r="I136" t="s">
        <v>152</v>
      </c>
      <c r="J136" s="1">
        <v>0.45800000000000002</v>
      </c>
      <c r="K136">
        <v>-84.5</v>
      </c>
      <c r="L136">
        <v>6.5</v>
      </c>
      <c r="M136">
        <v>3.5</v>
      </c>
      <c r="N136">
        <v>3.25</v>
      </c>
      <c r="Q136" s="3">
        <v>0.59166666666666667</v>
      </c>
      <c r="R136">
        <v>3.3</v>
      </c>
      <c r="S136">
        <v>3.35</v>
      </c>
      <c r="T136">
        <v>0</v>
      </c>
      <c r="U136">
        <v>0</v>
      </c>
      <c r="V136">
        <v>0</v>
      </c>
      <c r="W136">
        <v>100</v>
      </c>
      <c r="Y136">
        <v>49</v>
      </c>
      <c r="Z136">
        <v>0</v>
      </c>
      <c r="AA136">
        <v>0</v>
      </c>
    </row>
    <row r="137" spans="1:30" x14ac:dyDescent="0.2">
      <c r="A137" t="s">
        <v>194</v>
      </c>
      <c r="C137">
        <v>0</v>
      </c>
      <c r="D137" t="s">
        <v>10</v>
      </c>
      <c r="E137">
        <v>2700</v>
      </c>
      <c r="F137" t="s">
        <v>155</v>
      </c>
      <c r="G137" t="s">
        <v>156</v>
      </c>
      <c r="H137" s="2">
        <v>0.79166666666666663</v>
      </c>
      <c r="I137" t="s">
        <v>152</v>
      </c>
      <c r="J137" s="1">
        <v>0.45800000000000002</v>
      </c>
      <c r="K137">
        <v>-84.5</v>
      </c>
      <c r="L137">
        <v>6.5</v>
      </c>
      <c r="M137">
        <v>3.5</v>
      </c>
      <c r="N137">
        <v>3.25</v>
      </c>
      <c r="Q137" s="3">
        <v>0.50555555555555554</v>
      </c>
      <c r="R137">
        <v>5</v>
      </c>
      <c r="S137">
        <v>4.33</v>
      </c>
      <c r="T137">
        <v>0</v>
      </c>
      <c r="U137">
        <v>0</v>
      </c>
      <c r="V137">
        <v>0</v>
      </c>
      <c r="W137">
        <v>100</v>
      </c>
      <c r="Y137">
        <v>57</v>
      </c>
      <c r="Z137">
        <v>0</v>
      </c>
      <c r="AA137">
        <v>0</v>
      </c>
    </row>
    <row r="138" spans="1:30" x14ac:dyDescent="0.2">
      <c r="A138" t="s">
        <v>195</v>
      </c>
      <c r="C138">
        <v>0</v>
      </c>
      <c r="D138" t="s">
        <v>10</v>
      </c>
      <c r="E138">
        <v>2600</v>
      </c>
      <c r="F138" t="s">
        <v>160</v>
      </c>
      <c r="G138" t="s">
        <v>161</v>
      </c>
      <c r="H138" s="2">
        <v>0.8125</v>
      </c>
      <c r="I138" t="s">
        <v>159</v>
      </c>
      <c r="J138" s="1">
        <v>0.505</v>
      </c>
      <c r="K138">
        <v>98</v>
      </c>
      <c r="L138">
        <v>6.5</v>
      </c>
      <c r="M138">
        <v>3.02</v>
      </c>
      <c r="N138">
        <v>3.25</v>
      </c>
      <c r="Q138" s="3">
        <v>0.3611111111111111</v>
      </c>
      <c r="R138">
        <v>5</v>
      </c>
      <c r="S138">
        <v>6.51</v>
      </c>
      <c r="T138">
        <v>0</v>
      </c>
      <c r="U138">
        <v>0</v>
      </c>
      <c r="V138">
        <v>0</v>
      </c>
      <c r="W138">
        <v>100</v>
      </c>
      <c r="Y138">
        <v>35</v>
      </c>
      <c r="Z138">
        <v>0</v>
      </c>
      <c r="AA138">
        <v>0</v>
      </c>
    </row>
    <row r="139" spans="1:30" x14ac:dyDescent="0.2">
      <c r="A139" t="s">
        <v>196</v>
      </c>
      <c r="C139">
        <v>0</v>
      </c>
      <c r="D139" t="s">
        <v>12</v>
      </c>
      <c r="E139">
        <v>2500</v>
      </c>
      <c r="F139" t="s">
        <v>157</v>
      </c>
      <c r="G139" t="s">
        <v>158</v>
      </c>
      <c r="H139" s="2">
        <v>0.79166666666666663</v>
      </c>
      <c r="I139" t="s">
        <v>159</v>
      </c>
      <c r="J139" s="1">
        <v>0.54200000000000004</v>
      </c>
      <c r="K139">
        <v>84.5</v>
      </c>
      <c r="L139">
        <v>6.5</v>
      </c>
      <c r="M139">
        <v>3.25</v>
      </c>
      <c r="N139">
        <v>3.5</v>
      </c>
      <c r="T139">
        <v>0</v>
      </c>
      <c r="U139">
        <v>0</v>
      </c>
      <c r="V139">
        <v>0</v>
      </c>
      <c r="W139">
        <v>100</v>
      </c>
      <c r="Y139">
        <v>0</v>
      </c>
      <c r="Z139">
        <v>0</v>
      </c>
      <c r="AA139">
        <v>0</v>
      </c>
    </row>
    <row r="140" spans="1:30" x14ac:dyDescent="0.2">
      <c r="A140" t="s">
        <v>197</v>
      </c>
      <c r="C140">
        <v>0</v>
      </c>
      <c r="D140" t="s">
        <v>12</v>
      </c>
      <c r="E140">
        <v>2500</v>
      </c>
      <c r="F140" t="s">
        <v>155</v>
      </c>
      <c r="G140" t="s">
        <v>156</v>
      </c>
      <c r="H140" s="2">
        <v>0.79166666666666663</v>
      </c>
      <c r="I140" t="s">
        <v>152</v>
      </c>
      <c r="J140" s="1">
        <v>0.45800000000000002</v>
      </c>
      <c r="K140">
        <v>-84.5</v>
      </c>
      <c r="L140">
        <v>6.5</v>
      </c>
      <c r="M140">
        <v>3.5</v>
      </c>
      <c r="N140">
        <v>3.25</v>
      </c>
      <c r="Q140" s="3">
        <v>0.57222222222222219</v>
      </c>
      <c r="R140">
        <v>4.5999999999999996</v>
      </c>
      <c r="S140">
        <v>2.92</v>
      </c>
      <c r="T140">
        <v>0</v>
      </c>
      <c r="U140">
        <v>0</v>
      </c>
      <c r="V140">
        <v>0</v>
      </c>
      <c r="W140">
        <v>100</v>
      </c>
      <c r="Y140">
        <v>68</v>
      </c>
      <c r="Z140">
        <v>0</v>
      </c>
      <c r="AA140">
        <v>0</v>
      </c>
    </row>
    <row r="141" spans="1:30" x14ac:dyDescent="0.2">
      <c r="A141" t="s">
        <v>198</v>
      </c>
      <c r="C141">
        <v>0</v>
      </c>
      <c r="D141" t="s">
        <v>12</v>
      </c>
      <c r="E141">
        <v>2500</v>
      </c>
      <c r="F141" t="s">
        <v>155</v>
      </c>
      <c r="G141" t="s">
        <v>156</v>
      </c>
      <c r="H141" s="2">
        <v>0.79166666666666663</v>
      </c>
      <c r="I141" t="s">
        <v>152</v>
      </c>
      <c r="J141" s="1">
        <v>0.45800000000000002</v>
      </c>
      <c r="K141">
        <v>-84.5</v>
      </c>
      <c r="L141">
        <v>6.5</v>
      </c>
      <c r="M141">
        <v>3.5</v>
      </c>
      <c r="N141">
        <v>3.25</v>
      </c>
      <c r="Q141" s="3">
        <v>0.4777777777777778</v>
      </c>
      <c r="R141">
        <v>4</v>
      </c>
      <c r="S141">
        <v>3.07</v>
      </c>
      <c r="T141">
        <v>0</v>
      </c>
      <c r="U141">
        <v>0</v>
      </c>
      <c r="V141">
        <v>0</v>
      </c>
      <c r="W141">
        <v>100</v>
      </c>
      <c r="Y141">
        <v>62</v>
      </c>
      <c r="Z141">
        <v>0</v>
      </c>
      <c r="AA141">
        <v>0</v>
      </c>
    </row>
    <row r="142" spans="1:30" x14ac:dyDescent="0.2">
      <c r="A142" t="s">
        <v>199</v>
      </c>
      <c r="C142">
        <v>0</v>
      </c>
      <c r="D142" t="s">
        <v>12</v>
      </c>
      <c r="E142">
        <v>2500</v>
      </c>
      <c r="F142" t="s">
        <v>155</v>
      </c>
      <c r="G142" t="s">
        <v>156</v>
      </c>
      <c r="H142" s="2">
        <v>0.79166666666666663</v>
      </c>
      <c r="I142" t="s">
        <v>152</v>
      </c>
      <c r="J142" s="1">
        <v>0.45800000000000002</v>
      </c>
      <c r="K142">
        <v>-84.5</v>
      </c>
      <c r="L142">
        <v>6.5</v>
      </c>
      <c r="M142">
        <v>3.5</v>
      </c>
      <c r="N142">
        <v>3.25</v>
      </c>
      <c r="Q142" s="3">
        <v>0.48055555555555557</v>
      </c>
      <c r="R142">
        <v>2.8</v>
      </c>
      <c r="S142">
        <v>4.5999999999999996</v>
      </c>
      <c r="T142">
        <v>0</v>
      </c>
      <c r="U142">
        <v>0</v>
      </c>
      <c r="V142">
        <v>0</v>
      </c>
      <c r="W142">
        <v>100</v>
      </c>
      <c r="Y142">
        <v>18</v>
      </c>
      <c r="Z142">
        <v>0</v>
      </c>
      <c r="AA142">
        <v>0</v>
      </c>
    </row>
    <row r="143" spans="1:30" x14ac:dyDescent="0.2">
      <c r="A143" t="s">
        <v>200</v>
      </c>
      <c r="C143">
        <v>0</v>
      </c>
      <c r="D143" t="s">
        <v>12</v>
      </c>
      <c r="E143">
        <v>2500</v>
      </c>
      <c r="F143" t="s">
        <v>155</v>
      </c>
      <c r="G143" t="s">
        <v>156</v>
      </c>
      <c r="H143" s="2">
        <v>0.79166666666666663</v>
      </c>
      <c r="I143" t="s">
        <v>152</v>
      </c>
      <c r="J143" s="1">
        <v>0.45800000000000002</v>
      </c>
      <c r="K143">
        <v>-84.5</v>
      </c>
      <c r="L143">
        <v>6.5</v>
      </c>
      <c r="M143">
        <v>3.5</v>
      </c>
      <c r="N143">
        <v>3.25</v>
      </c>
      <c r="Q143" s="3">
        <v>0.80694444444444446</v>
      </c>
      <c r="R143">
        <v>5.7</v>
      </c>
      <c r="S143">
        <v>3.68</v>
      </c>
      <c r="T143">
        <v>0</v>
      </c>
      <c r="U143">
        <v>0</v>
      </c>
      <c r="V143">
        <v>0</v>
      </c>
      <c r="W143">
        <v>100</v>
      </c>
      <c r="Y143">
        <v>68</v>
      </c>
      <c r="Z143">
        <v>0</v>
      </c>
      <c r="AA143">
        <v>0</v>
      </c>
    </row>
    <row r="144" spans="1:30" x14ac:dyDescent="0.2">
      <c r="A144" t="s">
        <v>201</v>
      </c>
      <c r="C144">
        <v>0</v>
      </c>
      <c r="D144" t="s">
        <v>12</v>
      </c>
      <c r="E144">
        <v>2500</v>
      </c>
      <c r="F144" t="s">
        <v>155</v>
      </c>
      <c r="G144" t="s">
        <v>156</v>
      </c>
      <c r="H144" s="2">
        <v>0.79166666666666663</v>
      </c>
      <c r="I144" t="s">
        <v>152</v>
      </c>
      <c r="J144" s="1">
        <v>0.45800000000000002</v>
      </c>
      <c r="K144">
        <v>-84.5</v>
      </c>
      <c r="L144">
        <v>6.5</v>
      </c>
      <c r="M144">
        <v>3.5</v>
      </c>
      <c r="N144">
        <v>3.25</v>
      </c>
      <c r="Q144" s="3">
        <v>0.55347222222222225</v>
      </c>
      <c r="R144">
        <v>3.2</v>
      </c>
      <c r="S144">
        <v>1.85</v>
      </c>
      <c r="T144">
        <v>0</v>
      </c>
      <c r="U144">
        <v>0</v>
      </c>
      <c r="V144">
        <v>0</v>
      </c>
      <c r="W144">
        <v>100</v>
      </c>
      <c r="Y144">
        <v>0</v>
      </c>
      <c r="Z144">
        <v>0</v>
      </c>
      <c r="AA144">
        <v>0</v>
      </c>
    </row>
    <row r="145" spans="1:27" x14ac:dyDescent="0.2">
      <c r="A145" t="s">
        <v>202</v>
      </c>
      <c r="C145">
        <v>0</v>
      </c>
      <c r="D145" t="s">
        <v>10</v>
      </c>
      <c r="E145">
        <v>2500</v>
      </c>
      <c r="F145" t="s">
        <v>157</v>
      </c>
      <c r="G145" t="s">
        <v>158</v>
      </c>
      <c r="H145" s="2">
        <v>0.79166666666666663</v>
      </c>
      <c r="I145" t="s">
        <v>159</v>
      </c>
      <c r="J145" s="1">
        <v>0.54200000000000004</v>
      </c>
      <c r="K145">
        <v>84.5</v>
      </c>
      <c r="L145">
        <v>6.5</v>
      </c>
      <c r="M145">
        <v>3.25</v>
      </c>
      <c r="N145">
        <v>3.5</v>
      </c>
      <c r="Q145" s="3">
        <v>0.32708333333333334</v>
      </c>
      <c r="R145">
        <v>1.4</v>
      </c>
      <c r="S145">
        <v>1.98</v>
      </c>
      <c r="T145">
        <v>0</v>
      </c>
      <c r="U145">
        <v>0</v>
      </c>
      <c r="V145">
        <v>0</v>
      </c>
      <c r="W145">
        <v>100</v>
      </c>
      <c r="Y145">
        <v>29</v>
      </c>
      <c r="Z145">
        <v>0</v>
      </c>
      <c r="AA145">
        <v>0</v>
      </c>
    </row>
    <row r="146" spans="1:27" x14ac:dyDescent="0.2">
      <c r="A146" t="s">
        <v>203</v>
      </c>
      <c r="C146">
        <v>0</v>
      </c>
      <c r="D146" t="s">
        <v>10</v>
      </c>
      <c r="E146">
        <v>2500</v>
      </c>
      <c r="F146" t="s">
        <v>157</v>
      </c>
      <c r="G146" t="s">
        <v>158</v>
      </c>
      <c r="H146" s="2">
        <v>0.79166666666666663</v>
      </c>
      <c r="I146" t="s">
        <v>159</v>
      </c>
      <c r="J146" s="1">
        <v>0.54200000000000004</v>
      </c>
      <c r="K146">
        <v>84.5</v>
      </c>
      <c r="L146">
        <v>6.5</v>
      </c>
      <c r="M146">
        <v>3.25</v>
      </c>
      <c r="N146">
        <v>3.5</v>
      </c>
      <c r="Q146" s="3">
        <v>0.30277777777777776</v>
      </c>
      <c r="R146">
        <v>3.7</v>
      </c>
      <c r="S146">
        <v>4.17</v>
      </c>
      <c r="T146">
        <v>0</v>
      </c>
      <c r="U146">
        <v>0</v>
      </c>
      <c r="V146">
        <v>0</v>
      </c>
      <c r="W146">
        <v>100</v>
      </c>
      <c r="Y146">
        <v>44</v>
      </c>
      <c r="Z146">
        <v>0</v>
      </c>
      <c r="AA146">
        <v>0</v>
      </c>
    </row>
    <row r="147" spans="1:27" x14ac:dyDescent="0.2">
      <c r="A147" t="s">
        <v>204</v>
      </c>
      <c r="C147">
        <v>0</v>
      </c>
      <c r="D147" t="s">
        <v>10</v>
      </c>
      <c r="E147">
        <v>2500</v>
      </c>
      <c r="F147" t="s">
        <v>157</v>
      </c>
      <c r="G147" t="s">
        <v>158</v>
      </c>
      <c r="H147" s="2">
        <v>0.79166666666666663</v>
      </c>
      <c r="I147" t="s">
        <v>159</v>
      </c>
      <c r="J147" s="1">
        <v>0.54200000000000004</v>
      </c>
      <c r="K147">
        <v>84.5</v>
      </c>
      <c r="L147">
        <v>6.5</v>
      </c>
      <c r="M147">
        <v>3.25</v>
      </c>
      <c r="N147">
        <v>3.5</v>
      </c>
      <c r="Q147" s="3">
        <v>0.40486111111111112</v>
      </c>
      <c r="R147">
        <v>3.3</v>
      </c>
      <c r="S147">
        <v>3.62</v>
      </c>
      <c r="T147">
        <v>0</v>
      </c>
      <c r="U147">
        <v>0</v>
      </c>
      <c r="V147">
        <v>0</v>
      </c>
      <c r="W147">
        <v>100</v>
      </c>
      <c r="Y147">
        <v>45</v>
      </c>
      <c r="Z147">
        <v>0</v>
      </c>
      <c r="AA147">
        <v>0</v>
      </c>
    </row>
    <row r="148" spans="1:27" x14ac:dyDescent="0.2">
      <c r="A148" t="s">
        <v>205</v>
      </c>
      <c r="C148">
        <v>0</v>
      </c>
      <c r="D148" t="s">
        <v>10</v>
      </c>
      <c r="E148">
        <v>2500</v>
      </c>
      <c r="F148" t="s">
        <v>157</v>
      </c>
      <c r="G148" t="s">
        <v>158</v>
      </c>
      <c r="H148" s="2">
        <v>0.79166666666666663</v>
      </c>
      <c r="I148" t="s">
        <v>159</v>
      </c>
      <c r="J148" s="1">
        <v>0.54200000000000004</v>
      </c>
      <c r="K148">
        <v>84.5</v>
      </c>
      <c r="L148">
        <v>6.5</v>
      </c>
      <c r="M148">
        <v>3.25</v>
      </c>
      <c r="N148">
        <v>3.5</v>
      </c>
      <c r="Q148" s="3">
        <v>0.4513888888888889</v>
      </c>
      <c r="R148">
        <v>2.2999999999999998</v>
      </c>
      <c r="S148">
        <v>1.95</v>
      </c>
      <c r="T148">
        <v>0</v>
      </c>
      <c r="U148">
        <v>0</v>
      </c>
      <c r="V148">
        <v>0</v>
      </c>
      <c r="W148">
        <v>100</v>
      </c>
      <c r="Y148">
        <v>58</v>
      </c>
      <c r="Z148">
        <v>0</v>
      </c>
      <c r="AA148">
        <v>0</v>
      </c>
    </row>
    <row r="149" spans="1:27" x14ac:dyDescent="0.2">
      <c r="A149" t="s">
        <v>206</v>
      </c>
      <c r="C149">
        <v>0</v>
      </c>
      <c r="D149" t="s">
        <v>10</v>
      </c>
      <c r="E149">
        <v>2500</v>
      </c>
      <c r="F149" t="s">
        <v>157</v>
      </c>
      <c r="G149" t="s">
        <v>158</v>
      </c>
      <c r="H149" s="2">
        <v>0.79166666666666663</v>
      </c>
      <c r="I149" t="s">
        <v>159</v>
      </c>
      <c r="J149" s="1">
        <v>0.54200000000000004</v>
      </c>
      <c r="K149">
        <v>84.5</v>
      </c>
      <c r="L149">
        <v>6.5</v>
      </c>
      <c r="M149">
        <v>3.25</v>
      </c>
      <c r="N149">
        <v>3.5</v>
      </c>
      <c r="Q149" s="3">
        <v>0.61041666666666672</v>
      </c>
      <c r="R149">
        <v>4.3</v>
      </c>
      <c r="S149">
        <v>3.64</v>
      </c>
      <c r="T149">
        <v>0</v>
      </c>
      <c r="U149">
        <v>0</v>
      </c>
      <c r="V149">
        <v>0</v>
      </c>
      <c r="W149">
        <v>100</v>
      </c>
      <c r="Y149">
        <v>58</v>
      </c>
      <c r="Z149">
        <v>0</v>
      </c>
      <c r="AA149">
        <v>0</v>
      </c>
    </row>
    <row r="150" spans="1:27" x14ac:dyDescent="0.2">
      <c r="A150" t="s">
        <v>207</v>
      </c>
      <c r="C150">
        <v>0</v>
      </c>
      <c r="D150" t="s">
        <v>10</v>
      </c>
      <c r="E150">
        <v>2500</v>
      </c>
      <c r="F150" t="s">
        <v>155</v>
      </c>
      <c r="G150" t="s">
        <v>156</v>
      </c>
      <c r="H150" s="2">
        <v>0.79166666666666663</v>
      </c>
      <c r="I150" t="s">
        <v>152</v>
      </c>
      <c r="J150" s="1">
        <v>0.45800000000000002</v>
      </c>
      <c r="K150">
        <v>-84.5</v>
      </c>
      <c r="L150">
        <v>6.5</v>
      </c>
      <c r="M150">
        <v>3.5</v>
      </c>
      <c r="N150">
        <v>3.25</v>
      </c>
      <c r="Q150" s="3">
        <v>0.77638888888888891</v>
      </c>
      <c r="R150">
        <v>9.5</v>
      </c>
      <c r="S150">
        <v>5.73</v>
      </c>
      <c r="T150">
        <v>0</v>
      </c>
      <c r="U150">
        <v>0</v>
      </c>
      <c r="V150">
        <v>0</v>
      </c>
      <c r="W150">
        <v>100</v>
      </c>
      <c r="Y150">
        <v>70</v>
      </c>
      <c r="Z150">
        <v>0</v>
      </c>
      <c r="AA150">
        <v>0</v>
      </c>
    </row>
    <row r="151" spans="1:27" x14ac:dyDescent="0.2">
      <c r="A151" t="s">
        <v>208</v>
      </c>
      <c r="C151">
        <v>0</v>
      </c>
      <c r="D151" t="s">
        <v>10</v>
      </c>
      <c r="E151">
        <v>2500</v>
      </c>
      <c r="F151" t="s">
        <v>155</v>
      </c>
      <c r="G151" t="s">
        <v>156</v>
      </c>
      <c r="H151" s="2">
        <v>0.79166666666666663</v>
      </c>
      <c r="I151" t="s">
        <v>152</v>
      </c>
      <c r="J151" s="1">
        <v>0.45800000000000002</v>
      </c>
      <c r="K151">
        <v>-84.5</v>
      </c>
      <c r="L151">
        <v>6.5</v>
      </c>
      <c r="M151">
        <v>3.5</v>
      </c>
      <c r="N151">
        <v>3.25</v>
      </c>
      <c r="T151">
        <v>0</v>
      </c>
      <c r="U151">
        <v>0</v>
      </c>
      <c r="V151">
        <v>0</v>
      </c>
      <c r="W151">
        <v>100</v>
      </c>
      <c r="Y151">
        <v>0</v>
      </c>
      <c r="Z151">
        <v>0</v>
      </c>
      <c r="AA151">
        <v>0</v>
      </c>
    </row>
    <row r="152" spans="1:27" x14ac:dyDescent="0.2">
      <c r="A152" t="s">
        <v>108</v>
      </c>
      <c r="C152">
        <v>0</v>
      </c>
      <c r="D152" t="s">
        <v>10</v>
      </c>
      <c r="E152">
        <v>2500</v>
      </c>
      <c r="F152" t="s">
        <v>155</v>
      </c>
      <c r="G152" t="s">
        <v>156</v>
      </c>
      <c r="H152" s="2">
        <v>0.79166666666666663</v>
      </c>
      <c r="I152" t="s">
        <v>152</v>
      </c>
      <c r="J152" s="1">
        <v>0.45800000000000002</v>
      </c>
      <c r="K152">
        <v>-84.5</v>
      </c>
      <c r="L152">
        <v>6.5</v>
      </c>
      <c r="M152">
        <v>3.5</v>
      </c>
      <c r="N152">
        <v>3.25</v>
      </c>
      <c r="Q152" s="3">
        <v>0.41319444444444442</v>
      </c>
      <c r="R152">
        <v>2.2999999999999998</v>
      </c>
      <c r="S152">
        <v>3.1</v>
      </c>
      <c r="T152">
        <v>0</v>
      </c>
      <c r="U152">
        <v>0</v>
      </c>
      <c r="V152">
        <v>0</v>
      </c>
      <c r="W152">
        <v>100</v>
      </c>
      <c r="Y152">
        <v>33</v>
      </c>
      <c r="Z152">
        <v>0</v>
      </c>
      <c r="AA152">
        <v>0</v>
      </c>
    </row>
    <row r="153" spans="1:27" x14ac:dyDescent="0.2">
      <c r="A153" t="s">
        <v>209</v>
      </c>
      <c r="C153">
        <v>0</v>
      </c>
      <c r="D153" t="s">
        <v>5</v>
      </c>
      <c r="E153">
        <v>2500</v>
      </c>
      <c r="F153" t="s">
        <v>157</v>
      </c>
      <c r="G153" t="s">
        <v>158</v>
      </c>
      <c r="H153" s="2">
        <v>0.79166666666666663</v>
      </c>
      <c r="I153" t="s">
        <v>159</v>
      </c>
      <c r="J153" s="1">
        <v>0.54200000000000004</v>
      </c>
      <c r="K153">
        <v>84.5</v>
      </c>
      <c r="L153">
        <v>6.5</v>
      </c>
      <c r="M153">
        <v>3.25</v>
      </c>
      <c r="N153">
        <v>3.5</v>
      </c>
      <c r="Q153" s="3">
        <v>0.29930555555555555</v>
      </c>
      <c r="R153">
        <v>1.4</v>
      </c>
      <c r="S153">
        <v>1.4</v>
      </c>
      <c r="T153">
        <v>0</v>
      </c>
      <c r="U153">
        <v>0</v>
      </c>
      <c r="V153">
        <v>0</v>
      </c>
      <c r="W153">
        <v>100</v>
      </c>
      <c r="Y153">
        <v>0</v>
      </c>
      <c r="Z153">
        <v>0</v>
      </c>
      <c r="AA153">
        <v>0</v>
      </c>
    </row>
    <row r="154" spans="1:27" x14ac:dyDescent="0.2">
      <c r="A154" t="s">
        <v>210</v>
      </c>
      <c r="C154">
        <v>0</v>
      </c>
      <c r="D154" t="s">
        <v>5</v>
      </c>
      <c r="E154">
        <v>2500</v>
      </c>
      <c r="F154" t="s">
        <v>157</v>
      </c>
      <c r="G154" t="s">
        <v>158</v>
      </c>
      <c r="H154" s="2">
        <v>0.79166666666666663</v>
      </c>
      <c r="I154" t="s">
        <v>159</v>
      </c>
      <c r="J154" s="1">
        <v>0.54200000000000004</v>
      </c>
      <c r="K154">
        <v>84.5</v>
      </c>
      <c r="L154">
        <v>6.5</v>
      </c>
      <c r="M154">
        <v>3.25</v>
      </c>
      <c r="N154">
        <v>3.5</v>
      </c>
      <c r="Q154" s="3">
        <v>0.40347222222222223</v>
      </c>
      <c r="R154">
        <v>3.6</v>
      </c>
      <c r="S154">
        <v>3.99</v>
      </c>
      <c r="T154">
        <v>0</v>
      </c>
      <c r="U154">
        <v>0</v>
      </c>
      <c r="V154">
        <v>0</v>
      </c>
      <c r="W154">
        <v>100</v>
      </c>
      <c r="Y154">
        <v>45</v>
      </c>
      <c r="Z154">
        <v>0</v>
      </c>
      <c r="AA154">
        <v>0</v>
      </c>
    </row>
    <row r="155" spans="1:27" x14ac:dyDescent="0.2">
      <c r="A155" t="s">
        <v>211</v>
      </c>
      <c r="C155">
        <v>0</v>
      </c>
      <c r="D155" t="s">
        <v>12</v>
      </c>
      <c r="E155">
        <v>2500</v>
      </c>
      <c r="F155" t="s">
        <v>163</v>
      </c>
      <c r="G155" t="s">
        <v>164</v>
      </c>
      <c r="H155" s="2">
        <v>0.8125</v>
      </c>
      <c r="I155" t="s">
        <v>159</v>
      </c>
      <c r="J155" s="1">
        <v>0.56000000000000005</v>
      </c>
      <c r="K155">
        <v>78.5</v>
      </c>
      <c r="L155">
        <v>6.5</v>
      </c>
      <c r="M155">
        <v>3.25</v>
      </c>
      <c r="N155">
        <v>3.35</v>
      </c>
      <c r="Q155" s="3">
        <v>0.64097222222222228</v>
      </c>
      <c r="R155">
        <v>2.6</v>
      </c>
      <c r="S155">
        <v>1.67</v>
      </c>
      <c r="T155">
        <v>0</v>
      </c>
      <c r="U155">
        <v>0</v>
      </c>
      <c r="V155">
        <v>0</v>
      </c>
      <c r="W155">
        <v>100</v>
      </c>
      <c r="Y155">
        <v>68</v>
      </c>
      <c r="Z155">
        <v>0</v>
      </c>
      <c r="AA155">
        <v>0</v>
      </c>
    </row>
    <row r="156" spans="1:27" x14ac:dyDescent="0.2">
      <c r="A156" t="s">
        <v>212</v>
      </c>
      <c r="C156">
        <v>0</v>
      </c>
      <c r="D156" t="s">
        <v>12</v>
      </c>
      <c r="E156">
        <v>2500</v>
      </c>
      <c r="F156" t="s">
        <v>163</v>
      </c>
      <c r="G156" t="s">
        <v>164</v>
      </c>
      <c r="H156" s="2">
        <v>0.8125</v>
      </c>
      <c r="I156" t="s">
        <v>159</v>
      </c>
      <c r="J156" s="1">
        <v>0.56000000000000005</v>
      </c>
      <c r="K156">
        <v>78.5</v>
      </c>
      <c r="L156">
        <v>6.5</v>
      </c>
      <c r="M156">
        <v>3.25</v>
      </c>
      <c r="N156">
        <v>3.35</v>
      </c>
      <c r="Q156" s="3">
        <v>0.625</v>
      </c>
      <c r="R156">
        <v>1.4</v>
      </c>
      <c r="S156">
        <v>0.09</v>
      </c>
      <c r="T156">
        <v>0</v>
      </c>
      <c r="U156">
        <v>0</v>
      </c>
      <c r="V156">
        <v>0</v>
      </c>
      <c r="W156">
        <v>100</v>
      </c>
      <c r="Y156">
        <v>97</v>
      </c>
      <c r="Z156">
        <v>0</v>
      </c>
      <c r="AA156">
        <v>0</v>
      </c>
    </row>
    <row r="157" spans="1:27" x14ac:dyDescent="0.2">
      <c r="A157" t="s">
        <v>213</v>
      </c>
      <c r="C157">
        <v>0</v>
      </c>
      <c r="D157" t="s">
        <v>12</v>
      </c>
      <c r="E157">
        <v>2500</v>
      </c>
      <c r="F157" t="s">
        <v>163</v>
      </c>
      <c r="G157" t="s">
        <v>164</v>
      </c>
      <c r="H157" s="2">
        <v>0.8125</v>
      </c>
      <c r="I157" t="s">
        <v>159</v>
      </c>
      <c r="J157" s="1">
        <v>0.56000000000000005</v>
      </c>
      <c r="K157">
        <v>78.5</v>
      </c>
      <c r="L157">
        <v>6.5</v>
      </c>
      <c r="M157">
        <v>3.25</v>
      </c>
      <c r="N157">
        <v>3.35</v>
      </c>
      <c r="Q157" s="3">
        <v>0.70416666666666672</v>
      </c>
      <c r="R157">
        <v>3.9</v>
      </c>
      <c r="S157">
        <v>3.97</v>
      </c>
      <c r="T157">
        <v>0</v>
      </c>
      <c r="U157">
        <v>0</v>
      </c>
      <c r="V157">
        <v>0</v>
      </c>
      <c r="W157">
        <v>100</v>
      </c>
      <c r="Y157">
        <v>49</v>
      </c>
      <c r="Z157">
        <v>0</v>
      </c>
      <c r="AA157">
        <v>0</v>
      </c>
    </row>
    <row r="158" spans="1:27" x14ac:dyDescent="0.2">
      <c r="A158" t="s">
        <v>214</v>
      </c>
      <c r="C158">
        <v>0</v>
      </c>
      <c r="D158" t="s">
        <v>12</v>
      </c>
      <c r="E158">
        <v>2500</v>
      </c>
      <c r="F158" t="s">
        <v>153</v>
      </c>
      <c r="G158" t="s">
        <v>154</v>
      </c>
      <c r="H158" s="2">
        <v>0.8125</v>
      </c>
      <c r="I158" t="s">
        <v>152</v>
      </c>
      <c r="J158" s="1">
        <v>0.44</v>
      </c>
      <c r="K158">
        <v>-78.5</v>
      </c>
      <c r="L158">
        <v>6.5</v>
      </c>
      <c r="M158">
        <v>3.35</v>
      </c>
      <c r="N158">
        <v>3.25</v>
      </c>
      <c r="Q158" s="3">
        <v>0.35</v>
      </c>
      <c r="R158">
        <v>4.5999999999999996</v>
      </c>
      <c r="S158">
        <v>2.57</v>
      </c>
      <c r="T158">
        <v>0</v>
      </c>
      <c r="U158">
        <v>0</v>
      </c>
      <c r="V158">
        <v>0</v>
      </c>
      <c r="W158">
        <v>100</v>
      </c>
      <c r="Y158">
        <v>72</v>
      </c>
      <c r="Z158">
        <v>0</v>
      </c>
      <c r="AA158">
        <v>0</v>
      </c>
    </row>
    <row r="159" spans="1:27" x14ac:dyDescent="0.2">
      <c r="A159" t="s">
        <v>215</v>
      </c>
      <c r="C159">
        <v>0</v>
      </c>
      <c r="D159" t="s">
        <v>12</v>
      </c>
      <c r="E159">
        <v>2500</v>
      </c>
      <c r="F159" t="s">
        <v>153</v>
      </c>
      <c r="G159" t="s">
        <v>154</v>
      </c>
      <c r="H159" s="2">
        <v>0.8125</v>
      </c>
      <c r="I159" t="s">
        <v>152</v>
      </c>
      <c r="J159" s="1">
        <v>0.44</v>
      </c>
      <c r="K159">
        <v>-78.5</v>
      </c>
      <c r="L159">
        <v>6.5</v>
      </c>
      <c r="M159">
        <v>3.35</v>
      </c>
      <c r="N159">
        <v>3.25</v>
      </c>
      <c r="Q159" s="3">
        <v>0.46319444444444446</v>
      </c>
      <c r="R159">
        <v>2.8</v>
      </c>
      <c r="S159">
        <v>2.64</v>
      </c>
      <c r="T159">
        <v>0</v>
      </c>
      <c r="U159">
        <v>0</v>
      </c>
      <c r="V159">
        <v>0</v>
      </c>
      <c r="W159">
        <v>100</v>
      </c>
      <c r="Y159">
        <v>53</v>
      </c>
      <c r="Z159">
        <v>0</v>
      </c>
      <c r="AA159">
        <v>0</v>
      </c>
    </row>
    <row r="160" spans="1:27" x14ac:dyDescent="0.2">
      <c r="A160" t="s">
        <v>216</v>
      </c>
      <c r="C160">
        <v>0</v>
      </c>
      <c r="D160" t="s">
        <v>12</v>
      </c>
      <c r="E160">
        <v>2500</v>
      </c>
      <c r="F160" t="s">
        <v>153</v>
      </c>
      <c r="G160" t="s">
        <v>154</v>
      </c>
      <c r="H160" s="2">
        <v>0.8125</v>
      </c>
      <c r="I160" t="s">
        <v>152</v>
      </c>
      <c r="J160" s="1">
        <v>0.44</v>
      </c>
      <c r="K160">
        <v>-78.5</v>
      </c>
      <c r="L160">
        <v>6.5</v>
      </c>
      <c r="M160">
        <v>3.35</v>
      </c>
      <c r="N160">
        <v>3.25</v>
      </c>
      <c r="Q160" s="3">
        <v>0.43402777777777779</v>
      </c>
      <c r="R160">
        <v>2.1</v>
      </c>
      <c r="S160">
        <v>2.73</v>
      </c>
      <c r="T160">
        <v>0</v>
      </c>
      <c r="U160">
        <v>0</v>
      </c>
      <c r="V160">
        <v>0</v>
      </c>
      <c r="W160">
        <v>100</v>
      </c>
      <c r="Y160">
        <v>35</v>
      </c>
      <c r="Z160">
        <v>0</v>
      </c>
      <c r="AA160">
        <v>0</v>
      </c>
    </row>
    <row r="161" spans="1:27" x14ac:dyDescent="0.2">
      <c r="A161" t="s">
        <v>217</v>
      </c>
      <c r="C161">
        <v>0</v>
      </c>
      <c r="D161" t="s">
        <v>10</v>
      </c>
      <c r="E161">
        <v>2500</v>
      </c>
      <c r="F161" t="s">
        <v>163</v>
      </c>
      <c r="G161" t="s">
        <v>164</v>
      </c>
      <c r="H161" s="2">
        <v>0.8125</v>
      </c>
      <c r="I161" t="s">
        <v>159</v>
      </c>
      <c r="J161" s="1">
        <v>0.56000000000000005</v>
      </c>
      <c r="K161">
        <v>78.5</v>
      </c>
      <c r="L161">
        <v>6.5</v>
      </c>
      <c r="M161">
        <v>3.25</v>
      </c>
      <c r="N161">
        <v>3.35</v>
      </c>
      <c r="Q161" s="3">
        <v>0.42986111111111114</v>
      </c>
      <c r="R161">
        <v>2</v>
      </c>
      <c r="S161">
        <v>2.66</v>
      </c>
      <c r="T161">
        <v>0</v>
      </c>
      <c r="U161">
        <v>0</v>
      </c>
      <c r="V161">
        <v>0</v>
      </c>
      <c r="W161">
        <v>100</v>
      </c>
      <c r="Y161">
        <v>34</v>
      </c>
      <c r="Z161">
        <v>0</v>
      </c>
      <c r="AA161">
        <v>0</v>
      </c>
    </row>
    <row r="162" spans="1:27" x14ac:dyDescent="0.2">
      <c r="A162" t="s">
        <v>119</v>
      </c>
      <c r="C162">
        <v>0</v>
      </c>
      <c r="D162" t="s">
        <v>10</v>
      </c>
      <c r="E162">
        <v>2500</v>
      </c>
      <c r="F162" t="s">
        <v>153</v>
      </c>
      <c r="G162" t="s">
        <v>154</v>
      </c>
      <c r="H162" s="2">
        <v>0.8125</v>
      </c>
      <c r="I162" t="s">
        <v>152</v>
      </c>
      <c r="J162" s="1">
        <v>0.44</v>
      </c>
      <c r="K162">
        <v>-78.5</v>
      </c>
      <c r="L162">
        <v>6.5</v>
      </c>
      <c r="M162">
        <v>3.35</v>
      </c>
      <c r="N162">
        <v>3.25</v>
      </c>
      <c r="Q162" s="3">
        <v>0.42708333333333331</v>
      </c>
      <c r="R162">
        <v>4</v>
      </c>
      <c r="S162">
        <v>4.9400000000000004</v>
      </c>
      <c r="T162">
        <v>0</v>
      </c>
      <c r="U162">
        <v>0</v>
      </c>
      <c r="V162">
        <v>0</v>
      </c>
      <c r="W162">
        <v>100</v>
      </c>
      <c r="Y162">
        <v>38</v>
      </c>
      <c r="Z162">
        <v>0</v>
      </c>
      <c r="AA162">
        <v>0</v>
      </c>
    </row>
    <row r="163" spans="1:27" x14ac:dyDescent="0.2">
      <c r="A163" t="s">
        <v>218</v>
      </c>
      <c r="C163">
        <v>0</v>
      </c>
      <c r="D163" t="s">
        <v>10</v>
      </c>
      <c r="E163">
        <v>2500</v>
      </c>
      <c r="F163" t="s">
        <v>153</v>
      </c>
      <c r="G163" t="s">
        <v>154</v>
      </c>
      <c r="H163" s="2">
        <v>0.8125</v>
      </c>
      <c r="I163" t="s">
        <v>152</v>
      </c>
      <c r="J163" s="1">
        <v>0.44</v>
      </c>
      <c r="K163">
        <v>-78.5</v>
      </c>
      <c r="L163">
        <v>6.5</v>
      </c>
      <c r="M163">
        <v>3.35</v>
      </c>
      <c r="N163">
        <v>3.25</v>
      </c>
      <c r="Q163" s="3">
        <v>0.36527777777777776</v>
      </c>
      <c r="R163">
        <v>2.9</v>
      </c>
      <c r="S163">
        <v>2.98</v>
      </c>
      <c r="T163">
        <v>0</v>
      </c>
      <c r="U163">
        <v>0</v>
      </c>
      <c r="V163">
        <v>0</v>
      </c>
      <c r="W163">
        <v>100</v>
      </c>
      <c r="Y163">
        <v>49</v>
      </c>
      <c r="Z163">
        <v>0</v>
      </c>
      <c r="AA163">
        <v>0</v>
      </c>
    </row>
    <row r="164" spans="1:27" x14ac:dyDescent="0.2">
      <c r="A164" t="s">
        <v>219</v>
      </c>
      <c r="C164">
        <v>0</v>
      </c>
      <c r="D164" t="s">
        <v>10</v>
      </c>
      <c r="E164">
        <v>2500</v>
      </c>
      <c r="F164" t="s">
        <v>153</v>
      </c>
      <c r="G164" t="s">
        <v>154</v>
      </c>
      <c r="H164" s="2">
        <v>0.8125</v>
      </c>
      <c r="I164" t="s">
        <v>152</v>
      </c>
      <c r="J164" s="1">
        <v>0.44</v>
      </c>
      <c r="K164">
        <v>-78.5</v>
      </c>
      <c r="L164">
        <v>6.5</v>
      </c>
      <c r="M164">
        <v>3.35</v>
      </c>
      <c r="N164">
        <v>3.25</v>
      </c>
      <c r="Q164" s="3">
        <v>0.40416666666666667</v>
      </c>
      <c r="R164">
        <v>2.8</v>
      </c>
      <c r="S164">
        <v>2.77</v>
      </c>
      <c r="T164">
        <v>0</v>
      </c>
      <c r="U164">
        <v>0</v>
      </c>
      <c r="V164">
        <v>0</v>
      </c>
      <c r="W164">
        <v>100</v>
      </c>
      <c r="Y164">
        <v>51</v>
      </c>
      <c r="Z164">
        <v>0</v>
      </c>
      <c r="AA164">
        <v>0</v>
      </c>
    </row>
    <row r="165" spans="1:27" x14ac:dyDescent="0.2">
      <c r="A165" t="s">
        <v>220</v>
      </c>
      <c r="C165">
        <v>0</v>
      </c>
      <c r="D165" t="s">
        <v>10</v>
      </c>
      <c r="E165">
        <v>2500</v>
      </c>
      <c r="F165" t="s">
        <v>153</v>
      </c>
      <c r="G165" t="s">
        <v>154</v>
      </c>
      <c r="H165" s="2">
        <v>0.8125</v>
      </c>
      <c r="I165" t="s">
        <v>152</v>
      </c>
      <c r="J165" s="1">
        <v>0.44</v>
      </c>
      <c r="K165">
        <v>-78.5</v>
      </c>
      <c r="L165">
        <v>6.5</v>
      </c>
      <c r="M165">
        <v>3.35</v>
      </c>
      <c r="N165">
        <v>3.25</v>
      </c>
      <c r="Q165" s="3">
        <v>0.44722222222222224</v>
      </c>
      <c r="R165">
        <v>3.4</v>
      </c>
      <c r="S165">
        <v>3.7</v>
      </c>
      <c r="T165">
        <v>0</v>
      </c>
      <c r="U165">
        <v>0</v>
      </c>
      <c r="V165">
        <v>0</v>
      </c>
      <c r="W165">
        <v>100</v>
      </c>
      <c r="Y165">
        <v>46</v>
      </c>
      <c r="Z165">
        <v>0</v>
      </c>
      <c r="AA165">
        <v>0</v>
      </c>
    </row>
    <row r="166" spans="1:27" x14ac:dyDescent="0.2">
      <c r="A166" t="s">
        <v>221</v>
      </c>
      <c r="C166">
        <v>0</v>
      </c>
      <c r="D166" t="s">
        <v>5</v>
      </c>
      <c r="E166">
        <v>2500</v>
      </c>
      <c r="F166" t="s">
        <v>163</v>
      </c>
      <c r="G166" t="s">
        <v>164</v>
      </c>
      <c r="H166" s="2">
        <v>0.8125</v>
      </c>
      <c r="I166" t="s">
        <v>159</v>
      </c>
      <c r="J166" s="1">
        <v>0.56000000000000005</v>
      </c>
      <c r="K166">
        <v>78.5</v>
      </c>
      <c r="L166">
        <v>6.5</v>
      </c>
      <c r="M166">
        <v>3.25</v>
      </c>
      <c r="N166">
        <v>3.35</v>
      </c>
      <c r="Q166" s="3">
        <v>0.36527777777777776</v>
      </c>
      <c r="R166">
        <v>1.9</v>
      </c>
      <c r="S166">
        <v>1.37</v>
      </c>
      <c r="T166">
        <v>0</v>
      </c>
      <c r="U166">
        <v>0</v>
      </c>
      <c r="V166">
        <v>0</v>
      </c>
      <c r="W166">
        <v>100</v>
      </c>
      <c r="Y166">
        <v>64</v>
      </c>
      <c r="Z166">
        <v>0</v>
      </c>
      <c r="AA166">
        <v>0</v>
      </c>
    </row>
    <row r="167" spans="1:27" x14ac:dyDescent="0.2">
      <c r="A167" t="s">
        <v>222</v>
      </c>
      <c r="C167">
        <v>0</v>
      </c>
      <c r="D167" t="s">
        <v>5</v>
      </c>
      <c r="E167">
        <v>2500</v>
      </c>
      <c r="F167" t="s">
        <v>163</v>
      </c>
      <c r="G167" t="s">
        <v>164</v>
      </c>
      <c r="H167" s="2">
        <v>0.8125</v>
      </c>
      <c r="I167" t="s">
        <v>159</v>
      </c>
      <c r="J167" s="1">
        <v>0.56000000000000005</v>
      </c>
      <c r="K167">
        <v>78.5</v>
      </c>
      <c r="L167">
        <v>6.5</v>
      </c>
      <c r="M167">
        <v>3.25</v>
      </c>
      <c r="N167">
        <v>3.35</v>
      </c>
      <c r="Q167" s="3">
        <v>0.39305555555555555</v>
      </c>
      <c r="R167">
        <v>2.4</v>
      </c>
      <c r="S167">
        <v>2.2200000000000002</v>
      </c>
      <c r="T167">
        <v>0</v>
      </c>
      <c r="U167">
        <v>0</v>
      </c>
      <c r="V167">
        <v>0</v>
      </c>
      <c r="W167">
        <v>100</v>
      </c>
      <c r="Y167">
        <v>54</v>
      </c>
      <c r="Z167">
        <v>0</v>
      </c>
      <c r="AA167">
        <v>0</v>
      </c>
    </row>
    <row r="168" spans="1:27" x14ac:dyDescent="0.2">
      <c r="A168" t="s">
        <v>223</v>
      </c>
      <c r="C168">
        <v>0</v>
      </c>
      <c r="D168" t="s">
        <v>5</v>
      </c>
      <c r="E168">
        <v>2500</v>
      </c>
      <c r="F168" t="s">
        <v>163</v>
      </c>
      <c r="G168" t="s">
        <v>164</v>
      </c>
      <c r="H168" s="2">
        <v>0.8125</v>
      </c>
      <c r="I168" t="s">
        <v>159</v>
      </c>
      <c r="J168" s="1">
        <v>0.56000000000000005</v>
      </c>
      <c r="K168">
        <v>78.5</v>
      </c>
      <c r="L168">
        <v>6.5</v>
      </c>
      <c r="M168">
        <v>3.25</v>
      </c>
      <c r="N168">
        <v>3.35</v>
      </c>
      <c r="Q168" s="3">
        <v>0.43680555555555556</v>
      </c>
      <c r="R168">
        <v>3.6</v>
      </c>
      <c r="S168">
        <v>3.78</v>
      </c>
      <c r="T168">
        <v>0</v>
      </c>
      <c r="U168">
        <v>0</v>
      </c>
      <c r="V168">
        <v>0</v>
      </c>
      <c r="W168">
        <v>100</v>
      </c>
      <c r="Y168">
        <v>48</v>
      </c>
      <c r="Z168">
        <v>0</v>
      </c>
      <c r="AA168">
        <v>0</v>
      </c>
    </row>
    <row r="169" spans="1:27" x14ac:dyDescent="0.2">
      <c r="A169" t="s">
        <v>224</v>
      </c>
      <c r="C169">
        <v>0</v>
      </c>
      <c r="D169" t="s">
        <v>5</v>
      </c>
      <c r="E169">
        <v>2500</v>
      </c>
      <c r="F169" t="s">
        <v>163</v>
      </c>
      <c r="G169" t="s">
        <v>164</v>
      </c>
      <c r="H169" s="2">
        <v>0.8125</v>
      </c>
      <c r="I169" t="s">
        <v>159</v>
      </c>
      <c r="J169" s="1">
        <v>0.56000000000000005</v>
      </c>
      <c r="K169">
        <v>78.5</v>
      </c>
      <c r="L169">
        <v>6.5</v>
      </c>
      <c r="M169">
        <v>3.25</v>
      </c>
      <c r="N169">
        <v>3.35</v>
      </c>
      <c r="Q169" s="3">
        <v>0.34236111111111112</v>
      </c>
      <c r="R169">
        <v>1.1000000000000001</v>
      </c>
      <c r="S169">
        <v>1.1200000000000001</v>
      </c>
      <c r="T169">
        <v>0</v>
      </c>
      <c r="U169">
        <v>0</v>
      </c>
      <c r="V169">
        <v>0</v>
      </c>
      <c r="W169">
        <v>100</v>
      </c>
      <c r="Y169">
        <v>49</v>
      </c>
      <c r="Z169">
        <v>0</v>
      </c>
      <c r="AA169">
        <v>0</v>
      </c>
    </row>
    <row r="170" spans="1:27" x14ac:dyDescent="0.2">
      <c r="A170" t="s">
        <v>225</v>
      </c>
      <c r="C170">
        <v>0</v>
      </c>
      <c r="D170" t="s">
        <v>5</v>
      </c>
      <c r="E170">
        <v>2500</v>
      </c>
      <c r="F170" t="s">
        <v>153</v>
      </c>
      <c r="G170" t="s">
        <v>154</v>
      </c>
      <c r="H170" s="2">
        <v>0.8125</v>
      </c>
      <c r="I170" t="s">
        <v>152</v>
      </c>
      <c r="J170" s="1">
        <v>0.44</v>
      </c>
      <c r="K170">
        <v>-78.5</v>
      </c>
      <c r="L170">
        <v>6.5</v>
      </c>
      <c r="M170">
        <v>3.35</v>
      </c>
      <c r="N170">
        <v>3.25</v>
      </c>
      <c r="Q170" s="3">
        <v>0.57361111111111107</v>
      </c>
      <c r="R170">
        <v>3.4</v>
      </c>
      <c r="S170">
        <v>0.61</v>
      </c>
      <c r="T170">
        <v>0</v>
      </c>
      <c r="U170">
        <v>0</v>
      </c>
      <c r="V170">
        <v>0</v>
      </c>
      <c r="W170">
        <v>100</v>
      </c>
      <c r="Y170">
        <v>91</v>
      </c>
      <c r="Z170">
        <v>0</v>
      </c>
      <c r="AA170">
        <v>0</v>
      </c>
    </row>
    <row r="171" spans="1:27" x14ac:dyDescent="0.2">
      <c r="A171" t="s">
        <v>117</v>
      </c>
      <c r="C171">
        <v>0</v>
      </c>
      <c r="D171" t="s">
        <v>5</v>
      </c>
      <c r="E171">
        <v>2500</v>
      </c>
      <c r="F171" t="s">
        <v>153</v>
      </c>
      <c r="G171" t="s">
        <v>154</v>
      </c>
      <c r="H171" s="2">
        <v>0.8125</v>
      </c>
      <c r="I171" t="s">
        <v>152</v>
      </c>
      <c r="J171" s="1">
        <v>0.44</v>
      </c>
      <c r="K171">
        <v>-78.5</v>
      </c>
      <c r="L171">
        <v>6.5</v>
      </c>
      <c r="M171">
        <v>3.35</v>
      </c>
      <c r="N171">
        <v>3.25</v>
      </c>
      <c r="Q171" s="3">
        <v>0.49791666666666667</v>
      </c>
      <c r="R171">
        <v>4.7</v>
      </c>
      <c r="S171">
        <v>4.0999999999999996</v>
      </c>
      <c r="T171">
        <v>0</v>
      </c>
      <c r="U171">
        <v>0</v>
      </c>
      <c r="V171">
        <v>0</v>
      </c>
      <c r="W171">
        <v>100</v>
      </c>
      <c r="Y171">
        <v>56</v>
      </c>
      <c r="Z171">
        <v>0</v>
      </c>
      <c r="AA171">
        <v>0</v>
      </c>
    </row>
    <row r="172" spans="1:27" x14ac:dyDescent="0.2">
      <c r="A172" t="s">
        <v>226</v>
      </c>
      <c r="C172">
        <v>0</v>
      </c>
      <c r="D172" t="s">
        <v>12</v>
      </c>
      <c r="E172">
        <v>2500</v>
      </c>
      <c r="F172" t="s">
        <v>160</v>
      </c>
      <c r="G172" t="s">
        <v>161</v>
      </c>
      <c r="H172" s="2">
        <v>0.8125</v>
      </c>
      <c r="I172" t="s">
        <v>159</v>
      </c>
      <c r="J172" s="1">
        <v>0.505</v>
      </c>
      <c r="K172">
        <v>98</v>
      </c>
      <c r="L172">
        <v>6.5</v>
      </c>
      <c r="M172">
        <v>3.02</v>
      </c>
      <c r="N172">
        <v>3.25</v>
      </c>
      <c r="Q172" s="3">
        <v>0.57638888888888884</v>
      </c>
      <c r="R172">
        <v>1.3</v>
      </c>
      <c r="S172">
        <v>0</v>
      </c>
      <c r="T172">
        <v>0</v>
      </c>
      <c r="U172">
        <v>0</v>
      </c>
      <c r="V172">
        <v>0</v>
      </c>
      <c r="W172">
        <v>100</v>
      </c>
      <c r="Y172">
        <v>0</v>
      </c>
      <c r="Z172">
        <v>0</v>
      </c>
      <c r="AA172">
        <v>0</v>
      </c>
    </row>
    <row r="173" spans="1:27" x14ac:dyDescent="0.2">
      <c r="A173" t="s">
        <v>227</v>
      </c>
      <c r="C173">
        <v>0</v>
      </c>
      <c r="D173" t="s">
        <v>12</v>
      </c>
      <c r="E173">
        <v>2500</v>
      </c>
      <c r="F173" t="s">
        <v>160</v>
      </c>
      <c r="G173" t="s">
        <v>161</v>
      </c>
      <c r="H173" s="2">
        <v>0.8125</v>
      </c>
      <c r="I173" t="s">
        <v>159</v>
      </c>
      <c r="J173" s="1">
        <v>0.505</v>
      </c>
      <c r="K173">
        <v>98</v>
      </c>
      <c r="L173">
        <v>6.5</v>
      </c>
      <c r="M173">
        <v>3.02</v>
      </c>
      <c r="N173">
        <v>3.25</v>
      </c>
      <c r="Q173" s="3">
        <v>0.63680555555555551</v>
      </c>
      <c r="R173">
        <v>3.4</v>
      </c>
      <c r="S173">
        <v>3.33</v>
      </c>
      <c r="T173">
        <v>0</v>
      </c>
      <c r="U173">
        <v>0</v>
      </c>
      <c r="V173">
        <v>0</v>
      </c>
      <c r="W173">
        <v>100</v>
      </c>
      <c r="Y173">
        <v>51</v>
      </c>
      <c r="Z173">
        <v>0</v>
      </c>
      <c r="AA173">
        <v>0</v>
      </c>
    </row>
    <row r="174" spans="1:27" x14ac:dyDescent="0.2">
      <c r="A174" t="s">
        <v>228</v>
      </c>
      <c r="C174">
        <v>0</v>
      </c>
      <c r="D174" t="s">
        <v>12</v>
      </c>
      <c r="E174">
        <v>2500</v>
      </c>
      <c r="F174" t="s">
        <v>150</v>
      </c>
      <c r="G174" t="s">
        <v>151</v>
      </c>
      <c r="H174" s="2">
        <v>0.8125</v>
      </c>
      <c r="I174" t="s">
        <v>152</v>
      </c>
      <c r="J174" s="1">
        <v>0.495</v>
      </c>
      <c r="K174">
        <v>-98</v>
      </c>
      <c r="L174">
        <v>6.5</v>
      </c>
      <c r="M174">
        <v>3.25</v>
      </c>
      <c r="N174">
        <v>3.02</v>
      </c>
      <c r="Q174" s="3">
        <v>0.53749999999999998</v>
      </c>
      <c r="R174">
        <v>2.4</v>
      </c>
      <c r="S174">
        <v>2.5099999999999998</v>
      </c>
      <c r="T174">
        <v>0</v>
      </c>
      <c r="U174">
        <v>0</v>
      </c>
      <c r="V174">
        <v>0</v>
      </c>
      <c r="W174">
        <v>100</v>
      </c>
      <c r="Y174">
        <v>48</v>
      </c>
      <c r="Z174">
        <v>0</v>
      </c>
      <c r="AA174">
        <v>0</v>
      </c>
    </row>
    <row r="175" spans="1:27" x14ac:dyDescent="0.2">
      <c r="A175" t="s">
        <v>229</v>
      </c>
      <c r="C175">
        <v>0</v>
      </c>
      <c r="D175" t="s">
        <v>12</v>
      </c>
      <c r="E175">
        <v>2500</v>
      </c>
      <c r="F175" t="s">
        <v>150</v>
      </c>
      <c r="G175" t="s">
        <v>151</v>
      </c>
      <c r="H175" s="2">
        <v>0.8125</v>
      </c>
      <c r="I175" t="s">
        <v>152</v>
      </c>
      <c r="J175" s="1">
        <v>0.495</v>
      </c>
      <c r="K175">
        <v>-98</v>
      </c>
      <c r="L175">
        <v>6.5</v>
      </c>
      <c r="M175">
        <v>3.25</v>
      </c>
      <c r="N175">
        <v>3.02</v>
      </c>
      <c r="T175">
        <v>0</v>
      </c>
      <c r="U175">
        <v>0</v>
      </c>
      <c r="V175">
        <v>0</v>
      </c>
      <c r="W175">
        <v>100</v>
      </c>
      <c r="Y175">
        <v>0</v>
      </c>
      <c r="Z175">
        <v>0</v>
      </c>
      <c r="AA175">
        <v>0</v>
      </c>
    </row>
    <row r="176" spans="1:27" x14ac:dyDescent="0.2">
      <c r="A176" t="s">
        <v>230</v>
      </c>
      <c r="C176">
        <v>0</v>
      </c>
      <c r="D176" t="s">
        <v>10</v>
      </c>
      <c r="E176">
        <v>2500</v>
      </c>
      <c r="F176" t="s">
        <v>160</v>
      </c>
      <c r="G176" t="s">
        <v>161</v>
      </c>
      <c r="H176" s="2">
        <v>0.8125</v>
      </c>
      <c r="I176" t="s">
        <v>159</v>
      </c>
      <c r="J176" s="1">
        <v>0.505</v>
      </c>
      <c r="K176">
        <v>98</v>
      </c>
      <c r="L176">
        <v>6.5</v>
      </c>
      <c r="M176">
        <v>3.02</v>
      </c>
      <c r="N176">
        <v>3.25</v>
      </c>
      <c r="Q176" s="3">
        <v>0.53680555555555554</v>
      </c>
      <c r="R176">
        <v>8.5</v>
      </c>
      <c r="S176">
        <v>4.1399999999999997</v>
      </c>
      <c r="T176">
        <v>0</v>
      </c>
      <c r="U176">
        <v>0</v>
      </c>
      <c r="V176">
        <v>0</v>
      </c>
      <c r="W176">
        <v>100</v>
      </c>
      <c r="Y176">
        <v>76</v>
      </c>
      <c r="Z176">
        <v>0</v>
      </c>
      <c r="AA176">
        <v>0</v>
      </c>
    </row>
    <row r="177" spans="1:29" x14ac:dyDescent="0.2">
      <c r="A177" t="s">
        <v>231</v>
      </c>
      <c r="C177">
        <v>0</v>
      </c>
      <c r="D177" t="s">
        <v>10</v>
      </c>
      <c r="E177">
        <v>2500</v>
      </c>
      <c r="F177" t="s">
        <v>160</v>
      </c>
      <c r="G177" t="s">
        <v>161</v>
      </c>
      <c r="H177" s="2">
        <v>0.8125</v>
      </c>
      <c r="I177" t="s">
        <v>159</v>
      </c>
      <c r="J177" s="1">
        <v>0.505</v>
      </c>
      <c r="K177">
        <v>98</v>
      </c>
      <c r="L177">
        <v>6.5</v>
      </c>
      <c r="M177">
        <v>3.02</v>
      </c>
      <c r="N177">
        <v>3.25</v>
      </c>
      <c r="Q177" s="3">
        <v>0.28055555555555556</v>
      </c>
      <c r="R177">
        <v>0.8</v>
      </c>
      <c r="S177">
        <v>1.21</v>
      </c>
      <c r="T177">
        <v>0</v>
      </c>
      <c r="U177">
        <v>0</v>
      </c>
      <c r="V177">
        <v>0</v>
      </c>
      <c r="W177">
        <v>100</v>
      </c>
      <c r="Y177">
        <v>24</v>
      </c>
      <c r="Z177">
        <v>0</v>
      </c>
      <c r="AA177">
        <v>0</v>
      </c>
    </row>
    <row r="178" spans="1:29" x14ac:dyDescent="0.2">
      <c r="A178" t="s">
        <v>232</v>
      </c>
      <c r="C178">
        <v>0</v>
      </c>
      <c r="D178" t="s">
        <v>10</v>
      </c>
      <c r="E178">
        <v>2500</v>
      </c>
      <c r="F178" t="s">
        <v>160</v>
      </c>
      <c r="G178" t="s">
        <v>161</v>
      </c>
      <c r="H178" s="2">
        <v>0.8125</v>
      </c>
      <c r="I178" t="s">
        <v>159</v>
      </c>
      <c r="J178" s="1">
        <v>0.505</v>
      </c>
      <c r="K178">
        <v>98</v>
      </c>
      <c r="L178">
        <v>6.5</v>
      </c>
      <c r="M178">
        <v>3.02</v>
      </c>
      <c r="N178">
        <v>3.25</v>
      </c>
      <c r="Q178" s="3">
        <v>0.47847222222222224</v>
      </c>
      <c r="R178">
        <v>4.5</v>
      </c>
      <c r="S178">
        <v>4.05</v>
      </c>
      <c r="T178">
        <v>0</v>
      </c>
      <c r="U178">
        <v>0</v>
      </c>
      <c r="V178">
        <v>0</v>
      </c>
      <c r="W178">
        <v>100</v>
      </c>
      <c r="Y178">
        <v>55</v>
      </c>
      <c r="Z178">
        <v>0</v>
      </c>
      <c r="AA178">
        <v>0</v>
      </c>
    </row>
    <row r="179" spans="1:29" x14ac:dyDescent="0.2">
      <c r="A179" t="s">
        <v>233</v>
      </c>
      <c r="C179">
        <v>0</v>
      </c>
      <c r="D179" t="s">
        <v>10</v>
      </c>
      <c r="E179">
        <v>2500</v>
      </c>
      <c r="F179" t="s">
        <v>160</v>
      </c>
      <c r="G179" t="s">
        <v>161</v>
      </c>
      <c r="H179" s="2">
        <v>0.8125</v>
      </c>
      <c r="I179" t="s">
        <v>159</v>
      </c>
      <c r="J179" s="1">
        <v>0.505</v>
      </c>
      <c r="K179">
        <v>98</v>
      </c>
      <c r="L179">
        <v>6.5</v>
      </c>
      <c r="M179">
        <v>3.02</v>
      </c>
      <c r="N179">
        <v>3.25</v>
      </c>
      <c r="Q179" s="3">
        <v>0.55833333333333335</v>
      </c>
      <c r="R179">
        <v>6.1</v>
      </c>
      <c r="S179">
        <v>5.8</v>
      </c>
      <c r="T179">
        <v>0</v>
      </c>
      <c r="U179">
        <v>0</v>
      </c>
      <c r="V179">
        <v>0</v>
      </c>
      <c r="W179">
        <v>100</v>
      </c>
      <c r="Y179">
        <v>52</v>
      </c>
      <c r="Z179">
        <v>0</v>
      </c>
      <c r="AA179">
        <v>0</v>
      </c>
    </row>
    <row r="180" spans="1:29" x14ac:dyDescent="0.2">
      <c r="A180" t="s">
        <v>234</v>
      </c>
      <c r="C180">
        <v>0</v>
      </c>
      <c r="D180" t="s">
        <v>10</v>
      </c>
      <c r="E180">
        <v>2500</v>
      </c>
      <c r="F180" t="s">
        <v>160</v>
      </c>
      <c r="G180" t="s">
        <v>161</v>
      </c>
      <c r="H180" s="2">
        <v>0.8125</v>
      </c>
      <c r="I180" t="s">
        <v>159</v>
      </c>
      <c r="J180" s="1">
        <v>0.505</v>
      </c>
      <c r="K180">
        <v>98</v>
      </c>
      <c r="L180">
        <v>6.5</v>
      </c>
      <c r="M180">
        <v>3.02</v>
      </c>
      <c r="N180">
        <v>3.25</v>
      </c>
      <c r="Q180" s="3">
        <v>0.18055555555555555</v>
      </c>
      <c r="R180">
        <v>1</v>
      </c>
      <c r="S180">
        <v>1.58</v>
      </c>
      <c r="T180">
        <v>0</v>
      </c>
      <c r="U180">
        <v>0</v>
      </c>
      <c r="V180">
        <v>0</v>
      </c>
      <c r="W180">
        <v>100</v>
      </c>
      <c r="Y180">
        <v>21</v>
      </c>
      <c r="Z180">
        <v>0</v>
      </c>
      <c r="AA180">
        <v>0</v>
      </c>
    </row>
    <row r="181" spans="1:29" x14ac:dyDescent="0.2">
      <c r="A181" t="s">
        <v>235</v>
      </c>
      <c r="C181">
        <v>0</v>
      </c>
      <c r="D181" t="s">
        <v>10</v>
      </c>
      <c r="E181">
        <v>2500</v>
      </c>
      <c r="F181" t="s">
        <v>150</v>
      </c>
      <c r="G181" t="s">
        <v>151</v>
      </c>
      <c r="H181" s="2">
        <v>0.8125</v>
      </c>
      <c r="I181" t="s">
        <v>152</v>
      </c>
      <c r="J181" s="1">
        <v>0.495</v>
      </c>
      <c r="K181">
        <v>-98</v>
      </c>
      <c r="L181">
        <v>6.5</v>
      </c>
      <c r="M181">
        <v>3.25</v>
      </c>
      <c r="N181">
        <v>3.02</v>
      </c>
      <c r="Q181" s="3">
        <v>0.32222222222222224</v>
      </c>
      <c r="R181">
        <v>1.8</v>
      </c>
      <c r="S181">
        <v>2.74</v>
      </c>
      <c r="T181">
        <v>0</v>
      </c>
      <c r="U181">
        <v>0</v>
      </c>
      <c r="V181">
        <v>0</v>
      </c>
      <c r="W181">
        <v>100</v>
      </c>
      <c r="Y181">
        <v>24</v>
      </c>
      <c r="Z181">
        <v>0</v>
      </c>
      <c r="AA181">
        <v>0</v>
      </c>
    </row>
    <row r="182" spans="1:29" x14ac:dyDescent="0.2">
      <c r="A182" t="s">
        <v>236</v>
      </c>
      <c r="C182">
        <v>0</v>
      </c>
      <c r="D182" t="s">
        <v>10</v>
      </c>
      <c r="E182">
        <v>2500</v>
      </c>
      <c r="F182" t="s">
        <v>150</v>
      </c>
      <c r="G182" t="s">
        <v>151</v>
      </c>
      <c r="H182" s="2">
        <v>0.8125</v>
      </c>
      <c r="I182" t="s">
        <v>152</v>
      </c>
      <c r="J182" s="1">
        <v>0.495</v>
      </c>
      <c r="K182">
        <v>-98</v>
      </c>
      <c r="L182">
        <v>6.5</v>
      </c>
      <c r="M182">
        <v>3.25</v>
      </c>
      <c r="N182">
        <v>3.02</v>
      </c>
      <c r="T182">
        <v>0</v>
      </c>
      <c r="U182">
        <v>0</v>
      </c>
      <c r="V182">
        <v>0</v>
      </c>
      <c r="W182">
        <v>100</v>
      </c>
      <c r="Y182">
        <v>0</v>
      </c>
      <c r="Z182">
        <v>0</v>
      </c>
      <c r="AA182">
        <v>0</v>
      </c>
    </row>
    <row r="183" spans="1:29" x14ac:dyDescent="0.2">
      <c r="A183" t="s">
        <v>116</v>
      </c>
      <c r="C183">
        <v>0</v>
      </c>
      <c r="D183" t="s">
        <v>10</v>
      </c>
      <c r="E183">
        <v>2500</v>
      </c>
      <c r="F183" t="s">
        <v>150</v>
      </c>
      <c r="G183" t="s">
        <v>151</v>
      </c>
      <c r="H183" s="2">
        <v>0.8125</v>
      </c>
      <c r="I183" t="s">
        <v>152</v>
      </c>
      <c r="J183" s="1">
        <v>0.495</v>
      </c>
      <c r="K183">
        <v>-98</v>
      </c>
      <c r="L183">
        <v>6.5</v>
      </c>
      <c r="M183">
        <v>3.25</v>
      </c>
      <c r="N183">
        <v>3.02</v>
      </c>
      <c r="O183">
        <v>3</v>
      </c>
      <c r="Q183" s="3">
        <v>0.30277777777777776</v>
      </c>
      <c r="R183">
        <v>1.8</v>
      </c>
      <c r="S183">
        <v>1.88</v>
      </c>
      <c r="T183">
        <v>0</v>
      </c>
      <c r="U183">
        <v>0</v>
      </c>
      <c r="V183">
        <v>0</v>
      </c>
      <c r="W183">
        <v>100</v>
      </c>
      <c r="Y183">
        <v>48</v>
      </c>
      <c r="Z183">
        <v>0</v>
      </c>
      <c r="AA183">
        <v>0</v>
      </c>
      <c r="AB183" s="3">
        <v>0.22916666666666666</v>
      </c>
      <c r="AC183">
        <v>0</v>
      </c>
    </row>
    <row r="184" spans="1:29" x14ac:dyDescent="0.2">
      <c r="A184" t="s">
        <v>237</v>
      </c>
      <c r="C184">
        <v>0</v>
      </c>
      <c r="D184" t="s">
        <v>5</v>
      </c>
      <c r="E184">
        <v>2500</v>
      </c>
      <c r="F184" t="s">
        <v>150</v>
      </c>
      <c r="G184" t="s">
        <v>151</v>
      </c>
      <c r="H184" s="2">
        <v>0.8125</v>
      </c>
      <c r="I184" t="s">
        <v>152</v>
      </c>
      <c r="J184" s="1">
        <v>0.495</v>
      </c>
      <c r="K184">
        <v>-98</v>
      </c>
      <c r="L184">
        <v>6.5</v>
      </c>
      <c r="M184">
        <v>3.25</v>
      </c>
      <c r="N184">
        <v>3.02</v>
      </c>
      <c r="Q184" s="3">
        <v>0.34930555555555554</v>
      </c>
      <c r="R184">
        <v>5.8</v>
      </c>
      <c r="S184">
        <v>6.78</v>
      </c>
      <c r="T184">
        <v>0</v>
      </c>
      <c r="U184">
        <v>0</v>
      </c>
      <c r="V184">
        <v>0</v>
      </c>
      <c r="W184">
        <v>100</v>
      </c>
      <c r="Y184">
        <v>42</v>
      </c>
      <c r="Z184">
        <v>0</v>
      </c>
      <c r="AA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Projection</vt:lpstr>
      <vt:lpstr>NHT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Horlbeck</dc:creator>
  <cp:lastModifiedBy>Brendan Horlbeck</cp:lastModifiedBy>
  <dcterms:created xsi:type="dcterms:W3CDTF">2026-01-29T11:31:57Z</dcterms:created>
  <dcterms:modified xsi:type="dcterms:W3CDTF">2026-01-29T11:45:29Z</dcterms:modified>
</cp:coreProperties>
</file>